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Welcome" sheetId="1" state="visible" r:id="rId1"/>
    <sheet xmlns:r="http://schemas.openxmlformats.org/officeDocument/2006/relationships" name="1. Profile" sheetId="2" state="visible" r:id="rId2"/>
    <sheet xmlns:r="http://schemas.openxmlformats.org/officeDocument/2006/relationships" name="2. Assessment" sheetId="3" state="visible" r:id="rId3"/>
    <sheet xmlns:r="http://schemas.openxmlformats.org/officeDocument/2006/relationships" name="3. Report" sheetId="4" state="visible" r:id="rId4"/>
    <sheet xmlns:r="http://schemas.openxmlformats.org/officeDocument/2006/relationships" name="4. Action Plan" sheetId="5" state="visible" r:id="rId5"/>
    <sheet xmlns:r="http://schemas.openxmlformats.org/officeDocument/2006/relationships" name="Methodology" sheetId="6" state="visible" r:id="rId6"/>
    <sheet xmlns:r="http://schemas.openxmlformats.org/officeDocument/2006/relationships" name="QBank" sheetId="7" state="hidden" r:id="rId7"/>
    <sheet xmlns:r="http://schemas.openxmlformats.org/officeDocument/2006/relationships" name="Calc" sheetId="8" state="hidden" r:id="rId8"/>
    <sheet xmlns:r="http://schemas.openxmlformats.org/officeDocument/2006/relationships" name="Lists" sheetId="9" state="hidden" r:id="rId9"/>
  </sheets>
  <definedNames>
    <definedName name="_xlnm.Print_Area" localSheetId="0">'Welcome'!$A$1:$F$15</definedName>
    <definedName name="_xlnm.Print_Area" localSheetId="1">'1. Profile'!$A$1:$E$21</definedName>
    <definedName name="_xlnm.Print_Area" localSheetId="2">'2. Assessment'!$A$1:$L$30</definedName>
    <definedName name="_xlnm.Print_Area" localSheetId="3">'3. Report'!$A$1:$K$131</definedName>
    <definedName name="_xlnm.Print_Area" localSheetId="4">'4. Action Plan'!$A$1:$L$20</definedName>
    <definedName name="_xlnm.Print_Area" localSheetId="5">'Methodology'!$A$1:$H$46</definedName>
  </definedNames>
  <calcPr calcId="124519" fullCalcOnLoad="1"/>
</workbook>
</file>

<file path=xl/styles.xml><?xml version="1.0" encoding="utf-8"?>
<styleSheet xmlns="http://schemas.openxmlformats.org/spreadsheetml/2006/main">
  <numFmts count="3">
    <numFmt numFmtId="164" formatCode="0&quot; / 4&quot;"/>
    <numFmt numFmtId="165" formatCode=";;;"/>
    <numFmt numFmtId="166" formatCode="dd/mm/yyyy"/>
  </numFmts>
  <fonts count="44">
    <font>
      <name val="Calibri"/>
      <family val="2"/>
      <color theme="1"/>
      <sz val="11"/>
      <scheme val="minor"/>
    </font>
    <font>
      <name val="Calibri"/>
      <b val="1"/>
      <color rgb="00FFFFFF"/>
      <sz val="16"/>
    </font>
    <font>
      <name val="Calibri"/>
      <i val="1"/>
      <color rgb="004F2D7F"/>
      <sz val="10"/>
    </font>
    <font>
      <name val="Calibri"/>
      <b val="1"/>
      <color rgb="00000000"/>
      <sz val="10"/>
    </font>
    <font>
      <name val="Calibri"/>
      <color rgb="00000000"/>
      <sz val="10"/>
    </font>
    <font>
      <name val="Calibri"/>
      <b val="1"/>
      <color rgb="00FFFFFF"/>
      <sz val="11"/>
    </font>
    <font>
      <name val="Calibri"/>
      <b val="1"/>
      <color rgb="004F2D7F"/>
      <sz val="10"/>
    </font>
    <font>
      <name val="Calibri"/>
      <i val="1"/>
      <color rgb="00595959"/>
      <sz val="9"/>
    </font>
    <font>
      <name val="Calibri"/>
      <i val="1"/>
      <color rgb="003B2160"/>
      <sz val="9.5"/>
    </font>
    <font>
      <name val="Calibri"/>
      <b val="1"/>
      <color rgb="00FFFFFF"/>
      <sz val="10"/>
    </font>
    <font>
      <name val="Calibri"/>
      <b val="1"/>
      <color rgb="004F2D7F"/>
      <sz val="9"/>
    </font>
    <font>
      <name val="Calibri"/>
      <b val="1"/>
      <color rgb="00000000"/>
      <sz val="9"/>
    </font>
    <font>
      <name val="Calibri"/>
      <color rgb="00000000"/>
      <sz val="9"/>
    </font>
    <font>
      <name val="Calibri"/>
      <b val="1"/>
      <color rgb="00FFFFFF"/>
      <sz val="9"/>
    </font>
    <font>
      <name val="Calibri"/>
      <b val="1"/>
      <color rgb="003B2160"/>
      <sz val="16"/>
    </font>
    <font>
      <name val="Calibri"/>
      <b val="1"/>
      <color rgb="003B2160"/>
      <sz val="12"/>
    </font>
    <font>
      <name val="Calibri"/>
      <b val="1"/>
      <color rgb="003B2160"/>
      <sz val="11"/>
    </font>
    <font>
      <name val="Calibri"/>
      <b val="1"/>
      <color rgb="00FFFFFF"/>
      <sz val="18"/>
    </font>
    <font>
      <name val="Calibri"/>
      <b val="1"/>
      <color rgb="004F2D7F"/>
      <sz val="11"/>
    </font>
    <font>
      <name val="Calibri"/>
      <color rgb="00404040"/>
      <sz val="9"/>
    </font>
    <font>
      <name val="Calibri"/>
      <i val="1"/>
      <color rgb="00595959"/>
      <sz val="8.5"/>
    </font>
    <font>
      <name val="Calibri"/>
      <b val="1"/>
      <color rgb="00FFFFFF"/>
      <sz val="12"/>
    </font>
    <font>
      <name val="Calibri"/>
      <b val="1"/>
      <color rgb="00FFFFFF"/>
      <sz val="8.5"/>
    </font>
    <font>
      <name val="Calibri"/>
      <b val="1"/>
      <color rgb="003B2160"/>
      <sz val="22"/>
    </font>
    <font>
      <name val="Calibri"/>
      <i val="1"/>
      <color rgb="00404040"/>
      <sz val="7.5"/>
    </font>
    <font>
      <name val="Calibri"/>
      <b val="1"/>
      <color rgb="003B2160"/>
      <sz val="13"/>
    </font>
    <font>
      <name val="Calibri"/>
      <color rgb="00202020"/>
      <sz val="9.5"/>
    </font>
    <font>
      <name val="Calibri"/>
      <color rgb="00202020"/>
      <sz val="10"/>
    </font>
    <font>
      <name val="Calibri"/>
      <b val="1"/>
      <color rgb="003B2160"/>
      <sz val="9"/>
    </font>
    <font>
      <name val="Calibri"/>
      <b val="1"/>
      <color rgb="004F2D7F"/>
      <sz val="8.5"/>
    </font>
    <font>
      <name val="Calibri"/>
      <b val="1"/>
      <color rgb="004F2D7F"/>
      <sz val="9.5"/>
    </font>
    <font>
      <name val="Calibri"/>
      <i val="1"/>
      <color rgb="00000000"/>
      <sz val="7.5"/>
    </font>
    <font>
      <name val="Calibri"/>
      <color rgb="00000000"/>
      <sz val="8.5"/>
    </font>
    <font>
      <name val="Calibri"/>
      <b val="1"/>
      <color rgb="003B2160"/>
      <sz val="10"/>
    </font>
    <font>
      <name val="Calibri"/>
      <i val="1"/>
      <color rgb="00000000"/>
      <sz val="8.5"/>
    </font>
    <font>
      <name val="Calibri"/>
      <b val="1"/>
      <color rgb="00000000"/>
      <sz val="8.5"/>
    </font>
    <font>
      <name val="Calibri"/>
      <color rgb="00000000"/>
      <sz val="7.5"/>
    </font>
    <font>
      <name val="Calibri"/>
      <b val="1"/>
      <color rgb="00000000"/>
      <sz val="8"/>
    </font>
    <font>
      <name val="Calibri"/>
      <color rgb="00000000"/>
      <sz val="8"/>
    </font>
    <font>
      <name val="Calibri"/>
      <i val="1"/>
      <color rgb="00595959"/>
      <sz val="7.5"/>
    </font>
    <font>
      <name val="Calibri"/>
      <b val="1"/>
      <color rgb="000563C1"/>
      <sz val="10"/>
    </font>
    <font>
      <name val="Calibri"/>
      <color rgb="00000000"/>
      <sz val="9.5"/>
    </font>
    <font>
      <name val="Calibri"/>
      <b val="1"/>
      <color rgb="00FFFFFF"/>
      <sz val="22"/>
    </font>
    <font>
      <name val="Calibri"/>
      <i val="1"/>
      <color rgb="004F2D7F"/>
      <sz val="10.5"/>
    </font>
  </fonts>
  <fills count="13">
    <fill>
      <patternFill/>
    </fill>
    <fill>
      <patternFill patternType="gray125"/>
    </fill>
    <fill>
      <patternFill patternType="solid">
        <fgColor rgb="004F2D7F"/>
      </patternFill>
    </fill>
    <fill>
      <patternFill patternType="solid">
        <fgColor rgb="00EDE7F6"/>
      </patternFill>
    </fill>
    <fill>
      <patternFill patternType="solid">
        <fgColor rgb="00FFF9E6"/>
      </patternFill>
    </fill>
    <fill>
      <patternFill patternType="solid">
        <fgColor rgb="007B5BA6"/>
      </patternFill>
    </fill>
    <fill>
      <patternFill patternType="solid">
        <fgColor rgb="003B2160"/>
      </patternFill>
    </fill>
    <fill>
      <patternFill patternType="solid">
        <fgColor rgb="009BC2E6"/>
      </patternFill>
    </fill>
    <fill>
      <patternFill patternType="solid">
        <fgColor rgb="00C6E0B4"/>
      </patternFill>
    </fill>
    <fill>
      <patternFill patternType="solid">
        <fgColor rgb="00FFE699"/>
      </patternFill>
    </fill>
    <fill>
      <patternFill patternType="solid">
        <fgColor rgb="00F8CBAD"/>
      </patternFill>
    </fill>
    <fill>
      <patternFill patternType="solid">
        <fgColor rgb="00F4B183"/>
      </patternFill>
    </fill>
    <fill>
      <patternFill patternType="solid">
        <fgColor rgb="00E06666"/>
      </patternFill>
    </fill>
  </fills>
  <borders count="5">
    <border>
      <left/>
      <right/>
      <top/>
      <bottom/>
      <diagonal/>
    </border>
    <border>
      <left style="thin">
        <color rgb="00C9C9C9"/>
      </left>
      <right style="thin">
        <color rgb="00C9C9C9"/>
      </right>
      <top style="thin">
        <color rgb="00C9C9C9"/>
      </top>
      <bottom style="thin">
        <color rgb="00C9C9C9"/>
      </bottom>
    </border>
    <border>
      <left style="thin">
        <color rgb="00C9C9C9"/>
      </left>
      <right/>
      <top/>
      <bottom/>
      <diagonal/>
    </border>
    <border>
      <left style="thin">
        <color rgb="00C9C9C9"/>
      </left>
      <right style="thin">
        <color rgb="00C9C9C9"/>
      </right>
      <top/>
      <bottom/>
      <diagonal/>
    </border>
    <border>
      <left style="thin">
        <color rgb="00C9C9C9"/>
      </left>
      <right style="thin">
        <color rgb="00C9C9C9"/>
      </right>
      <top/>
      <bottom style="thin">
        <color rgb="00C9C9C9"/>
      </bottom>
      <diagonal/>
    </border>
  </borders>
  <cellStyleXfs count="1">
    <xf numFmtId="0" fontId="0" fillId="0" borderId="0"/>
  </cellStyleXfs>
  <cellXfs count="95">
    <xf numFmtId="0" fontId="0" fillId="0" borderId="0" pivotButton="0" quotePrefix="0" xfId="0"/>
    <xf numFmtId="0" fontId="42" fillId="2" borderId="0" applyAlignment="1" pivotButton="0" quotePrefix="0" xfId="0">
      <alignment vertical="center" indent="1"/>
    </xf>
    <xf numFmtId="0" fontId="43" fillId="0" borderId="0" applyAlignment="1" pivotButton="0" quotePrefix="0" xfId="0">
      <alignment vertical="top" wrapText="1"/>
    </xf>
    <xf numFmtId="0" fontId="5" fillId="5" borderId="1" applyAlignment="1" pivotButton="0" quotePrefix="0" xfId="0">
      <alignment vertical="center" wrapText="1"/>
    </xf>
    <xf numFmtId="0" fontId="41" fillId="3" borderId="1" applyAlignment="1" pivotButton="0" quotePrefix="0" xfId="0">
      <alignment vertical="top" wrapText="1"/>
    </xf>
    <xf numFmtId="0" fontId="6" fillId="0" borderId="0" applyAlignment="1" pivotButton="0" quotePrefix="0" xfId="0">
      <alignment vertical="top" wrapText="1"/>
    </xf>
    <xf numFmtId="0" fontId="12" fillId="4" borderId="1" applyAlignment="1" pivotButton="0" quotePrefix="0" xfId="0">
      <alignment vertical="center" wrapText="1"/>
    </xf>
    <xf numFmtId="0" fontId="12" fillId="0" borderId="1" applyAlignment="1" pivotButton="0" quotePrefix="0" xfId="0">
      <alignment vertical="center" wrapText="1"/>
    </xf>
    <xf numFmtId="0" fontId="21" fillId="2" borderId="1" applyAlignment="1" pivotButton="0" quotePrefix="0" xfId="0">
      <alignment horizontal="center" vertical="center" wrapText="1"/>
    </xf>
    <xf numFmtId="0" fontId="12" fillId="8" borderId="1" applyAlignment="1" pivotButton="0" quotePrefix="0" xfId="0">
      <alignment vertical="center" wrapText="1"/>
    </xf>
    <xf numFmtId="0" fontId="12" fillId="9" borderId="1" applyAlignment="1" pivotButton="0" quotePrefix="0" xfId="0">
      <alignment vertical="center" wrapText="1"/>
    </xf>
    <xf numFmtId="0" fontId="18" fillId="3" borderId="1" applyAlignment="1" pivotButton="0" quotePrefix="0" xfId="0">
      <alignment horizontal="center" vertical="center" wrapText="1"/>
    </xf>
    <xf numFmtId="0" fontId="12" fillId="11" borderId="1" applyAlignment="1" pivotButton="0" quotePrefix="0" xfId="0">
      <alignment vertical="center" wrapText="1"/>
    </xf>
    <xf numFmtId="0" fontId="12" fillId="12" borderId="1" applyAlignment="1" pivotButton="0" quotePrefix="0" xfId="0">
      <alignment vertical="center" wrapText="1"/>
    </xf>
    <xf numFmtId="0" fontId="20" fillId="0" borderId="0" applyAlignment="1" pivotButton="0" quotePrefix="0" xfId="0">
      <alignment vertical="top" wrapText="1"/>
    </xf>
    <xf numFmtId="0" fontId="1" fillId="2" borderId="0" applyAlignment="1" pivotButton="0" quotePrefix="0" xfId="0">
      <alignment vertical="center" indent="1"/>
    </xf>
    <xf numFmtId="0" fontId="2" fillId="0" borderId="0" applyAlignment="1" pivotButton="0" quotePrefix="0" xfId="0">
      <alignment vertical="top" wrapText="1"/>
    </xf>
    <xf numFmtId="0" fontId="3" fillId="3" borderId="1" applyAlignment="1" pivotButton="0" quotePrefix="0" xfId="0">
      <alignment vertical="center" wrapText="1"/>
    </xf>
    <xf numFmtId="0" fontId="4" fillId="4" borderId="1" applyAlignment="1" pivotButton="0" quotePrefix="0" xfId="0">
      <alignment vertical="center" wrapText="1"/>
    </xf>
    <xf numFmtId="0" fontId="7" fillId="0" borderId="0" applyAlignment="1" pivotButton="0" quotePrefix="0" xfId="0">
      <alignment vertical="top" wrapText="1"/>
    </xf>
    <xf numFmtId="0" fontId="5" fillId="5" borderId="1" applyAlignment="1" pivotButton="0" quotePrefix="0" xfId="0">
      <alignment vertical="top" wrapText="1"/>
    </xf>
    <xf numFmtId="0" fontId="0" fillId="0" borderId="1" pivotButton="0" quotePrefix="0" xfId="0"/>
    <xf numFmtId="0" fontId="8" fillId="0" borderId="0" applyAlignment="1" pivotButton="0" quotePrefix="0" xfId="0">
      <alignment vertical="top" wrapText="1"/>
    </xf>
    <xf numFmtId="0" fontId="13" fillId="5" borderId="1" applyAlignment="1" pivotButton="0" quotePrefix="0" xfId="0">
      <alignment horizontal="center" vertical="center" wrapText="1"/>
    </xf>
    <xf numFmtId="0" fontId="14" fillId="3" borderId="1" applyAlignment="1" pivotButton="0" quotePrefix="0" xfId="0">
      <alignment horizontal="center" vertical="center" wrapText="1"/>
    </xf>
    <xf numFmtId="9" fontId="14" fillId="3" borderId="1" applyAlignment="1" pivotButton="0" quotePrefix="0" xfId="0">
      <alignment horizontal="center" vertical="center" wrapText="1"/>
    </xf>
    <xf numFmtId="0" fontId="15"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9" fillId="2" borderId="1" applyAlignment="1" pivotButton="0" quotePrefix="0" xfId="0">
      <alignment horizontal="center" vertical="center" wrapText="1"/>
    </xf>
    <xf numFmtId="0" fontId="5" fillId="5" borderId="1" applyAlignment="1" pivotButton="0" quotePrefix="0" xfId="0">
      <alignment vertical="center" indent="1"/>
    </xf>
    <xf numFmtId="0" fontId="3" fillId="3" borderId="1" applyAlignment="1" pivotButton="0" quotePrefix="0" xfId="0">
      <alignment horizontal="center" vertical="center" wrapText="1"/>
    </xf>
    <xf numFmtId="0" fontId="10" fillId="3" borderId="1" applyAlignment="1" pivotButton="0" quotePrefix="0" xfId="0">
      <alignment vertical="top" wrapText="1"/>
    </xf>
    <xf numFmtId="0" fontId="0" fillId="0" borderId="1" applyAlignment="1" pivotButton="0" quotePrefix="0" xfId="0">
      <alignment vertical="top" wrapText="1"/>
    </xf>
    <xf numFmtId="0" fontId="4" fillId="4" borderId="1" applyAlignment="1" applyProtection="1" pivotButton="0" quotePrefix="0" xfId="0">
      <alignment vertical="center" wrapText="1"/>
      <protection locked="0" hidden="0"/>
    </xf>
    <xf numFmtId="164" fontId="3"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1" applyAlignment="1" pivotButton="0" quotePrefix="0" xfId="0">
      <alignment vertical="top" wrapText="1"/>
    </xf>
    <xf numFmtId="9" fontId="3" fillId="0" borderId="1" applyAlignment="1" pivotButton="0" quotePrefix="0" xfId="0">
      <alignment horizontal="center" vertical="center" wrapText="1"/>
    </xf>
    <xf numFmtId="0" fontId="17" fillId="2" borderId="0" applyAlignment="1" pivotButton="0" quotePrefix="0" xfId="0">
      <alignment vertical="center" indent="1"/>
    </xf>
    <xf numFmtId="0" fontId="5" fillId="2" borderId="1" applyAlignment="1" pivotButton="0" quotePrefix="0" xfId="0">
      <alignment vertical="center" wrapText="1"/>
    </xf>
    <xf numFmtId="0" fontId="18" fillId="0" borderId="0" applyAlignment="1" pivotButton="0" quotePrefix="0" xfId="0">
      <alignment vertical="center" wrapText="1"/>
    </xf>
    <xf numFmtId="0" fontId="12" fillId="3" borderId="1" applyAlignment="1" pivotButton="0" quotePrefix="0" xfId="0">
      <alignment vertical="top" wrapText="1"/>
    </xf>
    <xf numFmtId="0" fontId="19" fillId="0" borderId="0" applyAlignment="1" pivotButton="0" quotePrefix="0" xfId="0">
      <alignment vertical="center" wrapText="1"/>
    </xf>
    <xf numFmtId="0" fontId="0" fillId="0" borderId="3" pivotButton="0" quotePrefix="0" xfId="0"/>
    <xf numFmtId="0" fontId="20" fillId="0" borderId="0" applyAlignment="1" pivotButton="0" quotePrefix="0" xfId="0">
      <alignment vertical="center" wrapText="1"/>
    </xf>
    <xf numFmtId="0" fontId="0" fillId="0" borderId="4" pivotButton="0" quotePrefix="0" xfId="0"/>
    <xf numFmtId="0" fontId="40" fillId="0" borderId="1" applyAlignment="1" pivotButton="0" quotePrefix="0" xfId="0">
      <alignment vertical="center" wrapText="1"/>
    </xf>
    <xf numFmtId="0" fontId="21" fillId="2" borderId="0" applyAlignment="1" pivotButton="0" quotePrefix="0" xfId="0">
      <alignment vertical="center" indent="1"/>
    </xf>
    <xf numFmtId="0" fontId="22" fillId="5" borderId="1" applyAlignment="1" pivotButton="0" quotePrefix="0" xfId="0">
      <alignment horizontal="center" vertical="center" wrapText="1"/>
    </xf>
    <xf numFmtId="9" fontId="23" fillId="3" borderId="1" applyAlignment="1" pivotButton="0" quotePrefix="0" xfId="0">
      <alignment horizontal="center" vertical="center" wrapText="1"/>
    </xf>
    <xf numFmtId="0" fontId="23" fillId="3" borderId="1" applyAlignment="1" pivotButton="0" quotePrefix="0" xfId="0">
      <alignment horizontal="center" vertical="center" wrapText="1"/>
    </xf>
    <xf numFmtId="0" fontId="24" fillId="3" borderId="1" applyAlignment="1" pivotButton="0" quotePrefix="0" xfId="0">
      <alignment horizontal="center" vertical="center" wrapText="1"/>
    </xf>
    <xf numFmtId="0" fontId="13" fillId="6" borderId="1" applyAlignment="1" pivotButton="0" quotePrefix="0" xfId="0">
      <alignment horizontal="center" vertical="center" wrapText="1"/>
    </xf>
    <xf numFmtId="0" fontId="25" fillId="0" borderId="1" applyAlignment="1" pivotButton="0" quotePrefix="0" xfId="0">
      <alignment vertical="center" indent="1"/>
    </xf>
    <xf numFmtId="0" fontId="26" fillId="0" borderId="1" applyAlignment="1" pivotButton="0" quotePrefix="0" xfId="0">
      <alignment vertical="center" wrapText="1"/>
    </xf>
    <xf numFmtId="0" fontId="27" fillId="0" borderId="1" applyAlignment="1" pivotButton="0" quotePrefix="0" xfId="0">
      <alignment vertical="top" wrapText="1"/>
    </xf>
    <xf numFmtId="0" fontId="13" fillId="5" borderId="1" applyAlignment="1" pivotButton="0" quotePrefix="0" xfId="0">
      <alignment vertical="center" indent="1"/>
    </xf>
    <xf numFmtId="0" fontId="28" fillId="3" borderId="1" applyAlignment="1" pivotButton="0" quotePrefix="0" xfId="0">
      <alignment horizontal="center" vertical="center" wrapText="1"/>
    </xf>
    <xf numFmtId="0" fontId="29" fillId="0" borderId="1" applyAlignment="1" pivotButton="0" quotePrefix="0" xfId="0">
      <alignment horizontal="center" vertical="center" wrapText="1"/>
    </xf>
    <xf numFmtId="0" fontId="30" fillId="0" borderId="1" applyAlignment="1" pivotButton="0" quotePrefix="0" xfId="0">
      <alignment vertical="center" wrapText="1"/>
    </xf>
    <xf numFmtId="165" fontId="10" fillId="0" borderId="1" applyAlignment="1" pivotButton="0" quotePrefix="0" xfId="0">
      <alignment horizontal="left" vertical="center"/>
    </xf>
    <xf numFmtId="0" fontId="9" fillId="6" borderId="1" applyAlignment="1" pivotButton="0" quotePrefix="0" xfId="0">
      <alignment vertical="center" wrapText="1"/>
    </xf>
    <xf numFmtId="9" fontId="3" fillId="3" borderId="1" applyAlignment="1" pivotButton="0" quotePrefix="0" xfId="0">
      <alignment horizontal="center" vertical="center" wrapText="1"/>
    </xf>
    <xf numFmtId="0" fontId="31" fillId="3" borderId="1" applyAlignment="1" pivotButton="0" quotePrefix="0" xfId="0">
      <alignment horizontal="center" vertical="center" wrapText="1"/>
    </xf>
    <xf numFmtId="0" fontId="10" fillId="0" borderId="1" applyAlignment="1" pivotButton="0" quotePrefix="0" xfId="0">
      <alignment vertical="center" wrapText="1"/>
    </xf>
    <xf numFmtId="0" fontId="32" fillId="0" borderId="1" applyAlignment="1" pivotButton="0" quotePrefix="0" xfId="0">
      <alignment vertical="center" wrapText="1"/>
    </xf>
    <xf numFmtId="0" fontId="33" fillId="3" borderId="1" applyAlignment="1" pivotButton="0" quotePrefix="0" xfId="0">
      <alignment vertical="center" wrapText="1"/>
    </xf>
    <xf numFmtId="0" fontId="34" fillId="3" borderId="1" applyAlignment="1" pivotButton="0" quotePrefix="0" xfId="0">
      <alignment vertical="center" wrapText="1"/>
    </xf>
    <xf numFmtId="9" fontId="11" fillId="0" borderId="1" applyAlignment="1" pivotButton="0" quotePrefix="0" xfId="0">
      <alignment horizontal="center" vertical="center" wrapText="1"/>
    </xf>
    <xf numFmtId="0" fontId="29" fillId="0" borderId="1" applyAlignment="1" pivotButton="0" quotePrefix="0" xfId="0">
      <alignment vertical="top" wrapText="1"/>
    </xf>
    <xf numFmtId="0" fontId="32" fillId="0" borderId="1" applyAlignment="1" pivotButton="0" quotePrefix="0" xfId="0">
      <alignment vertical="top" wrapText="1"/>
    </xf>
    <xf numFmtId="0" fontId="35" fillId="0" borderId="1" applyAlignment="1" pivotButton="0" quotePrefix="0" xfId="0">
      <alignment horizontal="center" vertical="center" wrapText="1"/>
    </xf>
    <xf numFmtId="0" fontId="35" fillId="0" borderId="1" applyAlignment="1" pivotButton="0" quotePrefix="0" xfId="0">
      <alignment vertical="center" wrapText="1"/>
    </xf>
    <xf numFmtId="0" fontId="29" fillId="0" borderId="1" applyAlignment="1" pivotButton="0" quotePrefix="0" xfId="0">
      <alignment vertical="center" wrapText="1"/>
    </xf>
    <xf numFmtId="0" fontId="36" fillId="0" borderId="1" applyAlignment="1" pivotButton="0" quotePrefix="0" xfId="0">
      <alignment vertical="center" wrapText="1"/>
    </xf>
    <xf numFmtId="0" fontId="37" fillId="0" borderId="1" applyAlignment="1" pivotButton="0" quotePrefix="0" xfId="0">
      <alignment horizontal="center" vertical="center" wrapText="1"/>
    </xf>
    <xf numFmtId="0" fontId="38" fillId="0" borderId="1" applyAlignment="1" pivotButton="0" quotePrefix="0" xfId="0">
      <alignment vertical="center" wrapText="1"/>
    </xf>
    <xf numFmtId="0" fontId="11" fillId="0" borderId="1" applyAlignment="1" pivotButton="0" quotePrefix="0" xfId="0">
      <alignment vertical="center" wrapText="1"/>
    </xf>
    <xf numFmtId="0" fontId="12" fillId="0" borderId="1" applyAlignment="1" applyProtection="1" pivotButton="0" quotePrefix="0" xfId="0">
      <alignment vertical="center" wrapText="1"/>
      <protection locked="0" hidden="0"/>
    </xf>
    <xf numFmtId="0" fontId="0" fillId="0" borderId="1" applyProtection="1" pivotButton="0" quotePrefix="0" xfId="0">
      <protection locked="0" hidden="0"/>
    </xf>
    <xf numFmtId="0" fontId="12" fillId="0" borderId="1" applyAlignment="1" applyProtection="1" pivotButton="0" quotePrefix="0" xfId="0">
      <alignment vertical="top" wrapText="1"/>
      <protection locked="0" hidden="0"/>
    </xf>
    <xf numFmtId="0" fontId="39" fillId="0" borderId="0" applyAlignment="1" pivotButton="0" quotePrefix="0" xfId="0">
      <alignment vertical="top" wrapText="1"/>
    </xf>
    <xf numFmtId="0" fontId="3" fillId="0" borderId="1" applyAlignment="1" pivotButton="0" quotePrefix="0" xfId="0">
      <alignment horizontal="center" vertical="center" wrapText="1"/>
    </xf>
    <xf numFmtId="166" fontId="12" fillId="4" borderId="1" applyAlignment="1" pivotButton="0" quotePrefix="0" xfId="0">
      <alignment vertical="center" wrapText="1"/>
    </xf>
    <xf numFmtId="0" fontId="41" fillId="0" borderId="1" applyAlignment="1" pivotButton="0" quotePrefix="0" xfId="0">
      <alignment vertical="top"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3" fillId="12" borderId="1" applyAlignment="1" pivotButton="0" quotePrefix="0" xfId="0">
      <alignment horizontal="center" vertical="center" wrapText="1"/>
    </xf>
  </cellXfs>
  <cellStyles count="1">
    <cellStyle name="Normal" xfId="0" builtinId="0" hidden="0"/>
  </cellStyles>
  <dxfs count="10">
    <dxf>
      <fill>
        <patternFill patternType="solid">
          <fgColor rgb="00C6E0B4"/>
        </patternFill>
      </fill>
    </dxf>
    <dxf>
      <fill>
        <patternFill patternType="solid">
          <fgColor rgb="00FFE699"/>
        </patternFill>
      </fill>
    </dxf>
    <dxf>
      <fill>
        <patternFill patternType="solid">
          <fgColor rgb="00F4B183"/>
        </patternFill>
      </fill>
    </dxf>
    <dxf>
      <fill>
        <patternFill patternType="solid">
          <fgColor rgb="00E06666"/>
        </patternFill>
      </fill>
    </dxf>
    <dxf>
      <fill>
        <patternFill patternType="solid">
          <fgColor rgb="009BC2E6"/>
        </patternFill>
      </fill>
    </dxf>
    <dxf>
      <font>
        <i val="1"/>
        <color rgb="00A6A6A6"/>
      </font>
    </dxf>
    <dxf>
      <fill>
        <patternFill patternType="solid">
          <fgColor rgb="00F8CBAD"/>
        </patternFill>
      </fill>
    </dxf>
    <dxf>
      <font>
        <b val="1"/>
        <color rgb="00FFFFFF"/>
      </font>
      <fill>
        <patternFill patternType="solid">
          <fgColor rgb="00E06666"/>
        </patternFill>
      </fill>
    </dxf>
    <dxf>
      <font>
        <b val="1"/>
        <color rgb="00FFFFFF"/>
      </font>
      <fill>
        <patternFill patternType="solid">
          <fgColor rgb="004F2D7F"/>
        </patternFill>
      </fill>
    </dxf>
    <dxf>
      <font>
        <b val="1"/>
        <color rgb="003B2160"/>
      </font>
      <fill>
        <patternFill patternType="solid">
          <fgColor rgb="00D9CC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plotArea>
      <radarChart>
        <radarStyle val="marker"/>
        <ser>
          <idx val="0"/>
          <order val="0"/>
          <tx>
            <v>Current readiness (%)</v>
          </tx>
          <spPr>
            <a:ln xmlns:a="http://schemas.openxmlformats.org/drawingml/2006/main" w="28000">
              <a:solidFill>
                <a:srgbClr val="4F2D7F"/>
              </a:solidFill>
              <a:prstDash val="solid"/>
            </a:ln>
          </spPr>
          <marker>
            <symbol val="circle"/>
            <spPr>
              <a:solidFill xmlns:a="http://schemas.openxmlformats.org/drawingml/2006/main">
                <a:srgbClr val="4F2D7F"/>
              </a:solidFill>
              <a:ln xmlns:a="http://schemas.openxmlformats.org/drawingml/2006/main">
                <a:prstDash val="solid"/>
              </a:ln>
            </spPr>
          </marker>
          <cat>
            <numRef>
              <f>'Calc'!$H$37:$H$41</f>
            </numRef>
          </cat>
          <val>
            <numRef>
              <f>'Calc'!$I$37:$I$41</f>
            </numRef>
          </val>
        </ser>
        <ser>
          <idx val="1"/>
          <order val="1"/>
          <tx>
            <v>Target - Repeatable (70%)</v>
          </tx>
          <spPr>
            <a:ln xmlns:a="http://schemas.openxmlformats.org/drawingml/2006/main">
              <a:solidFill>
                <a:srgbClr val="00A7B5"/>
              </a:solidFill>
              <a:prstDash val="dash"/>
            </a:ln>
          </spPr>
          <marker>
            <symbol val="none"/>
            <spPr>
              <a:ln xmlns:a="http://schemas.openxmlformats.org/drawingml/2006/main">
                <a:prstDash val="solid"/>
              </a:ln>
            </spPr>
          </marker>
          <cat>
            <numRef>
              <f>'Calc'!$H$37:$H$41</f>
            </numRef>
          </cat>
          <val>
            <numRef>
              <f>'Calc'!$J$37:$J$41</f>
            </numRef>
          </val>
        </ser>
        <axId val="10"/>
        <axId val="100"/>
      </radarChart>
      <catAx>
        <axId val="10"/>
        <scaling>
          <orientation val="minMax"/>
        </scaling>
        <delete val="0"/>
        <axPos val="l"/>
        <majorTickMark val="none"/>
        <minorTickMark val="none"/>
        <crossAx val="100"/>
        <lblOffset val="100"/>
      </catAx>
      <valAx>
        <axId val="100"/>
        <scaling>
          <orientation val="minMax"/>
          <max val="100"/>
          <min val="0"/>
        </scaling>
        <delete val="0"/>
        <axPos val="l"/>
        <majorGridlines/>
        <majorTickMark val="none"/>
        <minorTickMark val="none"/>
        <crossAx val="10"/>
        <majorUnit val="25"/>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21</row>
      <rowOff>0</rowOff>
    </from>
    <ext cx="3348000" cy="30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Profile'!A1" TargetMode="External" Id="rId1"/><Relationship Type="http://schemas.openxmlformats.org/officeDocument/2006/relationships/hyperlink" Target="#'2. Assessment'!A1" TargetMode="External" Id="rId2"/><Relationship Type="http://schemas.openxmlformats.org/officeDocument/2006/relationships/hyperlink" Target="#'3. Report'!A1" TargetMode="External" Id="rId3"/></Relationships>
</file>

<file path=xl/worksheets/_rels/sheet3.xml.rels><Relationships xmlns="http://schemas.openxmlformats.org/package/2006/relationships"><Relationship Type="http://schemas.openxmlformats.org/officeDocument/2006/relationships/hyperlink" Target="#'3. Report'!A1" TargetMode="Externa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F2D7F"/>
    <outlinePr summaryBelow="1" summaryRight="1"/>
    <pageSetUpPr fitToPage="1"/>
  </sheetPr>
  <dimension ref="B1:F15"/>
  <sheetViews>
    <sheetView showGridLines="0" workbookViewId="0">
      <selection activeCell="A1" sqref="A1"/>
    </sheetView>
  </sheetViews>
  <sheetFormatPr baseColWidth="8" defaultRowHeight="15"/>
  <cols>
    <col width="2" customWidth="1" min="1" max="1"/>
    <col width="44" customWidth="1" min="2" max="2"/>
    <col width="3" customWidth="1" min="3" max="3"/>
    <col width="44" customWidth="1" min="4" max="4"/>
    <col width="3" customWidth="1" min="5" max="5"/>
    <col width="44" customWidth="1" min="6" max="6"/>
    <col width="2" customWidth="1" min="7" max="7"/>
  </cols>
  <sheetData>
    <row r="1" ht="52" customHeight="1">
      <c r="B1" s="1" t="inlineStr">
        <is>
          <t>GT AI READINESS &amp; RISK ASSESSMENT TOOL</t>
        </is>
      </c>
    </row>
    <row r="2" ht="22" customHeight="1">
      <c r="B2" s="2" t="inlineStr">
        <is>
          <t>Grant Thornton Bahrain  |  AI Governance, Risk &amp; Compliance  |  Combines the NSW AI Assessment Framework, GT AI Ready7 and the GT AI Risk &amp; Control Matrix v2.1</t>
        </is>
      </c>
    </row>
    <row r="4" ht="24" customHeight="1">
      <c r="B4" s="3" t="inlineStr">
        <is>
          <t>WHEN TO USE THIS TOOL</t>
        </is>
      </c>
      <c r="D4" s="3" t="inlineStr">
        <is>
          <t>HOW IT WORKS  (approx. 20-25 minutes)</t>
        </is>
      </c>
      <c r="F4" s="3" t="inlineStr">
        <is>
          <t>WHAT YOU GET</t>
        </is>
      </c>
    </row>
    <row r="5" ht="210" customHeight="1">
      <c r="B5" s="4" t="inlineStr">
        <is>
          <t>- Before or early in your AI journey, to baseline readiness
- Before scaling AI or deploying AI that affects customers or decisions
- When AI is discovered in use without assessment (shadow AI)
- When risk or context changes: new data, model, vendor, purpose or less human oversight
- Annually, to track maturity progress
Public GenAI tools used for low-risk drafting may be governed by your Acceptable Use Policy instead (AIAF approach).</t>
        </is>
      </c>
      <c r="D5" s="4" t="inlineStr">
        <is>
          <t>1. PROFILE - organisation details and regulatory context
2. ASSESSMENT - 20 questions
   Part A: 4 questions on AI use and inherent risk (AIAF)
   Part B: 16 questions on readiness across 5 domains (8 on governance &amp; risk)
3. REPORT - generated automatically, print-ready (A4)
4. ACTION PLAN - assign owners and dates to recommended actions</t>
        </is>
      </c>
      <c r="F5" s="4" t="inlineStr">
        <is>
          <t>- Overall AI readiness score and maturity level
- Inherent AI risk tier (Low / Medium / High / Critical)
- Overall AI risk exposure and recommended oversight pathway
- Domain radar chart and responsible-AI principle coverage
- Findings, potential risks and recommendations per area
- Top-5 priorities and a phased roadmap
- Applicable regulations (Bahrain PDPL, CBB, EU AI Act, GCC)
- Printable report you can save as PDF and email</t>
        </is>
      </c>
    </row>
    <row r="7">
      <c r="B7" s="5" t="inlineStr">
        <is>
          <t>COLOUR LEGEND</t>
        </is>
      </c>
      <c r="D7" s="5" t="inlineStr">
        <is>
          <t>REQUIREMENT TYPES (as in the AIAF)</t>
        </is>
      </c>
      <c r="F7" s="5" t="inlineStr">
        <is>
          <t>START HERE</t>
        </is>
      </c>
    </row>
    <row r="8">
      <c r="B8" s="6" t="inlineStr">
        <is>
          <t>Input cell - select or type</t>
        </is>
      </c>
      <c r="D8" s="7" t="inlineStr">
        <is>
          <t>⟳ Compliance Obligation - linked to laws / regulation</t>
        </is>
      </c>
      <c r="F8" s="8" t="inlineStr">
        <is>
          <t>Go to '1. Profile'  &gt;&gt;</t>
        </is>
      </c>
    </row>
    <row r="9">
      <c r="B9" s="9" t="inlineStr">
        <is>
          <t>Low / Largely met</t>
        </is>
      </c>
      <c r="D9" s="7" t="inlineStr">
        <is>
          <t>⚠ Mandatory Requirement - baseline control expected for any AI use</t>
        </is>
      </c>
    </row>
    <row r="10">
      <c r="B10" s="10" t="inlineStr">
        <is>
          <t>Medium / Moderate / Partially met</t>
        </is>
      </c>
      <c r="D10" s="7" t="inlineStr">
        <is>
          <t>⚖ Ethical Consideration - responsible-AI principle</t>
        </is>
      </c>
      <c r="F10" s="11" t="inlineStr">
        <is>
          <t>Go to '2. Assessment'  &gt;&gt;</t>
        </is>
      </c>
    </row>
    <row r="11">
      <c r="B11" s="12" t="inlineStr">
        <is>
          <t>High / Minimal</t>
        </is>
      </c>
      <c r="D11" s="7" t="inlineStr">
        <is>
          <t>☆ Recommended - good practice</t>
        </is>
      </c>
    </row>
    <row r="12">
      <c r="B12" s="13" t="inlineStr">
        <is>
          <t>Critical / Very high / Not met</t>
        </is>
      </c>
      <c r="F12" s="11" t="inlineStr">
        <is>
          <t>View '3. Report'  &gt;&gt;</t>
        </is>
      </c>
    </row>
    <row r="15" ht="30" customHeight="1">
      <c r="B15" s="14" t="inlineStr">
        <is>
          <t>This is a self-assessment tool. Results depend on the accuracy of responses and do not constitute an audit, certification or legal advice. Version 2.0 - October 2026. GT internal scoring engine - do not distribute; clients complete the GT AI Readiness Questionnaire. SAMPLE: pre-completed with illustrative responses for Grant Thornton Bahrain, aligned to its AI Ready7 results (Sept 2026).</t>
        </is>
      </c>
    </row>
  </sheetData>
  <mergeCells count="3">
    <mergeCell ref="B2:F2"/>
    <mergeCell ref="B15:F15"/>
    <mergeCell ref="B1:F1"/>
  </mergeCells>
  <hyperlinks>
    <hyperlink xmlns:r="http://schemas.openxmlformats.org/officeDocument/2006/relationships" ref="F8" r:id="rId1"/>
    <hyperlink xmlns:r="http://schemas.openxmlformats.org/officeDocument/2006/relationships" ref="F10" r:id="rId2"/>
    <hyperlink xmlns:r="http://schemas.openxmlformats.org/officeDocument/2006/relationships" ref="F12" r:id="rId3"/>
  </hyperlinks>
  <printOptions gridLines="0"/>
  <pageMargins left="0.5" right="0.5" top="0.75" bottom="0.75" header="0.25" footer="0.25"/>
  <pageSetup orientation="landscape" paperSize="9" fitToHeight="0" fitToWidth="1"/>
</worksheet>
</file>

<file path=xl/worksheets/sheet2.xml><?xml version="1.0" encoding="utf-8"?>
<worksheet xmlns="http://schemas.openxmlformats.org/spreadsheetml/2006/main">
  <sheetPr>
    <tabColor rgb="004F2D7F"/>
    <outlinePr summaryBelow="1" summaryRight="1"/>
    <pageSetUpPr fitToPage="1"/>
  </sheetPr>
  <dimension ref="B1:E21"/>
  <sheetViews>
    <sheetView showGridLines="0" workbookViewId="0">
      <selection activeCell="A1" sqref="A1"/>
    </sheetView>
  </sheetViews>
  <sheetFormatPr baseColWidth="8" defaultRowHeight="15"/>
  <cols>
    <col width="2" customWidth="1" min="1" max="1"/>
    <col width="46" customWidth="1" min="2" max="2"/>
    <col width="62" customWidth="1" min="3" max="3"/>
    <col width="2" customWidth="1" min="4" max="4"/>
    <col width="40" customWidth="1" min="5" max="5"/>
  </cols>
  <sheetData>
    <row r="1" ht="34" customHeight="1">
      <c r="B1" s="15" t="inlineStr">
        <is>
          <t>1. ORGANISATION PROFILE</t>
        </is>
      </c>
    </row>
    <row r="2" ht="28" customHeight="1">
      <c r="B2" s="16" t="inlineStr">
        <is>
          <t>Complete the yellow cells. The profile personalises the report and determines which regulatory considerations apply. Takes about 2 minutes.</t>
        </is>
      </c>
    </row>
    <row r="4" ht="24" customHeight="1">
      <c r="B4" s="17" t="inlineStr">
        <is>
          <t>Organisation name</t>
        </is>
      </c>
      <c r="C4" s="18" t="inlineStr">
        <is>
          <t>Grant Thornton Bahrain</t>
        </is>
      </c>
      <c r="E4" s="5" t="inlineStr">
        <is>
          <t>Tip</t>
        </is>
      </c>
    </row>
    <row r="5" ht="24" customHeight="1">
      <c r="B5" s="17" t="inlineStr">
        <is>
          <t>Sector</t>
        </is>
      </c>
      <c r="C5" s="18" t="inlineStr">
        <is>
          <t>Professional services</t>
        </is>
      </c>
      <c r="E5" s="19" t="inlineStr">
        <is>
          <t>Scope the assessment to the whole organisation for a readiness baseline, or to a single AI system to support a use-case decision. For use-case level risk assessment use the GT AI Risk Assessment Toolkit.</t>
        </is>
      </c>
    </row>
    <row r="6" ht="24" customHeight="1">
      <c r="B6" s="17" t="inlineStr">
        <is>
          <t>Organisation size</t>
        </is>
      </c>
      <c r="C6" s="18" t="inlineStr">
        <is>
          <t>251-1,000 employees</t>
        </is>
      </c>
    </row>
    <row r="7" ht="24" customHeight="1">
      <c r="B7" s="17" t="inlineStr">
        <is>
          <t>Scope of assessment</t>
        </is>
      </c>
      <c r="C7" s="18" t="inlineStr">
        <is>
          <t>Whole organisation</t>
        </is>
      </c>
    </row>
    <row r="8" ht="24" customHeight="1">
      <c r="B8" s="17" t="inlineStr">
        <is>
          <t>Scope description (optional)</t>
        </is>
      </c>
      <c r="C8" s="18" t="inlineStr">
        <is>
          <t>Firm-wide AI adoption across Audit, Tax, Advisory and internal functions</t>
        </is>
      </c>
    </row>
    <row r="9" ht="24" customHeight="1">
      <c r="B9" s="17" t="inlineStr">
        <is>
          <t>Completed by</t>
        </is>
      </c>
      <c r="C9" s="18" t="inlineStr">
        <is>
          <t>AI Service Line Lead</t>
        </is>
      </c>
    </row>
    <row r="10" ht="24" customHeight="1">
      <c r="B10" s="17" t="inlineStr">
        <is>
          <t>Role / title</t>
        </is>
      </c>
      <c r="C10" s="18" t="inlineStr">
        <is>
          <t>Director, Risk Advisory</t>
        </is>
      </c>
    </row>
    <row r="11" ht="24" customHeight="1">
      <c r="B11" s="17" t="inlineStr">
        <is>
          <t>Email address (to send yourself the report)</t>
        </is>
      </c>
      <c r="C11" s="18" t="inlineStr"/>
    </row>
    <row r="12" ht="24" customHeight="1">
      <c r="B12" s="17" t="inlineStr">
        <is>
          <t>Assessment date (dd/mm/yyyy)</t>
        </is>
      </c>
      <c r="C12" s="18" t="inlineStr">
        <is>
          <t>24/09/2026</t>
        </is>
      </c>
    </row>
    <row r="13" ht="24" customHeight="1">
      <c r="B13" s="17" t="inlineStr">
        <is>
          <t>Grant Thornton contact (optional)</t>
        </is>
      </c>
      <c r="C13" s="18" t="inlineStr"/>
    </row>
    <row r="15">
      <c r="B15" s="20" t="inlineStr">
        <is>
          <t>REGULATORY CONTEXT</t>
        </is>
      </c>
      <c r="C15" s="21" t="n"/>
    </row>
    <row r="16" ht="24" customHeight="1">
      <c r="B16" s="17" t="inlineStr">
        <is>
          <t>Is the organisation licensed by the Central Bank of Bahrain (CBB)?</t>
        </is>
      </c>
      <c r="C16" s="18" t="inlineStr">
        <is>
          <t>No</t>
        </is>
      </c>
    </row>
    <row r="17" ht="24" customHeight="1">
      <c r="B17" s="17" t="inlineStr">
        <is>
          <t>Do AI systems process personal data of individuals in Bahrain?</t>
        </is>
      </c>
      <c r="C17" s="18" t="inlineStr">
        <is>
          <t>Yes</t>
        </is>
      </c>
    </row>
    <row r="18" ht="24" customHeight="1">
      <c r="B18" s="17" t="inlineStr">
        <is>
          <t>Are AI-enabled products / services offered in the EU, or AI outputs used in the EU?</t>
        </is>
      </c>
      <c r="C18" s="18" t="inlineStr">
        <is>
          <t>Yes</t>
        </is>
      </c>
    </row>
    <row r="19" ht="24" customHeight="1">
      <c r="B19" s="17" t="inlineStr">
        <is>
          <t>Does the organisation operate in KSA, UAE or other GCC markets?</t>
        </is>
      </c>
      <c r="C19" s="18" t="inlineStr">
        <is>
          <t>Yes</t>
        </is>
      </c>
    </row>
    <row r="20" ht="24" customHeight="1">
      <c r="B20" s="17" t="inlineStr">
        <is>
          <t>Is the organisation a government entity or public-sector body?</t>
        </is>
      </c>
      <c r="C20" s="18" t="inlineStr">
        <is>
          <t>No</t>
        </is>
      </c>
    </row>
    <row r="21" ht="24" customHeight="1">
      <c r="B21" s="17" t="inlineStr">
        <is>
          <t>Does the organisation develop AI (provider) or only use it (deployer)?</t>
        </is>
      </c>
      <c r="C21" s="18" t="inlineStr">
        <is>
          <t>Deployer only (uses AI built by others)</t>
        </is>
      </c>
    </row>
  </sheetData>
  <mergeCells count="4">
    <mergeCell ref="B1:C1"/>
    <mergeCell ref="E5:E9"/>
    <mergeCell ref="B2:C2"/>
    <mergeCell ref="B15:C15"/>
  </mergeCells>
  <dataValidations count="9">
    <dataValidation sqref="C5" showDropDown="0" showInputMessage="0" showErrorMessage="1" allowBlank="1" errorTitle="Invalid entry" error="Please choose a value from the list." type="list">
      <formula1>=Lists!$B$1:$B$12</formula1>
    </dataValidation>
    <dataValidation sqref="C6" showDropDown="0" showInputMessage="0" showErrorMessage="1" allowBlank="1" errorTitle="Invalid entry" error="Please choose a value from the list." type="list">
      <formula1>=Lists!$C$1:$C$5</formula1>
    </dataValidation>
    <dataValidation sqref="C7" showDropDown="0" showInputMessage="0" showErrorMessage="1" allowBlank="1" errorTitle="Invalid entry" error="Please choose a value from the list." type="list">
      <formula1>=Lists!$D$1:$D$3</formula1>
    </dataValidation>
    <dataValidation sqref="C16" showDropDown="0" showInputMessage="0" showErrorMessage="1" allowBlank="1" errorTitle="Invalid entry" error="Please choose a value from the list." type="list">
      <formula1>=Lists!$A$1:$A$2</formula1>
    </dataValidation>
    <dataValidation sqref="C17" showDropDown="0" showInputMessage="0" showErrorMessage="1" allowBlank="1" errorTitle="Invalid entry" error="Please choose a value from the list." type="list">
      <formula1>=Lists!$A$1:$A$2</formula1>
    </dataValidation>
    <dataValidation sqref="C18" showDropDown="0" showInputMessage="0" showErrorMessage="1" allowBlank="1" errorTitle="Invalid entry" error="Please choose a value from the list." type="list">
      <formula1>=Lists!$A$1:$A$2</formula1>
    </dataValidation>
    <dataValidation sqref="C19" showDropDown="0" showInputMessage="0" showErrorMessage="1" allowBlank="1" errorTitle="Invalid entry" error="Please choose a value from the list." type="list">
      <formula1>=Lists!$A$1:$A$2</formula1>
    </dataValidation>
    <dataValidation sqref="C20" showDropDown="0" showInputMessage="0" showErrorMessage="1" allowBlank="1" errorTitle="Invalid entry" error="Please choose a value from the list." type="list">
      <formula1>=Lists!$A$1:$A$2</formula1>
    </dataValidation>
    <dataValidation sqref="C21" showDropDown="0" showInputMessage="0" showErrorMessage="1" allowBlank="1" errorTitle="Invalid entry" error="Please choose a value from the list." type="list">
      <formula1>=Lists!$E$1:$E$3</formula1>
    </dataValidation>
  </dataValidations>
  <printOptions gridLines="0"/>
  <pageMargins left="0.5" right="0.5" top="0.75" bottom="0.75" header="0.25" footer="0.25"/>
  <pageSetup orientation="landscape" paperSize="9" fitToHeight="0" fitToWidth="1"/>
</worksheet>
</file>

<file path=xl/worksheets/sheet3.xml><?xml version="1.0" encoding="utf-8"?>
<worksheet xmlns="http://schemas.openxmlformats.org/spreadsheetml/2006/main">
  <sheetPr>
    <tabColor rgb="004F2D7F"/>
    <outlinePr summaryBelow="1" summaryRight="1"/>
    <pageSetUpPr fitToPage="1"/>
  </sheetPr>
  <dimension ref="B1:L30"/>
  <sheetViews>
    <sheetView showGridLines="0" workbookViewId="0">
      <pane ySplit="8" topLeftCell="A9" activePane="bottomLeft" state="frozen"/>
      <selection pane="bottomLeft" activeCell="A1" sqref="A1"/>
    </sheetView>
  </sheetViews>
  <sheetFormatPr baseColWidth="8" defaultRowHeight="15"/>
  <cols>
    <col width="2" customWidth="1" min="1" max="1"/>
    <col width="6" customWidth="1" min="2" max="2"/>
    <col width="17" customWidth="1" min="3" max="3"/>
    <col width="52" customWidth="1" min="4" max="4"/>
    <col width="56" customWidth="1" min="5" max="5"/>
    <col width="9" customWidth="1" min="6" max="6"/>
    <col width="13" customWidth="1" min="7" max="7"/>
    <col width="54" customWidth="1" min="8" max="8"/>
    <col width="17" customWidth="1" min="9" max="9"/>
    <col width="17" customWidth="1" min="10" max="10"/>
    <col width="2" customWidth="1" min="11" max="11"/>
    <col hidden="1" width="6" customWidth="1" min="12" max="12"/>
  </cols>
  <sheetData>
    <row r="1" ht="34" customHeight="1">
      <c r="B1" s="15" t="inlineStr">
        <is>
          <t>2. ASSESSMENT  -  20 questions  |  approx. 20 minutes</t>
        </is>
      </c>
    </row>
    <row r="2" ht="44" customHeight="1">
      <c r="B2" s="22" t="inlineStr">
        <is>
          <t>Select the statement in column E that best describes your current state (choose the lower level if unsure - evidence should exist for the level selected). Part A profiles your AI use and inherent risk (based on the NSW AI Assessment Framework). Part B measures readiness across 5 domains (derived from the 7 GT AI Ready7 pillars), mapped to the GT AI RCM v2.1 controls. Results update live below and in the '3. Report' sheet.</t>
        </is>
      </c>
    </row>
    <row r="4" ht="20" customHeight="1">
      <c r="B4" s="23" t="inlineStr">
        <is>
          <t>ANSWERED</t>
        </is>
      </c>
      <c r="C4" s="21" t="n"/>
      <c r="D4" s="23" t="inlineStr">
        <is>
          <t>OVERALL AI READINESS</t>
        </is>
      </c>
      <c r="E4" s="23" t="inlineStr">
        <is>
          <t>MATURITY LEVEL</t>
        </is>
      </c>
      <c r="F4" s="23" t="inlineStr">
        <is>
          <t>INHERENT RISK TIER</t>
        </is>
      </c>
      <c r="G4" s="21" t="n"/>
      <c r="H4" s="23" t="inlineStr">
        <is>
          <t>AI RISK EXPOSURE -&gt; PATHWAY</t>
        </is>
      </c>
      <c r="I4" s="23" t="inlineStr">
        <is>
          <t>YOUR REPORT</t>
        </is>
      </c>
      <c r="J4" s="21" t="n"/>
    </row>
    <row r="5" ht="36" customHeight="1">
      <c r="B5" s="24" t="str">
        <f>Calc!B20&amp;" / 20"</f>
        <v>20 / 20</v>
      </c>
      <c r="C5" s="21" t="n"/>
      <c r="D5" s="25">
        <f>IF(Calc!B45="","-",Calc!B45)</f>
        <v>0.591666666666667</v>
      </c>
      <c r="E5" s="24" t="str">
        <f>IF(Calc!B46="","-",Calc!B46)</f>
        <v>Informed</v>
      </c>
      <c r="F5" s="24" t="str">
        <f>IF(Calc!C32="","-",Calc!C32)</f>
        <v>Medium</v>
      </c>
      <c r="G5" s="21" t="n"/>
      <c r="H5" s="26" t="str">
        <f>IF(Calc!B57="","-",Calc!B57&amp;"  -&gt;  "&amp;Calc!B58)</f>
        <v>Moderate  -&gt;  PROCEED WITH CONDITIONS</v>
      </c>
      <c r="I5" s="27" t="str">
        <f>IF(Calc!B21=1,"Ready - see 3. Report","Complete all questions")</f>
        <v>Ready - see 3. Report</v>
      </c>
      <c r="J5" s="21" t="n"/>
    </row>
    <row r="8" ht="30" customHeight="1">
      <c r="B8" s="28" t="inlineStr">
        <is>
          <t>#</t>
        </is>
      </c>
      <c r="C8" s="28" t="inlineStr">
        <is>
          <t>Area</t>
        </is>
      </c>
      <c r="D8" s="28" t="inlineStr">
        <is>
          <t>Question</t>
        </is>
      </c>
      <c r="E8" s="28" t="inlineStr">
        <is>
          <t>Your response (select from list)</t>
        </is>
      </c>
      <c r="F8" s="28" t="inlineStr">
        <is>
          <t>Score</t>
        </is>
      </c>
      <c r="G8" s="28" t="inlineStr">
        <is>
          <t>Status</t>
        </is>
      </c>
      <c r="H8" s="28" t="inlineStr">
        <is>
          <t>What this means / recommended next step</t>
        </is>
      </c>
      <c r="I8" s="28" t="inlineStr">
        <is>
          <t>Linked controls (GT AI RCM v2.1)</t>
        </is>
      </c>
      <c r="J8" s="28" t="inlineStr">
        <is>
          <t>Requirement type</t>
        </is>
      </c>
    </row>
    <row r="9" ht="22" customHeight="1">
      <c r="B9" s="29" t="inlineStr">
        <is>
          <t>PART A  -  AI USE &amp; INHERENT RISK PROFILE  (AIAF-based: how much could go wrong?)</t>
        </is>
      </c>
      <c r="C9" s="21" t="n"/>
      <c r="D9" s="21" t="n"/>
      <c r="E9" s="21" t="n"/>
      <c r="F9" s="21" t="n"/>
      <c r="G9" s="21" t="n"/>
      <c r="H9" s="21" t="n"/>
      <c r="I9" s="21" t="n"/>
      <c r="J9" s="21" t="n"/>
    </row>
    <row r="10" ht="84" customHeight="1">
      <c r="B10" s="30" t="inlineStr">
        <is>
          <t>A1</t>
        </is>
      </c>
      <c r="C10" s="31" t="inlineStr">
        <is>
          <t>AI use profile</t>
        </is>
      </c>
      <c r="D10" s="32" t="inlineStr">
        <is>
          <r>
            <rPr>
              <b val="1"/>
              <sz val="10"/>
            </rPr>
            <t>Which statement best describes how AI is used in your organisation today (including AI embedded in software and tools used by staff)?</t>
          </r>
          <r>
            <rPr>
              <i val="1"/>
              <color rgb="006B6B6B"/>
              <sz val="8.5"/>
            </rPr>
            <t xml:space="preserve">
Consider approved and unapproved tools, vendor software with AI features and AI used by suppliers on your behalf.</t>
          </r>
        </is>
      </c>
      <c r="E10" s="33" t="inlineStr">
        <is>
          <t>Approved enterprise GenAI tools and AI features embedded in business software across teams</t>
        </is>
      </c>
      <c r="F10" s="34">
        <f>IF(L10="","",INDEX(QBank!$C$2:$C$6,L10))</f>
        <v>2</v>
      </c>
      <c r="G10" s="35" t="str">
        <f>IF(L10="","Not answered",INDEX(QBank!$D$2:$D$6,L10))</f>
        <v>Medium</v>
      </c>
      <c r="H10" s="36" t="str">
        <f>IF(L10="","",INDEX(QBank!$E$2:$E$6,L10))</f>
        <v>AI is part of day-to-day work. Exposure spans data protection, output quality, vendor dependence and consistent human review.</v>
      </c>
      <c r="I10" s="7" t="inlineStr">
        <is>
          <t>Tiering factor (risk framework T1-T3)</t>
        </is>
      </c>
      <c r="J10" s="7" t="inlineStr">
        <is>
          <t>Inherent-risk driver</t>
        </is>
      </c>
      <c r="L10">
        <f>IF(E10="","",IFERROR(MATCH(E10,QBank!$B$2:$B$6,0),""))</f>
        <v>3</v>
      </c>
    </row>
    <row r="11" ht="84" customHeight="1">
      <c r="B11" s="30" t="inlineStr">
        <is>
          <t>A2</t>
        </is>
      </c>
      <c r="C11" s="31" t="inlineStr">
        <is>
          <t>Decision impact</t>
        </is>
      </c>
      <c r="D11" s="32" t="inlineStr">
        <is>
          <r>
            <rPr>
              <b val="1"/>
              <sz val="10"/>
            </rPr>
            <t>What is the most significant type of decision or outcome your AI systems influence?</t>
          </r>
          <r>
            <rPr>
              <i val="1"/>
              <color rgb="006B6B6B"/>
              <sz val="8.5"/>
            </rPr>
            <t xml:space="preserve">
Answer for the highest-impact AI use case in scope (AIAF: 'worst credible harm').</t>
          </r>
        </is>
      </c>
      <c r="E11" s="33" t="inlineStr">
        <is>
          <t>Customer- or client-facing outputs with limited individual impact (e.g., FAQ chatbots, marketing content)</t>
        </is>
      </c>
      <c r="F11" s="34">
        <f>IF(L11="","",INDEX(QBank!$C$7:$C$11,L11))</f>
        <v>2</v>
      </c>
      <c r="G11" s="35" t="str">
        <f>IF(L11="","Not answered",INDEX(QBank!$D$7:$D$11,L11))</f>
        <v>Medium</v>
      </c>
      <c r="H11" s="36" t="str">
        <f>IF(L11="","",INDEX(QBank!$E$7:$E$11,L11))</f>
        <v>External stakeholders see AI outputs - disclosure, accuracy and reputational controls apply (e.g., EU AI Act Art. 50 where relevant).</v>
      </c>
      <c r="I11" s="7" t="inlineStr">
        <is>
          <t>Tiering factor (risk framework T1-T3)</t>
        </is>
      </c>
      <c r="J11" s="7" t="inlineStr">
        <is>
          <t>Inherent-risk driver</t>
        </is>
      </c>
      <c r="L11">
        <f>IF(E11="","",IFERROR(MATCH(E11,QBank!$B$7:$B$11,0),""))</f>
        <v>3</v>
      </c>
    </row>
    <row r="12" ht="84" customHeight="1">
      <c r="B12" s="30" t="inlineStr">
        <is>
          <t>A3</t>
        </is>
      </c>
      <c r="C12" s="31" t="inlineStr">
        <is>
          <t>Data sensitivity</t>
        </is>
      </c>
      <c r="D12" s="32" t="inlineStr">
        <is>
          <r>
            <rPr>
              <b val="1"/>
              <sz val="10"/>
            </rPr>
            <t>What is the most sensitive data processed by your AI systems (including data staff enter into AI tools)?</t>
          </r>
          <r>
            <rPr>
              <i val="1"/>
              <color rgb="006B6B6B"/>
              <sz val="8.5"/>
            </rPr>
            <t xml:space="preserve">
Include prompts, uploaded documents, training / fine-tuning data, retrieval sources and logs.</t>
          </r>
        </is>
      </c>
      <c r="E12" s="33" t="inlineStr">
        <is>
          <t>Confidential business or client information</t>
        </is>
      </c>
      <c r="F12" s="34">
        <f>IF(L12="","",INDEX(QBank!$C$12:$C$16,L12))</f>
        <v>2</v>
      </c>
      <c r="G12" s="35" t="str">
        <f>IF(L12="","Not answered",INDEX(QBank!$D$12:$D$16,L12))</f>
        <v>Medium</v>
      </c>
      <c r="H12" s="36" t="str">
        <f>IF(L12="","",INDEX(QBank!$E$12:$E$16,L12))</f>
        <v>Confidentiality and contractual obligations apply; vendor data-use terms are critical.</v>
      </c>
      <c r="I12" s="7" t="inlineStr">
        <is>
          <t>Tiering factor (risk framework T1-T3)</t>
        </is>
      </c>
      <c r="J12" s="7" t="inlineStr">
        <is>
          <t>Inherent-risk driver</t>
        </is>
      </c>
      <c r="L12">
        <f>IF(E12="","",IFERROR(MATCH(E12,QBank!$B$12:$B$16,0),""))</f>
        <v>3</v>
      </c>
    </row>
    <row r="13" ht="84" customHeight="1">
      <c r="B13" s="30" t="inlineStr">
        <is>
          <t>A4</t>
        </is>
      </c>
      <c r="C13" s="31" t="inlineStr">
        <is>
          <t>Oversight &amp; reversibility</t>
        </is>
      </c>
      <c r="D13" s="32" t="inlineStr">
        <is>
          <r>
            <rPr>
              <b val="1"/>
              <sz val="10"/>
            </rPr>
            <t>How much human oversight applies to AI outputs, and how reversible are the outcomes?</t>
          </r>
          <r>
            <rPr>
              <i val="1"/>
              <color rgb="006B6B6B"/>
              <sz val="8.5"/>
            </rPr>
            <t xml:space="preserve">
AIAF considers autonomy, human oversight and whether outputs are reversible or correctable.</t>
          </r>
        </is>
      </c>
      <c r="E13" s="33" t="inlineStr">
        <is>
          <t>A qualified human reviews and approves every AI output before it is used</t>
        </is>
      </c>
      <c r="F13" s="34">
        <f>IF(L13="","",INDEX(QBank!$C$17:$C$21,L13))</f>
        <v>1</v>
      </c>
      <c r="G13" s="35" t="str">
        <f>IF(L13="","Not answered",INDEX(QBank!$D$17:$D$21,L13))</f>
        <v>Low</v>
      </c>
      <c r="H13" s="36" t="str">
        <f>IF(L13="","",INDEX(QBank!$E$17:$E$21,L13))</f>
        <v>Effective 'human-in-charge' control if reviewers are trained and have time and authority to challenge.</v>
      </c>
      <c r="I13" s="7" t="inlineStr">
        <is>
          <t>Tiering factor (risk framework T1-T3)</t>
        </is>
      </c>
      <c r="J13" s="7" t="inlineStr">
        <is>
          <t>Inherent-risk driver</t>
        </is>
      </c>
      <c r="L13">
        <f>IF(E13="","",IFERROR(MATCH(E13,QBank!$B$17:$B$21,0),""))</f>
        <v>2</v>
      </c>
    </row>
    <row r="14" ht="22" customHeight="1">
      <c r="B14" s="29" t="inlineStr">
        <is>
          <t>PART B  -  AI READINESS &amp; CONTROL MATURITY  (5 domains + GT AI RCM: how well is it managed?)</t>
        </is>
      </c>
      <c r="C14" s="21" t="n"/>
      <c r="D14" s="21" t="n"/>
      <c r="E14" s="21" t="n"/>
      <c r="F14" s="21" t="n"/>
      <c r="G14" s="21" t="n"/>
      <c r="H14" s="21" t="n"/>
      <c r="I14" s="21" t="n"/>
      <c r="J14" s="21" t="n"/>
    </row>
    <row r="15" ht="96" customHeight="1">
      <c r="B15" s="30" t="inlineStr">
        <is>
          <t>Q5</t>
        </is>
      </c>
      <c r="C15" s="31" t="inlineStr">
        <is>
          <t>AI Governance
AI governance structure &amp; accountability</t>
        </is>
      </c>
      <c r="D15" s="32" t="inlineStr">
        <is>
          <r>
            <rPr>
              <b val="1"/>
              <sz val="10"/>
            </rPr>
            <t>Is there a defined AI governance structure - board / executive oversight, an AI committee with decision rights, named owners for every AI system and clear three-lines-of-defence responsibilities?</t>
          </r>
          <r>
            <rPr>
              <i val="1"/>
              <color rgb="006B6B6B"/>
              <sz val="8.5"/>
            </rPr>
            <t xml:space="preserve">
Evidence: board / ExCo terms of reference covering AI, AI committee charter, RACI, AI system owner register, internal-audit coverage.</t>
          </r>
        </is>
      </c>
      <c r="E15" s="33" t="inlineStr">
        <is>
          <t>AI committee or sponsor defined on paper; roles and decision rights partly documented</t>
        </is>
      </c>
      <c r="F15" s="37">
        <f>IF(L15="","",INDEX(QBank!$C$22:$C$26,L15))</f>
        <v>0.5</v>
      </c>
      <c r="G15" s="35" t="str">
        <f>IF(L15="","Not answered",INDEX(QBank!$D$22:$D$26,L15))</f>
        <v>Partially met</v>
      </c>
      <c r="H15" s="36" t="str">
        <f>IF(L15="","",INDEX(QBank!$E$22:$E$26,L15))</f>
        <v>Assign named business and technical owners to every AI system and publish a RACI across the three lines of defence.</v>
      </c>
      <c r="I15" s="7" t="inlineStr">
        <is>
          <t>GL-1, GL-2, GL-7, AA-1</t>
        </is>
      </c>
      <c r="J15" s="7" t="inlineStr">
        <is>
          <t>⚠ Mandatory Requirement</t>
        </is>
      </c>
      <c r="L15">
        <f>IF(E15="","",IFERROR(MATCH(E15,QBank!$B$22:$B$26,0),""))</f>
        <v>3</v>
      </c>
    </row>
    <row r="16" ht="96" customHeight="1">
      <c r="B16" s="30" t="inlineStr">
        <is>
          <t>Q6</t>
        </is>
      </c>
      <c r="C16" s="31" t="inlineStr">
        <is>
          <t>AI Governance
AI policy, acceptable use &amp; regulatory compliance</t>
        </is>
      </c>
      <c r="D16" s="32" t="inlineStr">
        <is>
          <r>
            <rPr>
              <b val="1"/>
              <sz val="10"/>
            </rPr>
            <t>Do you have an approved AI (acceptable-use) policy and a process to identify and comply with applicable AI-related regulation (e.g., Bahrain PDPL, CBB rules, EU AI Act)?</t>
          </r>
          <r>
            <rPr>
              <i val="1"/>
              <color rgb="006B6B6B"/>
              <sz val="8.5"/>
            </rPr>
            <t xml:space="preserve">
Evidence: AI policy, approved-tools list, staff acknowledgements, obligations register, compliance reviews.</t>
          </r>
        </is>
      </c>
      <c r="E16" s="33" t="inlineStr">
        <is>
          <t>AI policy enforced with staff acknowledgement; obligations register maps regulations to controls and owners</t>
        </is>
      </c>
      <c r="F16" s="37">
        <f>IF(L16="","",INDEX(QBank!$C$27:$C$31,L16))</f>
        <v>0.75</v>
      </c>
      <c r="G16" s="35" t="str">
        <f>IF(L16="","Not answered",INDEX(QBank!$D$27:$D$31,L16))</f>
        <v>Largely met</v>
      </c>
      <c r="H16" s="36" t="str">
        <f>IF(L16="","",INDEX(QBank!$E$27:$E$31,L16))</f>
        <v>Establish monthly regulatory horizon scanning and periodic compliance testing with evidence retention.</v>
      </c>
      <c r="I16" s="7" t="inlineStr">
        <is>
          <t>GL-5, RO-1, RO-5</t>
        </is>
      </c>
      <c r="J16" s="7" t="inlineStr">
        <is>
          <t>⟳ Compliance Obligation</t>
        </is>
      </c>
      <c r="L16">
        <f>IF(E16="","",IFERROR(MATCH(E16,QBank!$B$27:$B$31,0),""))</f>
        <v>4</v>
      </c>
    </row>
    <row r="17" ht="96" customHeight="1">
      <c r="B17" s="30" t="inlineStr">
        <is>
          <t>Q7</t>
        </is>
      </c>
      <c r="C17" s="31" t="inlineStr">
        <is>
          <t>AI Governance
Responsible-AI guardrails &amp; human oversight</t>
        </is>
      </c>
      <c r="D17" s="32" t="inlineStr">
        <is>
          <r>
            <rPr>
              <b val="1"/>
              <sz val="10"/>
            </rPr>
            <t>Are there practical guardrails for fairness, transparency and human oversight, overseen by an AI committee or centre of excellence?</t>
          </r>
          <r>
            <rPr>
              <i val="1"/>
              <color rgb="006B6B6B"/>
              <sz val="8.5"/>
            </rPr>
            <t xml:space="preserve">
Evidence: committee / CoE charter, guardrail standards, human-in-charge procedures, bias tests, AI disclosures, appeal routes.</t>
          </r>
        </is>
      </c>
      <c r="E17" s="33" t="inlineStr">
        <is>
          <t>AI committee / CoE established; guardrails defined for some areas (e.g., human review of outputs)</t>
        </is>
      </c>
      <c r="F17" s="37">
        <f>IF(L17="","",INDEX(QBank!$C$32:$C$36,L17))</f>
        <v>0.5</v>
      </c>
      <c r="G17" s="35" t="str">
        <f>IF(L17="","Not answered",INDEX(QBank!$D$32:$D$36,L17))</f>
        <v>Partially met</v>
      </c>
      <c r="H17" s="36" t="str">
        <f>IF(L17="","",INDEX(QBank!$E$32:$E$36,L17))</f>
        <v>Apply mandatory human-in-charge controls and AI disclosure to all relevant AI; require committee approval for High / Critical uses.</v>
      </c>
      <c r="I17" s="7" t="inlineStr">
        <is>
          <t>GL-7, RS-1, RS-4, RS-5, CO-1, CO-3</t>
        </is>
      </c>
      <c r="J17" s="7" t="inlineStr">
        <is>
          <t>⚖ Ethical Consideration</t>
        </is>
      </c>
      <c r="L17">
        <f>IF(E17="","",IFERROR(MATCH(E17,QBank!$B$32:$B$36,0),""))</f>
        <v>3</v>
      </c>
    </row>
    <row r="18" ht="96" customHeight="1">
      <c r="B18" s="30" t="inlineStr">
        <is>
          <t>Q8</t>
        </is>
      </c>
      <c r="C18" s="31" t="inlineStr">
        <is>
          <t>AI Governance
AI incidents, monitoring &amp; assurance</t>
        </is>
      </c>
      <c r="D18" s="32" t="inlineStr">
        <is>
          <r>
            <rPr>
              <b val="1"/>
              <sz val="10"/>
            </rPr>
            <t>Are AI incidents detected, managed and reported, and is AI governance subject to internal audit or independent assurance?</t>
          </r>
          <r>
            <rPr>
              <i val="1"/>
              <color rgb="006B6B6B"/>
              <sz val="8.5"/>
            </rPr>
            <t xml:space="preserve">
Evidence: AI incident categories, notification criteria, incident logs, internal-audit reports, vendor assurance, certification status.</t>
          </r>
        </is>
      </c>
      <c r="E18" s="33" t="inlineStr">
        <is>
          <t>AI incident management with regulatory notification criteria; periodic internal audit of AI governance; assurance obtained from AI vendors</t>
        </is>
      </c>
      <c r="F18" s="37">
        <f>IF(L18="","",INDEX(QBank!$C$37:$C$41,L18))</f>
        <v>0.75</v>
      </c>
      <c r="G18" s="35" t="str">
        <f>IF(L18="","Not answered",INDEX(QBank!$D$37:$D$41,L18))</f>
        <v>Largely met</v>
      </c>
      <c r="H18" s="36" t="str">
        <f>IF(L18="","",INDEX(QBank!$E$37:$E$41,L18))</f>
        <v>Implement post-incident learning and an ISO/IEC 42001 certification-readiness review.</v>
      </c>
      <c r="I18" s="7" t="inlineStr">
        <is>
          <t>IM-1, IM-2, IM-3, AA-1, AA-2, RO-4</t>
        </is>
      </c>
      <c r="J18" s="7" t="inlineStr">
        <is>
          <t>⟳ Compliance Obligation</t>
        </is>
      </c>
      <c r="L18">
        <f>IF(E18="","",IFERROR(MATCH(E18,QBank!$B$37:$B$41,0),""))</f>
        <v>4</v>
      </c>
    </row>
    <row r="19" ht="96" customHeight="1">
      <c r="B19" s="30" t="inlineStr">
        <is>
          <t>Q9</t>
        </is>
      </c>
      <c r="C19" s="31" t="inlineStr">
        <is>
          <t>AI Risk &amp; Security
AI risk management framework</t>
        </is>
      </c>
      <c r="D19" s="32" t="inlineStr">
        <is>
          <r>
            <rPr>
              <b val="1"/>
              <sz val="10"/>
            </rPr>
            <t>Is there a documented AI risk management framework - risk taxonomy, assessment method, scoring scales and treatment process - integrated with enterprise risk management?</t>
          </r>
          <r>
            <rPr>
              <i val="1"/>
              <color rgb="006B6B6B"/>
              <sz val="8.5"/>
            </rPr>
            <t xml:space="preserve">
Evidence: AI risk framework / methodology (e.g., aligned to ISO/IEC 23894 or NIST AI RMF), AI risk register, link to the enterprise risk register, completed assessments.</t>
          </r>
        </is>
      </c>
      <c r="E19" s="33" t="inlineStr">
        <is>
          <t>AI risks considered informally within general IT or project risk</t>
        </is>
      </c>
      <c r="F19" s="37">
        <f>IF(L19="","",INDEX(QBank!$C$42:$C$46,L19))</f>
        <v>0.25</v>
      </c>
      <c r="G19" s="35" t="str">
        <f>IF(L19="","Not answered",INDEX(QBank!$D$42:$D$46,L19))</f>
        <v>Minimal</v>
      </c>
      <c r="H19" s="36" t="str">
        <f>IF(L19="","",INDEX(QBank!$E$42:$E$46,L19))</f>
        <v>Formalise the methodology, approve it at executive level and pilot it on current AI initiatives.</v>
      </c>
      <c r="I19" s="7" t="inlineStr">
        <is>
          <t>RM-1, RM-2, RM-3, RM-5</t>
        </is>
      </c>
      <c r="J19" s="7" t="inlineStr">
        <is>
          <t>⚠ Mandatory Requirement</t>
        </is>
      </c>
      <c r="L19">
        <f>IF(E19="","",IFERROR(MATCH(E19,QBank!$B$42:$B$46,0),""))</f>
        <v>2</v>
      </c>
    </row>
    <row r="20" ht="96" customHeight="1">
      <c r="B20" s="30" t="inlineStr">
        <is>
          <t>Q10</t>
        </is>
      </c>
      <c r="C20" s="31" t="inlineStr">
        <is>
          <t>AI Risk &amp; Security
AI risk appetite, KRIs &amp; reporting</t>
        </is>
      </c>
      <c r="D20" s="32" t="inlineStr">
        <is>
          <r>
            <rPr>
              <b val="1"/>
              <sz val="10"/>
            </rPr>
            <t>Has the board approved an AI risk appetite with measurable tolerances, and are key risk indicators (KRIs) monitored and reported with defined escalation?</t>
          </r>
          <r>
            <rPr>
              <i val="1"/>
              <color rgb="006B6B6B"/>
              <sz val="8.5"/>
            </rPr>
            <t xml:space="preserve">
Evidence: approved AI risk appetite statement, KRI library with thresholds, risk dashboards, escalation and breach records.</t>
          </r>
        </is>
      </c>
      <c r="E20" s="33" t="inlineStr">
        <is>
          <t>AI risk appetite drafted; a few indicators tracked informally</t>
        </is>
      </c>
      <c r="F20" s="37">
        <f>IF(L20="","",INDEX(QBank!$C$47:$C$51,L20))</f>
        <v>0.5</v>
      </c>
      <c r="G20" s="35" t="str">
        <f>IF(L20="","Not answered",INDEX(QBank!$D$47:$D$51,L20))</f>
        <v>Partially met</v>
      </c>
      <c r="H20" s="36" t="str">
        <f>IF(L20="","",INDEX(QBank!$E$47:$E$51,L20))</f>
        <v>Define KRIs with thresholds and escalation for each risk category and report them to the AI committee quarterly.</v>
      </c>
      <c r="I20" s="7" t="inlineStr">
        <is>
          <t>RM-6, RM-4, GL-1</t>
        </is>
      </c>
      <c r="J20" s="7" t="inlineStr">
        <is>
          <t>⚠ Mandatory Requirement</t>
        </is>
      </c>
      <c r="L20">
        <f>IF(E20="","",IFERROR(MATCH(E20,QBank!$B$47:$B$51,0),""))</f>
        <v>3</v>
      </c>
    </row>
    <row r="21" ht="96" customHeight="1">
      <c r="B21" s="30" t="inlineStr">
        <is>
          <t>Q11</t>
        </is>
      </c>
      <c r="C21" s="31" t="inlineStr">
        <is>
          <t>AI Risk &amp; Security
AI inventory &amp; risk / impact assessment</t>
        </is>
      </c>
      <c r="D21" s="32" t="inlineStr">
        <is>
          <r>
            <rPr>
              <b val="1"/>
              <sz val="10"/>
            </rPr>
            <t>Do you maintain an inventory of AI systems with named owners, and assess AI risks and impacts (including third-party AI) before and after deployment?</t>
          </r>
          <r>
            <rPr>
              <i val="1"/>
              <color rgb="006B6B6B"/>
              <sz val="8.5"/>
            </rPr>
            <t xml:space="preserve">
Evidence: AI register, risk-tiering records, impact assessments, vendor AI due diligence, re-assessment records.</t>
          </r>
        </is>
      </c>
      <c r="E21" s="33" t="inlineStr">
        <is>
          <t>AI register with owners; risk assessments performed for some AI systems using a documented method</t>
        </is>
      </c>
      <c r="F21" s="37">
        <f>IF(L21="","",INDEX(QBank!$C$52:$C$56,L21))</f>
        <v>0.5</v>
      </c>
      <c r="G21" s="35" t="str">
        <f>IF(L21="","Not answered",INDEX(QBank!$D$52:$D$56,L21))</f>
        <v>Partially met</v>
      </c>
      <c r="H21" s="36" t="str">
        <f>IF(L21="","",INDEX(QBank!$E$52:$E$56,L21))</f>
        <v>Extend assessments to all AI systems and third-party AI; set approval authority by risk tier.</v>
      </c>
      <c r="I21" s="7" t="inlineStr">
        <is>
          <t>GL-8, RM-2, RM-5, TP-2</t>
        </is>
      </c>
      <c r="J21" s="7" t="inlineStr">
        <is>
          <t>⚠ Mandatory Requirement</t>
        </is>
      </c>
      <c r="L21">
        <f>IF(E21="","",IFERROR(MATCH(E21,QBank!$B$52:$B$56,0),""))</f>
        <v>3</v>
      </c>
    </row>
    <row r="22" ht="96" customHeight="1">
      <c r="B22" s="30" t="inlineStr">
        <is>
          <t>Q12</t>
        </is>
      </c>
      <c r="C22" s="31" t="inlineStr">
        <is>
          <t>AI Risk &amp; Security
Third-party &amp; AI supply-chain risk</t>
        </is>
      </c>
      <c r="D22" s="32" t="inlineStr">
        <is>
          <r>
            <rPr>
              <b val="1"/>
              <sz val="10"/>
            </rPr>
            <t>Are AI vendors, AI features in purchased software and foundation-model providers risk-assessed before use, with AI-specific contract clauses and ongoing monitoring?</t>
          </r>
          <r>
            <rPr>
              <i val="1"/>
              <color rgb="006B6B6B"/>
              <sz val="8.5"/>
            </rPr>
            <t xml:space="preserve">
Evidence: AI vendor due-diligence questionnaire, contract clauses (no training on your data, residency, incident notice, audit rights), vendor assurance (ISO/IEC 42001, SOC 2), review records.</t>
          </r>
        </is>
      </c>
      <c r="E22" s="33" t="inlineStr">
        <is>
          <t>AI questions added to vendor due diligence for some purchases; contract terms vary</t>
        </is>
      </c>
      <c r="F22" s="37">
        <f>IF(L22="","",INDEX(QBank!$C$57:$C$61,L22))</f>
        <v>0.5</v>
      </c>
      <c r="G22" s="35" t="str">
        <f>IF(L22="","Not answered",INDEX(QBank!$D$57:$D$61,L22))</f>
        <v>Partially met</v>
      </c>
      <c r="H22" s="36" t="str">
        <f>IF(L22="","",INDEX(QBank!$E$57:$E$61,L22))</f>
        <v>Make AI due diligence mandatory and adopt standard AI contract clauses (no training on client data, residency, audit, incident notice).</v>
      </c>
      <c r="I22" s="7" t="inlineStr">
        <is>
          <t>TP-1, TP-2, TP-3, SE-7, LC-6</t>
        </is>
      </c>
      <c r="J22" s="7" t="inlineStr">
        <is>
          <t>⟳ Compliance Obligation</t>
        </is>
      </c>
      <c r="L22">
        <f>IF(E22="","",IFERROR(MATCH(E22,QBank!$B$57:$B$61,0),""))</f>
        <v>3</v>
      </c>
    </row>
    <row r="23" ht="96" customHeight="1">
      <c r="B23" s="30" t="inlineStr">
        <is>
          <t>Q13</t>
        </is>
      </c>
      <c r="C23" s="31" t="inlineStr">
        <is>
          <t>AI Risk &amp; Security
Securing AI systems</t>
        </is>
      </c>
      <c r="D23" s="32" t="inlineStr">
        <is>
          <r>
            <rPr>
              <b val="1"/>
              <sz val="10"/>
            </rPr>
            <t>Are AI systems protected with least-privilege access, secure development and testing (incl. red teaming for prompt injection), and runtime logging?</t>
          </r>
          <r>
            <rPr>
              <i val="1"/>
              <color rgb="006B6B6B"/>
              <sz val="8.5"/>
            </rPr>
            <t xml:space="preserve">
Evidence: AI threat models, access reviews (incl. agent identities), AI red-team reports, guardrail and sandbox configurations, audit logs. Detailed test: GT AI Security &amp; Agent Audit Checklist.</t>
          </r>
        </is>
      </c>
      <c r="E23" s="33" t="inlineStr">
        <is>
          <t>AI-specific threats (e.g., prompt injection, data leakage) assessed for some systems; access controls and logging in place</t>
        </is>
      </c>
      <c r="F23" s="37">
        <f>IF(L23="","",INDEX(QBank!$C$62:$C$66,L23))</f>
        <v>0.5</v>
      </c>
      <c r="G23" s="35" t="str">
        <f>IF(L23="","Not answered",INDEX(QBank!$D$62:$D$66,L23))</f>
        <v>Partially met</v>
      </c>
      <c r="H23" s="36" t="str">
        <f>IF(L23="","",INDEX(QBank!$E$62:$E$66,L23))</f>
        <v>Introduce AI red teaming before release, runtime guardrails (input / output filtering) and audit logging.</v>
      </c>
      <c r="I23" s="7" t="inlineStr">
        <is>
          <t>SE-2, SE-3, SE-6 to SE-10, OM-2, AA-3</t>
        </is>
      </c>
      <c r="J23" s="7" t="inlineStr">
        <is>
          <t>⚠ Mandatory Requirement</t>
        </is>
      </c>
      <c r="L23">
        <f>IF(E23="","",IFERROR(MATCH(E23,QBank!$B$62:$B$66,0),""))</f>
        <v>3</v>
      </c>
    </row>
    <row r="24" ht="96" customHeight="1">
      <c r="B24" s="30" t="inlineStr">
        <is>
          <t>Q14</t>
        </is>
      </c>
      <c r="C24" s="31" t="inlineStr">
        <is>
          <t>AI Risk &amp; Security
Defending against AI-enabled threats</t>
        </is>
      </c>
      <c r="D24" s="32" t="inlineStr">
        <is>
          <r>
            <rPr>
              <b val="1"/>
              <sz val="10"/>
            </rPr>
            <t>Is the organisation prepared for AI-enabled attacks such as deepfake impersonation, AI-crafted phishing and automated exploitation?</t>
          </r>
          <r>
            <rPr>
              <i val="1"/>
              <color rgb="006B6B6B"/>
              <sz val="8.5"/>
            </rPr>
            <t xml:space="preserve">
Evidence: AI threat intelligence, out-of-band verification procedures, deepfake simulations, SOC use cases, playbooks, patch metrics.</t>
          </r>
        </is>
      </c>
      <c r="E24" s="33" t="inlineStr">
        <is>
          <t>Deepfake-resilient verification for payments and sensitive requests; behaviour-based detection; AI incident playbooks exercised</t>
        </is>
      </c>
      <c r="F24" s="37">
        <f>IF(L24="","",INDEX(QBank!$C$67:$C$71,L24))</f>
        <v>0.75</v>
      </c>
      <c r="G24" s="35" t="str">
        <f>IF(L24="","Not answered",INDEX(QBank!$D$67:$D$71,L24))</f>
        <v>Largely met</v>
      </c>
      <c r="H24" s="36" t="str">
        <f>IF(L24="","",INDEX(QBank!$E$67:$E$71,L24))</f>
        <v>Adopt continuous exposure management and AI-specific red teaming; reduce patch cycles to days.</v>
      </c>
      <c r="I24" s="7" t="inlineStr">
        <is>
          <t>AT-1, AT-2, AT-3, AT-4</t>
        </is>
      </c>
      <c r="J24" s="7" t="inlineStr">
        <is>
          <t>☆ Recommended</t>
        </is>
      </c>
      <c r="L24">
        <f>IF(E24="","",IFERROR(MATCH(E24,QBank!$B$67:$B$71,0),""))</f>
        <v>4</v>
      </c>
    </row>
    <row r="25" ht="96" customHeight="1">
      <c r="B25" s="30" t="inlineStr">
        <is>
          <t>Q15</t>
        </is>
      </c>
      <c r="C25" s="31" t="inlineStr">
        <is>
          <t>Training &amp; Awareness
AI training, literacy &amp; awareness</t>
        </is>
      </c>
      <c r="D25" s="32" t="inlineStr">
        <is>
          <r>
            <rPr>
              <b val="1"/>
              <sz val="10"/>
            </rPr>
            <t>Have staff received AI literacy training appropriate to their role, and are specialist AI, governance and security skills being developed?</t>
          </r>
          <r>
            <rPr>
              <i val="1"/>
              <color rgb="006B6B6B"/>
              <sz val="8.5"/>
            </rPr>
            <t xml:space="preserve">
Evidence: training curricula, completion records, role-based pathways, deepfake / phishing simulations, workforce plan.</t>
          </r>
        </is>
      </c>
      <c r="E25" s="33" t="inlineStr">
        <is>
          <t>Mandatory AI literacy before tool access; role-based pathways for developers, oversight staff and leaders; scenario-based security awareness</t>
        </is>
      </c>
      <c r="F25" s="37">
        <f>IF(L25="","",INDEX(QBank!$C$72:$C$76,L25))</f>
        <v>0.75</v>
      </c>
      <c r="G25" s="35" t="str">
        <f>IF(L25="","Not answered",INDEX(QBank!$D$72:$D$76,L25))</f>
        <v>Largely met</v>
      </c>
      <c r="H25" s="36" t="str">
        <f>IF(L25="","",INDEX(QBank!$E$72:$E$76,L25))</f>
        <v>Measure competence, refresh annually, and build an AI champions network and workforce plan.</v>
      </c>
      <c r="I25" s="7" t="inlineStr">
        <is>
          <t>GL-4, RS-9</t>
        </is>
      </c>
      <c r="J25" s="7" t="inlineStr">
        <is>
          <t>⟳ Compliance Obligation</t>
        </is>
      </c>
      <c r="L25">
        <f>IF(E25="","",IFERROR(MATCH(E25,QBank!$B$72:$B$76,0),""))</f>
        <v>4</v>
      </c>
    </row>
    <row r="26" ht="96" customHeight="1">
      <c r="B26" s="30" t="inlineStr">
        <is>
          <t>Q16</t>
        </is>
      </c>
      <c r="C26" s="31" t="inlineStr">
        <is>
          <t>Strategy &amp; Value
AI strategy &amp; executive ownership</t>
        </is>
      </c>
      <c r="D26" s="32" t="inlineStr">
        <is>
          <r>
            <rPr>
              <b val="1"/>
              <sz val="10"/>
            </rPr>
            <t>Is there executive ownership and an approved AI strategy that defines the ambition, priorities and where AI will (and will not) be used?</t>
          </r>
          <r>
            <rPr>
              <i val="1"/>
              <color rgb="006B6B6B"/>
              <sz val="8.5"/>
            </rPr>
            <t xml:space="preserve">
Evidence: approved AI strategy, named executive sponsor, AI budget, communicated priorities and experimentation boundaries.</t>
          </r>
        </is>
      </c>
      <c r="E26" s="33" t="inlineStr">
        <is>
          <t>Executive sponsor named and AI strategy drafted, but not linked to business objectives or budget</t>
        </is>
      </c>
      <c r="F26" s="37">
        <f>IF(L26="","",INDEX(QBank!$C$77:$C$81,L26))</f>
        <v>0.5</v>
      </c>
      <c r="G26" s="35" t="str">
        <f>IF(L26="","Not answered",INDEX(QBank!$D$77:$D$81,L26))</f>
        <v>Partially met</v>
      </c>
      <c r="H26" s="36" t="str">
        <f>IF(L26="","",INDEX(QBank!$E$77:$E$81,L26))</f>
        <v>Link the strategy to business objectives and budget; define experimentation ('sandbox') boundaries and communicate them.</v>
      </c>
      <c r="I26" s="7" t="inlineStr">
        <is>
          <t>GL-1, GL-3</t>
        </is>
      </c>
      <c r="J26" s="7" t="inlineStr">
        <is>
          <t>☆ Recommended</t>
        </is>
      </c>
      <c r="L26">
        <f>IF(E26="","",IFERROR(MATCH(E26,QBank!$B$77:$B$81,0),""))</f>
        <v>3</v>
      </c>
    </row>
    <row r="27" ht="96" customHeight="1">
      <c r="B27" s="30" t="inlineStr">
        <is>
          <t>Q17</t>
        </is>
      </c>
      <c r="C27" s="31" t="inlineStr">
        <is>
          <t>Strategy &amp; Value
Use-case portfolio &amp; value realisation</t>
        </is>
      </c>
      <c r="D27" s="32" t="inlineStr">
        <is>
          <r>
            <rPr>
              <b val="1"/>
              <sz val="10"/>
            </rPr>
            <t>How are AI use cases identified, prioritised, approved and measured for value?</t>
          </r>
          <r>
            <rPr>
              <i val="1"/>
              <color rgb="006B6B6B"/>
              <sz val="8.5"/>
            </rPr>
            <t xml:space="preserve">
Evidence: intake form, prioritisation criteria, business cases, benefit KPIs, portfolio reviews.</t>
          </r>
        </is>
      </c>
      <c r="E27" s="33" t="inlineStr">
        <is>
          <t>Use-case intake exists and initiatives are prioritised, but benefits are not systematically tracked</t>
        </is>
      </c>
      <c r="F27" s="37">
        <f>IF(L27="","",INDEX(QBank!$C$82:$C$86,L27))</f>
        <v>0.5</v>
      </c>
      <c r="G27" s="35" t="str">
        <f>IF(L27="","Not answered",INDEX(QBank!$D$82:$D$86,L27))</f>
        <v>Partially met</v>
      </c>
      <c r="H27" s="36" t="str">
        <f>IF(L27="","",INDEX(QBank!$E$82:$E$86,L27))</f>
        <v>Define benefit KPIs (financial and non-financial) at approval and assign benefit owners.</v>
      </c>
      <c r="I27" s="7" t="inlineStr">
        <is>
          <t>GL-6, GL-5</t>
        </is>
      </c>
      <c r="J27" s="7" t="inlineStr">
        <is>
          <t>☆ Recommended</t>
        </is>
      </c>
      <c r="L27">
        <f>IF(E27="","",IFERROR(MATCH(E27,QBank!$B$82:$B$86,0),""))</f>
        <v>3</v>
      </c>
    </row>
    <row r="28" ht="96" customHeight="1">
      <c r="B28" s="30" t="inlineStr">
        <is>
          <t>Q18</t>
        </is>
      </c>
      <c r="C28" s="31" t="inlineStr">
        <is>
          <t>Data &amp; Technology
Data governance, quality &amp; privacy for AI</t>
        </is>
      </c>
      <c r="D28" s="32" t="inlineStr">
        <is>
          <r>
            <rPr>
              <b val="1"/>
              <sz val="10"/>
            </rPr>
            <t>Is data used by AI classified, quality-assured, traceable and protected in line with privacy requirements (e.g., Bahrain PDPL)?</t>
          </r>
          <r>
            <rPr>
              <i val="1"/>
              <color rgb="006B6B6B"/>
              <sz val="8.5"/>
            </rPr>
            <t xml:space="preserve">
Evidence: data classification applied to AI, data-readiness assessments, lineage, DPIAs, redaction / anonymisation, transfer assessments.</t>
          </r>
        </is>
      </c>
      <c r="E28" s="33" t="inlineStr">
        <is>
          <t>Data readiness assessed before approval; lineage and quality monitored; minimisation, anonymisation and prompt redaction applied; DPIAs standard</t>
        </is>
      </c>
      <c r="F28" s="37">
        <f>IF(L28="","",INDEX(QBank!$C$87:$C$91,L28))</f>
        <v>0.75</v>
      </c>
      <c r="G28" s="35" t="str">
        <f>IF(L28="","Not answered",INDEX(QBank!$D$87:$D$91,L28))</f>
        <v>Largely met</v>
      </c>
      <c r="H28" s="36" t="str">
        <f>IF(L28="","",INDEX(QBank!$E$87:$E$91,L28))</f>
        <v>Automate data-quality and lineage monitoring; operationalise data-subject rights and transfer assessments for AI.</v>
      </c>
      <c r="I28" s="7" t="inlineStr">
        <is>
          <t>LC-1, SE-4, PR-1, PR-4, PR-5, PR-6</t>
        </is>
      </c>
      <c r="J28" s="7" t="inlineStr">
        <is>
          <t>⟳ Compliance Obligation</t>
        </is>
      </c>
      <c r="L28">
        <f>IF(E28="","",IFERROR(MATCH(E28,QBank!$B$87:$B$91,0),""))</f>
        <v>4</v>
      </c>
    </row>
    <row r="29" ht="96" customHeight="1">
      <c r="B29" s="30" t="inlineStr">
        <is>
          <t>Q19</t>
        </is>
      </c>
      <c r="C29" s="31" t="inlineStr">
        <is>
          <t>Data &amp; Technology
AI architecture, integration &amp; monitoring</t>
        </is>
      </c>
      <c r="D29" s="32" t="inlineStr">
        <is>
          <r>
            <rPr>
              <b val="1"/>
              <sz val="10"/>
            </rPr>
            <t>Is there a common AI reference architecture with standard integration patterns, and are AI systems monitored for performance, drift and cost?</t>
          </r>
          <r>
            <rPr>
              <i val="1"/>
              <color rgb="006B6B6B"/>
              <sz val="8.5"/>
            </rPr>
            <t xml:space="preserve">
Evidence: reference architecture, approved platforms, integration / agent patterns, monitoring dashboards, cost reports.</t>
          </r>
        </is>
      </c>
      <c r="E29" s="33" t="inlineStr">
        <is>
          <t>Reference architecture drafted; approved platforms and integration patterns for most AI; basic performance monitoring</t>
        </is>
      </c>
      <c r="F29" s="37">
        <f>IF(L29="","",INDEX(QBank!$C$92:$C$96,L29))</f>
        <v>0.5</v>
      </c>
      <c r="G29" s="35" t="str">
        <f>IF(L29="","Not answered",INDEX(QBank!$D$92:$D$96,L29))</f>
        <v>Partially met</v>
      </c>
      <c r="H29" s="36" t="str">
        <f>IF(L29="","",INDEX(QBank!$E$92:$E$96,L29))</f>
        <v>Centralise API / access control for AI, define agent execution authority and implement drift / performance monitoring with thresholds.</v>
      </c>
      <c r="I29" s="7" t="inlineStr">
        <is>
          <t>LC-2, LC-3, LC-8, LC-12, OM-1, OM-4, RM-6</t>
        </is>
      </c>
      <c r="J29" s="7" t="inlineStr">
        <is>
          <t>☆ Recommended</t>
        </is>
      </c>
      <c r="L29">
        <f>IF(E29="","",IFERROR(MATCH(E29,QBank!$B$92:$B$96,0),""))</f>
        <v>3</v>
      </c>
    </row>
    <row r="30" ht="96" customHeight="1">
      <c r="B30" s="30" t="inlineStr">
        <is>
          <t>Q20</t>
        </is>
      </c>
      <c r="C30" s="31" t="inlineStr">
        <is>
          <t>Data &amp; Technology
Model risk management &amp; validation</t>
        </is>
      </c>
      <c r="D30" s="32" t="inlineStr">
        <is>
          <r>
            <rPr>
              <b val="1"/>
              <sz val="10"/>
            </rPr>
            <t>Are material AI / ML models independently validated before use and periodically, with a model inventory, performance thresholds and documented limitations?</t>
          </r>
          <r>
            <rPr>
              <i val="1"/>
              <color rgb="006B6B6B"/>
              <sz val="8.5"/>
            </rPr>
            <t xml:space="preserve">
Evidence: model risk policy, model inventory with risk tiers, independent validation reports, performance monitoring, validation-findings tracker.</t>
          </r>
        </is>
      </c>
      <c r="E30" s="33" t="inlineStr">
        <is>
          <t>Model inventory exists; validation performed for some material models</t>
        </is>
      </c>
      <c r="F30" s="37">
        <f>IF(L30="","",INDEX(QBank!$C$97:$C$101,L30))</f>
        <v>0.5</v>
      </c>
      <c r="G30" s="35" t="str">
        <f>IF(L30="","Not answered",INDEX(QBank!$D$97:$D$101,L30))</f>
        <v>Partially met</v>
      </c>
      <c r="H30" s="36" t="str">
        <f>IF(L30="","",INDEX(QBank!$E$97:$E$101,L30))</f>
        <v>Validate all material models before use and on a risk-based cycle; document thresholds, limitations and conditions of use.</v>
      </c>
      <c r="I30" s="7" t="inlineStr">
        <is>
          <t>LC-9, RS-6, LC-13, OM-1</t>
        </is>
      </c>
      <c r="J30" s="7" t="inlineStr">
        <is>
          <t>☆ Recommended</t>
        </is>
      </c>
      <c r="L30">
        <f>IF(E30="","",IFERROR(MATCH(E30,QBank!$B$97:$B$101,0),""))</f>
        <v>3</v>
      </c>
    </row>
  </sheetData>
  <sheetProtection selectLockedCells="0" selectUnlockedCells="0" sheet="1" objects="0" insertRows="1" insertHyperlinks="1" autoFilter="1" scenarios="0" formatColumns="0" deleteColumns="1" insertColumns="1" pivotTables="1" deleteRows="1" formatCells="1" formatRows="0" sort="1"/>
  <mergeCells count="16">
    <mergeCell ref="F4:G4"/>
    <mergeCell ref="D4"/>
    <mergeCell ref="H5"/>
    <mergeCell ref="I4:J4"/>
    <mergeCell ref="E4"/>
    <mergeCell ref="B5:C5"/>
    <mergeCell ref="B14:J14"/>
    <mergeCell ref="F5:G5"/>
    <mergeCell ref="D5"/>
    <mergeCell ref="B9:J9"/>
    <mergeCell ref="B1:J1"/>
    <mergeCell ref="I5:J5"/>
    <mergeCell ref="B4:C4"/>
    <mergeCell ref="H4"/>
    <mergeCell ref="B2:J2"/>
    <mergeCell ref="E5"/>
  </mergeCells>
  <conditionalFormatting sqref="G10:G13">
    <cfRule type="cellIs" priority="1" operator="equal" dxfId="0">
      <formula>"Low"</formula>
    </cfRule>
    <cfRule type="cellIs" priority="2" operator="equal" dxfId="1">
      <formula>"Medium"</formula>
    </cfRule>
    <cfRule type="cellIs" priority="3" operator="equal" dxfId="2">
      <formula>"High"</formula>
    </cfRule>
    <cfRule type="cellIs" priority="4" operator="equal" dxfId="3">
      <formula>"Very high"</formula>
    </cfRule>
  </conditionalFormatting>
  <conditionalFormatting sqref="G15:G25">
    <cfRule type="cellIs" priority="5" operator="equal" dxfId="3">
      <formula>"Not met"</formula>
    </cfRule>
    <cfRule type="cellIs" priority="6" operator="equal" dxfId="2">
      <formula>"Minimal"</formula>
    </cfRule>
    <cfRule type="cellIs" priority="7" operator="equal" dxfId="1">
      <formula>"Partially met"</formula>
    </cfRule>
    <cfRule type="cellIs" priority="8" operator="equal" dxfId="0">
      <formula>"Largely met"</formula>
    </cfRule>
    <cfRule type="cellIs" priority="9" operator="equal" dxfId="4">
      <formula>"Fully met"</formula>
    </cfRule>
  </conditionalFormatting>
  <conditionalFormatting sqref="G10:G25">
    <cfRule type="cellIs" priority="10" operator="equal" dxfId="5">
      <formula>"Not answered"</formula>
    </cfRule>
  </conditionalFormatting>
  <conditionalFormatting sqref="E5">
    <cfRule type="cellIs" priority="11" operator="equal" dxfId="6">
      <formula>"Partial"</formula>
    </cfRule>
    <cfRule type="cellIs" priority="12" operator="equal" dxfId="1">
      <formula>"Informed"</formula>
    </cfRule>
    <cfRule type="cellIs" priority="13" operator="equal" dxfId="0">
      <formula>"Repeatable"</formula>
    </cfRule>
    <cfRule type="cellIs" priority="14" operator="equal" dxfId="4">
      <formula>"Adaptive"</formula>
    </cfRule>
  </conditionalFormatting>
  <conditionalFormatting sqref="F5">
    <cfRule type="cellIs" priority="15" operator="equal" dxfId="0">
      <formula>"Low"</formula>
    </cfRule>
    <cfRule type="cellIs" priority="16" operator="equal" dxfId="1">
      <formula>"Moderate"</formula>
    </cfRule>
    <cfRule type="cellIs" priority="17" operator="equal" dxfId="1">
      <formula>"Medium"</formula>
    </cfRule>
    <cfRule type="cellIs" priority="18" operator="equal" dxfId="2">
      <formula>"High"</formula>
    </cfRule>
    <cfRule type="cellIs" priority="19" operator="equal" dxfId="3">
      <formula>"Critical"</formula>
    </cfRule>
    <cfRule type="cellIs" priority="20" operator="equal" dxfId="3">
      <formula>"Very high"</formula>
    </cfRule>
  </conditionalFormatting>
  <conditionalFormatting sqref="H5">
    <cfRule type="expression" priority="21" dxfId="0">
      <formula>LEFT($H$5,5)="Low  "</formula>
    </cfRule>
    <cfRule type="expression" priority="22" dxfId="1">
      <formula>LEFT($H$5,10)="Moderate  "</formula>
    </cfRule>
    <cfRule type="expression" priority="23" dxfId="1">
      <formula>LEFT($H$5,8)="Medium  "</formula>
    </cfRule>
    <cfRule type="expression" priority="24" dxfId="2">
      <formula>LEFT($H$5,6)="High  "</formula>
    </cfRule>
    <cfRule type="expression" priority="25" dxfId="3">
      <formula>LEFT($H$5,10)="Critical  "</formula>
    </cfRule>
    <cfRule type="expression" priority="26" dxfId="3">
      <formula>LEFT($H$5,11)="Very high  "</formula>
    </cfRule>
  </conditionalFormatting>
  <dataValidations count="20">
    <dataValidation sqref="E10" showDropDown="0" showInputMessage="0" showErrorMessage="1" allowBlank="1" errorTitle="Invalid entry" error="Please choose a value from the list." type="list">
      <formula1>=QBank!$B$2:$B$6</formula1>
    </dataValidation>
    <dataValidation sqref="E11" showDropDown="0" showInputMessage="0" showErrorMessage="1" allowBlank="1" errorTitle="Invalid entry" error="Please choose a value from the list." type="list">
      <formula1>=QBank!$B$7:$B$11</formula1>
    </dataValidation>
    <dataValidation sqref="E12" showDropDown="0" showInputMessage="0" showErrorMessage="1" allowBlank="1" errorTitle="Invalid entry" error="Please choose a value from the list." type="list">
      <formula1>=QBank!$B$12:$B$16</formula1>
    </dataValidation>
    <dataValidation sqref="E13" showDropDown="0" showInputMessage="0" showErrorMessage="1" allowBlank="1" errorTitle="Invalid entry" error="Please choose a value from the list." type="list">
      <formula1>=QBank!$B$17:$B$21</formula1>
    </dataValidation>
    <dataValidation sqref="E15" showDropDown="0" showInputMessage="0" showErrorMessage="1" allowBlank="1" errorTitle="Invalid entry" error="Please choose a value from the list." type="list">
      <formula1>=QBank!$B$22:$B$26</formula1>
    </dataValidation>
    <dataValidation sqref="E16" showDropDown="0" showInputMessage="0" showErrorMessage="1" allowBlank="1" errorTitle="Invalid entry" error="Please choose a value from the list." type="list">
      <formula1>=QBank!$B$27:$B$31</formula1>
    </dataValidation>
    <dataValidation sqref="E17" showDropDown="0" showInputMessage="0" showErrorMessage="1" allowBlank="1" errorTitle="Invalid entry" error="Please choose a value from the list." type="list">
      <formula1>=QBank!$B$32:$B$36</formula1>
    </dataValidation>
    <dataValidation sqref="E18" showDropDown="0" showInputMessage="0" showErrorMessage="1" allowBlank="1" errorTitle="Invalid entry" error="Please choose a value from the list." type="list">
      <formula1>=QBank!$B$37:$B$41</formula1>
    </dataValidation>
    <dataValidation sqref="E19" showDropDown="0" showInputMessage="0" showErrorMessage="1" allowBlank="1" errorTitle="Invalid entry" error="Please choose a value from the list." type="list">
      <formula1>=QBank!$B$42:$B$46</formula1>
    </dataValidation>
    <dataValidation sqref="E20" showDropDown="0" showInputMessage="0" showErrorMessage="1" allowBlank="1" errorTitle="Invalid entry" error="Please choose a value from the list." type="list">
      <formula1>=QBank!$B$47:$B$51</formula1>
    </dataValidation>
    <dataValidation sqref="E21" showDropDown="0" showInputMessage="0" showErrorMessage="1" allowBlank="1" errorTitle="Invalid entry" error="Please choose a value from the list." type="list">
      <formula1>=QBank!$B$52:$B$56</formula1>
    </dataValidation>
    <dataValidation sqref="E22" showDropDown="0" showInputMessage="0" showErrorMessage="1" allowBlank="1" errorTitle="Invalid entry" error="Please choose a value from the list." type="list">
      <formula1>=QBank!$B$57:$B$61</formula1>
    </dataValidation>
    <dataValidation sqref="E23" showDropDown="0" showInputMessage="0" showErrorMessage="1" allowBlank="1" errorTitle="Invalid entry" error="Please choose a value from the list." type="list">
      <formula1>=QBank!$B$62:$B$66</formula1>
    </dataValidation>
    <dataValidation sqref="E24" showDropDown="0" showInputMessage="0" showErrorMessage="1" allowBlank="1" errorTitle="Invalid entry" error="Please choose a value from the list." type="list">
      <formula1>=QBank!$B$67:$B$71</formula1>
    </dataValidation>
    <dataValidation sqref="E25" showDropDown="0" showInputMessage="0" showErrorMessage="1" allowBlank="1" errorTitle="Invalid entry" error="Please choose a value from the list." type="list">
      <formula1>=QBank!$B$72:$B$76</formula1>
    </dataValidation>
    <dataValidation sqref="E26" showDropDown="0" showInputMessage="0" showErrorMessage="1" allowBlank="1" errorTitle="Invalid entry" error="Please choose a value from the list." type="list">
      <formula1>=QBank!$B$77:$B$81</formula1>
    </dataValidation>
    <dataValidation sqref="E27" showDropDown="0" showInputMessage="0" showErrorMessage="1" allowBlank="1" errorTitle="Invalid entry" error="Please choose a value from the list." type="list">
      <formula1>=QBank!$B$82:$B$86</formula1>
    </dataValidation>
    <dataValidation sqref="E28" showDropDown="0" showInputMessage="0" showErrorMessage="1" allowBlank="1" errorTitle="Invalid entry" error="Please choose a value from the list." type="list">
      <formula1>=QBank!$B$87:$B$91</formula1>
    </dataValidation>
    <dataValidation sqref="E29" showDropDown="0" showInputMessage="0" showErrorMessage="1" allowBlank="1" errorTitle="Invalid entry" error="Please choose a value from the list." type="list">
      <formula1>=QBank!$B$92:$B$96</formula1>
    </dataValidation>
    <dataValidation sqref="E30" showDropDown="0" showInputMessage="0" showErrorMessage="1" allowBlank="1" errorTitle="Invalid entry" error="Please choose a value from the list." type="list">
      <formula1>=QBank!$B$97:$B$101</formula1>
    </dataValidation>
  </dataValidations>
  <hyperlinks>
    <hyperlink xmlns:r="http://schemas.openxmlformats.org/officeDocument/2006/relationships" ref="I5" r:id="rId1"/>
  </hyperlinks>
  <printOptions gridLines="0"/>
  <pageMargins left="0.5" right="0.5" top="0.75" bottom="0.75" header="0.25" footer="0.25"/>
  <pageSetup orientation="landscape" paperSize="9" fitToHeight="0" fitToWidth="1"/>
</worksheet>
</file>

<file path=xl/worksheets/sheet4.xml><?xml version="1.0" encoding="utf-8"?>
<worksheet xmlns="http://schemas.openxmlformats.org/spreadsheetml/2006/main">
  <sheetPr>
    <tabColor rgb="0000A7B5"/>
    <outlinePr summaryBelow="1" summaryRight="1"/>
    <pageSetUpPr fitToPage="1"/>
  </sheetPr>
  <dimension ref="B1:M131"/>
  <sheetViews>
    <sheetView showGridLines="0" zoomScale="90" workbookViewId="0">
      <selection activeCell="A1" sqref="A1"/>
    </sheetView>
  </sheetViews>
  <sheetFormatPr baseColWidth="8" defaultRowHeight="15"/>
  <cols>
    <col width="1.2" customWidth="1" min="1" max="1"/>
    <col width="4.5" customWidth="1" min="2" max="2"/>
    <col width="17" customWidth="1" min="3" max="3"/>
    <col width="9.6" customWidth="1" min="4" max="4"/>
    <col width="9.6" customWidth="1" min="5" max="5"/>
    <col width="9.6" customWidth="1" min="6" max="6"/>
    <col width="9.6" customWidth="1" min="7" max="7"/>
    <col width="9.6" customWidth="1" min="8" max="8"/>
    <col width="9.6" customWidth="1" min="9" max="9"/>
    <col width="9.6" customWidth="1" min="10" max="10"/>
    <col width="9.6" customWidth="1" min="11" max="11"/>
    <col width="2" customWidth="1" min="12" max="12"/>
    <col width="70" customWidth="1" min="13" max="13"/>
  </cols>
  <sheetData>
    <row r="1" ht="40" customHeight="1">
      <c r="B1" s="38" t="inlineStr">
        <is>
          <t>AI READINESS &amp; RISK ASSESSMENT - RESULTS REPORT</t>
        </is>
      </c>
      <c r="M1" s="39" t="inlineStr">
        <is>
          <t>HOW TO PRINT, SAVE OR EMAIL THIS REPORT</t>
        </is>
      </c>
    </row>
    <row r="2" ht="22" customHeight="1">
      <c r="B2" s="40" t="str">
        <f>IF('1. Profile'!$C$4="","Organisation: (not specified)",'1. Profile'!$C$4)&amp;"   |   "&amp;IF('1. Profile'!$C$5="","",'1. Profile'!$C$5&amp;"   |   ")&amp;"Assessment date: "&amp;IF('1. Profile'!$C$12="","-",IF(ISNUMBER('1. Profile'!$C$12),TEXT('1. Profile'!$C$12,"dd mmmm yyyy"),'1. Profile'!$C$12))</f>
        <v>Grant Thornton Bahrain   |   Professional services   |   Assessment date: 24/09/2026</v>
      </c>
      <c r="M2" s="41" t="inlineStr">
        <is>
          <t>SAVE AS PDF (recommended): File &gt; Save As &gt; choose 'PDF' as the file type &gt; Options &gt; 'Active sheet(s)' &gt; Save. Or File &gt; Export &gt; Create PDF/XPS. This uses Excel's built-in PDF engine and does not depend on any printer driver.
PRINT: File &gt; Print &gt; 'Print Active Sheets' (A4 portrait, fitted to one page wide, page breaks between sections). Do not choose 'Print Entire Workbook'.
IF 'MICROSOFT PRINT TO PDF' SHOWS AN ERROR: the Windows PDF printer driver is failing, not the workbook. Use Save As &gt; PDF above, or select another printer. To repair the driver: Windows 'Turn Windows features on or off' &gt; untick 'Microsoft Print to PDF' &gt; OK &gt; re-tick &gt; OK, then restart Excel.
EMAIL: save the PDF, then click the link below to open a pre-filled email with your headline results and attach the PDF.
This panel is outside the print area and will not appear on the printed report.</t>
        </is>
      </c>
    </row>
    <row r="3" ht="26" customHeight="1">
      <c r="B3" s="42" t="str">
        <f>"Scope: "&amp;IF('1. Profile'!$C$7="","-",'1. Profile'!$C$7)&amp;IF('1. Profile'!$C$8="",""," - "&amp;'1. Profile'!$C$8)&amp;"   |   Completed by: "&amp;IF('1. Profile'!$C$9="","-",'1. Profile'!$C$9)&amp;IF('1. Profile'!$C$10="",""," ("&amp;'1. Profile'!$C$10&amp;")")</f>
        <v>Scope: Whole organisation - Firm-wide AI adoption across Audit, Tax, Advisory and internal functions   |   Completed by: AI Service Line Lead (Director, Risk Advisory)</v>
      </c>
      <c r="M3" s="43" t="n"/>
    </row>
    <row r="4">
      <c r="B4" s="44" t="str">
        <f>IF(Calc!B21=1,"Framework basis: NSW AI Assessment Framework (inherent risk)  |  ISO/IEC 42001, ISO/IEC 23894, NIST AI RMF  |  EU AI Act, Bahrain PDPL  |  GT AI RCM v2.1 (controls)","ASSESSMENT INCOMPLETE - "&amp;Calc!B20&amp;" of 20 questions answered. Results below are provisional.")</f>
        <v>Framework basis: NSW AI Assessment Framework (inherent risk)  |  ISO/IEC 42001, ISO/IEC 23894, NIST AI RMF  |  EU AI Act, Bahrain PDPL  |  GT AI RCM v2.1 (controls)</v>
      </c>
      <c r="M4" s="45" t="n"/>
    </row>
    <row r="5" ht="36" customHeight="1">
      <c r="M5" s="46" t="str">
        <f>IF(Calc!B21=0,"Complete the assessment to enable email",IF('1. Profile'!$C$11="","Enter your email address in 1. Profile to enable the email link",HYPERLINK("mailto:"&amp;'1. Profile'!$C$11&amp;"?subject=AI%20Readiness%20Results&amp;body="&amp;SUBSTITUTE(SUBSTITUTE("AI readiness "&amp;TEXT(Calc!B45,"0%")&amp;" ("&amp;Calc!B46&amp;"); risk tier "&amp;Calc!C32&amp;"; exposure "&amp;Calc!B57&amp;". Report attached.","%","%25")," ","%20"),"&gt;&gt; Click to email the results summary to "&amp;'1. Profile'!$C$11)))</f>
        <v>Enter your email address in 1. Profile to enable the email link</v>
      </c>
    </row>
    <row r="6" ht="22" customHeight="1">
      <c r="B6" s="47" t="inlineStr">
        <is>
          <t>1. EXECUTIVE SUMMARY</t>
        </is>
      </c>
    </row>
    <row r="7" ht="18" customHeight="1">
      <c r="B7" s="48" t="inlineStr">
        <is>
          <t>OVERALL AI READINESS</t>
        </is>
      </c>
      <c r="C7" s="21" t="n"/>
      <c r="D7" s="21" t="n"/>
      <c r="E7" s="48" t="inlineStr">
        <is>
          <t>MATURITY LEVEL</t>
        </is>
      </c>
      <c r="F7" s="21" t="n"/>
      <c r="G7" s="48" t="inlineStr">
        <is>
          <t>INHERENT RISK TIER</t>
        </is>
      </c>
      <c r="H7" s="21" t="n"/>
      <c r="I7" s="48" t="inlineStr">
        <is>
          <t>OVERALL AI RISK EXPOSURE</t>
        </is>
      </c>
      <c r="J7" s="21" t="n"/>
      <c r="K7" s="21" t="n"/>
    </row>
    <row r="8" ht="44" customHeight="1">
      <c r="B8" s="49">
        <f>IF(Calc!B45="","-",Calc!B45)</f>
        <v>0.591666666666667</v>
      </c>
      <c r="C8" s="21" t="n"/>
      <c r="D8" s="21" t="n"/>
      <c r="E8" s="50" t="str">
        <f>IF(Calc!B46="","-",Calc!B46)</f>
        <v>Informed</v>
      </c>
      <c r="F8" s="21" t="n"/>
      <c r="G8" s="50" t="str">
        <f>IF(Calc!C32="","-",Calc!C32)</f>
        <v>Medium</v>
      </c>
      <c r="H8" s="21" t="n"/>
      <c r="I8" s="50" t="str">
        <f>IF(Calc!B57="","-",Calc!B57)</f>
        <v>Moderate</v>
      </c>
      <c r="J8" s="21" t="n"/>
      <c r="K8" s="21" t="n"/>
    </row>
    <row r="9" ht="40" customHeight="1">
      <c r="B9" s="51" t="str">
        <f>"Maturity scale: &lt;50% Partial | 50-70% Informed | 70-90% Repeatable | 90%+ Adaptive"</f>
        <v>Maturity scale: &lt;50% Partial | 50-70% Informed | 70-90% Repeatable | 90%+ Adaptive</v>
      </c>
      <c r="C9" s="21" t="n"/>
      <c r="D9" s="21" t="n"/>
      <c r="E9" s="51" t="str">
        <f>Calc!B70</f>
        <v>Awareness and some defined practices exist, but they are not consistently implemented.</v>
      </c>
      <c r="F9" s="21" t="n"/>
      <c r="G9" s="51" t="str">
        <f>IF(Calc!C30="","",TEXT(Calc!C30,"0%")&amp;" of maximum inherent risk. "&amp;Calc!C33)</f>
        <v>43% of maximum inherent risk. No override applied</v>
      </c>
      <c r="H9" s="21" t="n"/>
      <c r="I9" s="51" t="str">
        <f>"Combines inherent risk tier and readiness maturity (see Methodology)"</f>
        <v>Combines inherent risk tier and readiness maturity (see Methodology)</v>
      </c>
      <c r="J9" s="21" t="n"/>
      <c r="K9" s="21" t="n"/>
    </row>
    <row r="10"/>
    <row r="11" ht="26" customHeight="1">
      <c r="B11" s="52" t="inlineStr">
        <is>
          <t>RECOMMENDED PATHWAY</t>
        </is>
      </c>
      <c r="C11" s="21" t="n"/>
      <c r="D11" s="53" t="str">
        <f>IF(Calc!B58="","-",Calc!B58)</f>
        <v>PROCEED WITH CONDITIONS</v>
      </c>
      <c r="E11" s="21" t="n"/>
      <c r="F11" s="21" t="n"/>
      <c r="G11" s="21" t="n"/>
      <c r="H11" s="21" t="n"/>
      <c r="I11" s="21" t="n"/>
      <c r="J11" s="21" t="n"/>
      <c r="K11" s="21" t="n"/>
    </row>
    <row r="12" ht="34" customHeight="1">
      <c r="B12" s="54" t="str">
        <f>Calc!C58</f>
        <v>Continue AI adoption, but address the identified gaps through a time-bound remediation plan (within 90 days for priority items). Obtain SME review (risk, privacy, security) for new AI use cases.</v>
      </c>
      <c r="C12" s="21" t="n"/>
      <c r="D12" s="21" t="n"/>
      <c r="E12" s="21" t="n"/>
      <c r="F12" s="21" t="n"/>
      <c r="G12" s="21" t="n"/>
      <c r="H12" s="21" t="n"/>
      <c r="I12" s="21" t="n"/>
      <c r="J12" s="21" t="n"/>
      <c r="K12" s="21" t="n"/>
    </row>
    <row r="13"/>
    <row r="14" ht="92" customHeight="1">
      <c r="B14" s="55" t="str">
        <f>Calc!B72</f>
        <v>Based on the responses provided, Grant Thornton Bahrain has an overall AI readiness score of 59%, corresponding to the 'Informed' maturity level: awareness and some defined practices exist, but they are not consistently implemented. Its AI use profile indicates a MEDIUM inherent risk tier (43% of maximum inherent risk), resulting in an overall AI risk exposure rating of MODERATE. The strongest area is Training &amp; Awareness (75%) and the area requiring most attention is AI Risk &amp; Security (50%). Recommended pathway: PROCEED WITH CONDITIONS. Continue AI adoption, but address the identified gaps through a time-bound remediation plan (within 90 days for priority items). Obtain SME review (risk, privacy, security) for new AI use cases.</v>
      </c>
      <c r="C14" s="21" t="n"/>
      <c r="D14" s="21" t="n"/>
      <c r="E14" s="21" t="n"/>
      <c r="F14" s="21" t="n"/>
      <c r="G14" s="21" t="n"/>
      <c r="H14" s="21" t="n"/>
      <c r="I14" s="21" t="n"/>
      <c r="J14" s="21" t="n"/>
      <c r="K14" s="21" t="n"/>
    </row>
    <row r="15"/>
    <row r="16" ht="18" customHeight="1">
      <c r="B16" s="56" t="inlineStr">
        <is>
          <t>POSITION ON THE AI ADOPTION MATURITY CURVE</t>
        </is>
      </c>
      <c r="C16" s="21" t="n"/>
      <c r="D16" s="21" t="n"/>
      <c r="E16" s="21" t="n"/>
      <c r="F16" s="21" t="n"/>
      <c r="G16" s="21" t="n"/>
      <c r="H16" s="21" t="n"/>
      <c r="I16" s="21" t="n"/>
      <c r="J16" s="21" t="n"/>
      <c r="K16" s="21" t="n"/>
    </row>
    <row r="17" ht="30" customHeight="1">
      <c r="B17" s="57" t="inlineStr">
        <is>
          <t>1  Awareness</t>
        </is>
      </c>
      <c r="C17" s="21" t="n"/>
      <c r="D17" s="57" t="inlineStr">
        <is>
          <t>2  Use-case discovery</t>
        </is>
      </c>
      <c r="E17" s="21" t="n"/>
      <c r="F17" s="57" t="inlineStr">
        <is>
          <t>3  Controlled adoption</t>
        </is>
      </c>
      <c r="G17" s="21" t="n"/>
      <c r="H17" s="57" t="inlineStr">
        <is>
          <t>4  Enterprise enablement</t>
        </is>
      </c>
      <c r="I17" s="21" t="n"/>
      <c r="J17" s="57" t="inlineStr">
        <is>
          <t>5  Governance maturity</t>
        </is>
      </c>
      <c r="K17" s="21" t="n"/>
    </row>
    <row r="18" ht="22" customHeight="1">
      <c r="B18" s="58" t="str">
        <f>IF(Calc!$B$170=1,"▲ Adoption","")&amp;IF(AND(Calc!$B$171=1,Calc!$B$170&lt;&gt;1),"● Governance",IF(Calc!$B$171=1,"  ● Governance",""))</f>
        <v/>
      </c>
      <c r="C18" s="21" t="n"/>
      <c r="D18" s="58" t="str">
        <f>IF(Calc!$B$170=2,"▲ Adoption","")&amp;IF(AND(Calc!$B$171=2,Calc!$B$170&lt;&gt;2),"● Governance",IF(Calc!$B$171=2,"  ● Governance",""))</f>
        <v/>
      </c>
      <c r="E18" s="21" t="n"/>
      <c r="F18" s="58" t="str">
        <f>IF(Calc!$B$170=3,"▲ Adoption","")&amp;IF(AND(Calc!$B$171=3,Calc!$B$170&lt;&gt;3),"● Governance",IF(Calc!$B$171=3,"  ● Governance",""))</f>
        <v>▲ Adoption  ● Governance</v>
      </c>
      <c r="G18" s="21" t="n"/>
      <c r="H18" s="58" t="str">
        <f>IF(Calc!$B$170=4,"▲ Adoption","")&amp;IF(AND(Calc!$B$171=4,Calc!$B$170&lt;&gt;4),"● Governance",IF(Calc!$B$171=4,"  ● Governance",""))</f>
        <v/>
      </c>
      <c r="I18" s="21" t="n"/>
      <c r="J18" s="58" t="str">
        <f>IF(Calc!$B$170=5,"▲ Adoption","")&amp;IF(AND(Calc!$B$171=5,Calc!$B$170&lt;&gt;5),"● Governance",IF(Calc!$B$171=5,"  ● Governance",""))</f>
        <v/>
      </c>
      <c r="K18" s="21" t="n"/>
    </row>
    <row r="19" ht="42" customHeight="1">
      <c r="B19" s="54" t="str">
        <f>Calc!B174</f>
        <v>Governance is keeping pace with adoption at Stage 3 (Controlled adoption). To move to Stage 4 (Enterprise enablement), put in place an AI committee, monitoring with KRIs, secure architecture and model validation.</v>
      </c>
      <c r="C19" s="21" t="n"/>
      <c r="D19" s="21" t="n"/>
      <c r="E19" s="21" t="n"/>
      <c r="F19" s="21" t="n"/>
      <c r="G19" s="21" t="n"/>
      <c r="H19" s="21" t="n"/>
      <c r="I19" s="21" t="n"/>
      <c r="J19" s="21" t="n"/>
      <c r="K19" s="21" t="n"/>
    </row>
    <row r="20"/>
    <row r="21" ht="22" customHeight="1">
      <c r="B21" s="47" t="inlineStr">
        <is>
          <t>2. READINESS BY DOMAIN</t>
        </is>
      </c>
    </row>
    <row r="22" ht="26" customHeight="1">
      <c r="B22" s="23" t="inlineStr">
        <is>
          <t>Domain</t>
        </is>
      </c>
      <c r="C22" s="21" t="n"/>
      <c r="D22" s="23" t="inlineStr">
        <is>
          <t>Score</t>
        </is>
      </c>
      <c r="E22" s="23" t="inlineStr">
        <is>
          <t>Maturity</t>
        </is>
      </c>
      <c r="F22" s="23" t="inlineStr">
        <is>
          <t>Progress</t>
        </is>
      </c>
    </row>
    <row r="23" ht="25" customHeight="1">
      <c r="B23" s="59" t="inlineStr">
        <is>
          <t>AI Governance</t>
        </is>
      </c>
      <c r="C23" s="21" t="n"/>
      <c r="D23" s="37">
        <f>IF(Calc!B37="","-",Calc!B37)</f>
        <v>0.625</v>
      </c>
      <c r="E23" s="35" t="str">
        <f>IF(Calc!C37="","-",Calc!C37)</f>
        <v>Informed</v>
      </c>
      <c r="F23" s="60">
        <f>IF(Calc!B37="",0,Calc!B37)</f>
        <v>0.625</v>
      </c>
    </row>
    <row r="24" ht="25" customHeight="1">
      <c r="B24" s="59" t="inlineStr">
        <is>
          <t>AI Risk &amp; Security</t>
        </is>
      </c>
      <c r="C24" s="21" t="n"/>
      <c r="D24" s="37">
        <f>IF(Calc!B38="","-",Calc!B38)</f>
        <v>0.5</v>
      </c>
      <c r="E24" s="35" t="str">
        <f>IF(Calc!C38="","-",Calc!C38)</f>
        <v>Informed</v>
      </c>
      <c r="F24" s="60">
        <f>IF(Calc!B38="",0,Calc!B38)</f>
        <v>0.5</v>
      </c>
    </row>
    <row r="25" ht="25" customHeight="1">
      <c r="B25" s="59" t="inlineStr">
        <is>
          <t>Training &amp; Awareness</t>
        </is>
      </c>
      <c r="C25" s="21" t="n"/>
      <c r="D25" s="37">
        <f>IF(Calc!B39="","-",Calc!B39)</f>
        <v>0.75</v>
      </c>
      <c r="E25" s="35" t="str">
        <f>IF(Calc!C39="","-",Calc!C39)</f>
        <v>Repeatable</v>
      </c>
      <c r="F25" s="60">
        <f>IF(Calc!B39="",0,Calc!B39)</f>
        <v>0.75</v>
      </c>
    </row>
    <row r="26" ht="25" customHeight="1">
      <c r="B26" s="59" t="inlineStr">
        <is>
          <t>Strategy &amp; Value</t>
        </is>
      </c>
      <c r="C26" s="21" t="n"/>
      <c r="D26" s="37">
        <f>IF(Calc!B40="","-",Calc!B40)</f>
        <v>0.5</v>
      </c>
      <c r="E26" s="35" t="str">
        <f>IF(Calc!C40="","-",Calc!C40)</f>
        <v>Informed</v>
      </c>
      <c r="F26" s="60">
        <f>IF(Calc!B40="",0,Calc!B40)</f>
        <v>0.5</v>
      </c>
    </row>
    <row r="27" ht="25" customHeight="1">
      <c r="B27" s="59" t="inlineStr">
        <is>
          <t>Data &amp; Technology</t>
        </is>
      </c>
      <c r="C27" s="21" t="n"/>
      <c r="D27" s="37">
        <f>IF(Calc!B41="","-",Calc!B41)</f>
        <v>0.583333333333333</v>
      </c>
      <c r="E27" s="35" t="str">
        <f>IF(Calc!C41="","-",Calc!C41)</f>
        <v>Informed</v>
      </c>
      <c r="F27" s="60">
        <f>IF(Calc!B41="",0,Calc!B41)</f>
        <v>0.583333333333333</v>
      </c>
    </row>
    <row r="28" ht="25" customHeight="1">
      <c r="B28" s="61" t="inlineStr">
        <is>
          <t>OVERALL</t>
        </is>
      </c>
      <c r="C28" s="21" t="n"/>
      <c r="D28" s="62">
        <f>IF(Calc!B45="","-",Calc!B45)</f>
        <v>0.591666666666667</v>
      </c>
      <c r="E28" s="30" t="str">
        <f>IF(Calc!B46="","-",Calc!B46)</f>
        <v>Informed</v>
      </c>
      <c r="F28" s="63" t="str">
        <f>"Target 70%"</f>
        <v>Target 70%</v>
      </c>
    </row>
    <row r="29" ht="80" customHeight="1"/>
    <row r="30" ht="26" customHeight="1">
      <c r="B30" s="23" t="inlineStr">
        <is>
          <t>Domain</t>
        </is>
      </c>
      <c r="C30" s="21" t="n"/>
      <c r="D30" s="23" t="inlineStr">
        <is>
          <t>Potential risk if the domain is not strengthened (shown where score &lt; 90%)</t>
        </is>
      </c>
      <c r="E30" s="21" t="n"/>
      <c r="F30" s="21" t="n"/>
      <c r="G30" s="21" t="n"/>
      <c r="H30" s="21" t="n"/>
      <c r="I30" s="21" t="n"/>
      <c r="J30" s="21" t="n"/>
      <c r="K30" s="21" t="n"/>
    </row>
    <row r="31" ht="28" customHeight="1">
      <c r="B31" s="64" t="inlineStr">
        <is>
          <t>AI Governance</t>
        </is>
      </c>
      <c r="C31" s="21" t="n"/>
      <c r="D31" s="7" t="str">
        <f>IF(Calc!B37="","",IF(Calc!B37&gt;=0.9,"Adaptive - maintain current practices.",Calc!E37))</f>
        <v>Without clear accountability, policy, oversight and assurance, AI is adopted inconsistently, misused and breaches regulation without anyone noticing or answering for it.</v>
      </c>
      <c r="E31" s="21" t="n"/>
      <c r="F31" s="21" t="n"/>
      <c r="G31" s="21" t="n"/>
      <c r="H31" s="21" t="n"/>
      <c r="I31" s="21" t="n"/>
      <c r="J31" s="21" t="n"/>
      <c r="K31" s="21" t="n"/>
    </row>
    <row r="32" ht="28" customHeight="1">
      <c r="B32" s="64" t="inlineStr">
        <is>
          <t>AI Risk &amp; Security</t>
        </is>
      </c>
      <c r="C32" s="21" t="n"/>
      <c r="D32" s="7" t="str">
        <f>IF(Calc!B38="","",IF(Calc!B38&gt;=0.9,"Adaptive - maintain current practices.",Calc!E38))</f>
        <v>Without an AI risk framework, risk appetite, impact assessments, third-party controls and AI security, the organisation is exposed to unmanaged AI risk, prompt injection, data leakage, model compromise and deepfake-enabled fraud.</v>
      </c>
      <c r="E32" s="21" t="n"/>
      <c r="F32" s="21" t="n"/>
      <c r="G32" s="21" t="n"/>
      <c r="H32" s="21" t="n"/>
      <c r="I32" s="21" t="n"/>
      <c r="J32" s="21" t="n"/>
      <c r="K32" s="21" t="n"/>
    </row>
    <row r="33" ht="28" customHeight="1">
      <c r="B33" s="64" t="inlineStr">
        <is>
          <t>Training &amp; Awareness</t>
        </is>
      </c>
      <c r="C33" s="21" t="n"/>
      <c r="D33" s="7" t="str">
        <f>IF(Calc!B39="","",IF(Calc!B39&gt;=0.9,"Adaptive - maintain current practices.",Calc!E39))</f>
        <v>Low AI literacy and awareness increase unsafe use of AI tools, unchecked or biased outputs and susceptibility to AI-enabled phishing and deepfakes.</v>
      </c>
      <c r="E33" s="21" t="n"/>
      <c r="F33" s="21" t="n"/>
      <c r="G33" s="21" t="n"/>
      <c r="H33" s="21" t="n"/>
      <c r="I33" s="21" t="n"/>
      <c r="J33" s="21" t="n"/>
      <c r="K33" s="21" t="n"/>
    </row>
    <row r="34" ht="28" customHeight="1">
      <c r="B34" s="64" t="inlineStr">
        <is>
          <t>Strategy &amp; Value</t>
        </is>
      </c>
      <c r="C34" s="21" t="n"/>
      <c r="D34" s="7" t="str">
        <f>IF(Calc!B40="","",IF(Calc!B40&gt;=0.9,"Adaptive - maintain current practices.",Calc!E40))</f>
        <v>Without clear direction, ownership and value tracking, AI adoption is fragmented, duplicated and hard to justify.</v>
      </c>
      <c r="E34" s="21" t="n"/>
      <c r="F34" s="21" t="n"/>
      <c r="G34" s="21" t="n"/>
      <c r="H34" s="21" t="n"/>
      <c r="I34" s="21" t="n"/>
      <c r="J34" s="21" t="n"/>
      <c r="K34" s="21" t="n"/>
    </row>
    <row r="35" ht="28" customHeight="1">
      <c r="B35" s="64" t="inlineStr">
        <is>
          <t>Data &amp; Technology</t>
        </is>
      </c>
      <c r="C35" s="21" t="n"/>
      <c r="D35" s="7" t="str">
        <f>IF(Calc!B41="","",IF(Calc!B41&gt;=0.9,"Adaptive - maintain current practices.",Calc!E41))</f>
        <v>Weak data governance, architecture and model validation lead to inaccurate or biased outputs, privacy breaches, undetected drift and unsustainable costs.</v>
      </c>
      <c r="E35" s="21" t="n"/>
      <c r="F35" s="21" t="n"/>
      <c r="G35" s="21" t="n"/>
      <c r="H35" s="21" t="n"/>
      <c r="I35" s="21" t="n"/>
      <c r="J35" s="21" t="n"/>
      <c r="K35" s="21" t="n"/>
    </row>
    <row r="36"/>
    <row r="37" ht="22" customHeight="1">
      <c r="B37" s="47" t="inlineStr">
        <is>
          <t>3. AI USE &amp; INHERENT RISK PROFILE (AIAF-based)</t>
        </is>
      </c>
    </row>
    <row r="38" ht="26" customHeight="1">
      <c r="B38" s="23" t="inlineStr">
        <is>
          <t>Factor</t>
        </is>
      </c>
      <c r="C38" s="21" t="n"/>
      <c r="D38" s="23" t="inlineStr">
        <is>
          <t>Your response</t>
        </is>
      </c>
      <c r="E38" s="21" t="n"/>
      <c r="F38" s="21" t="n"/>
      <c r="G38" s="21" t="n"/>
      <c r="H38" s="23" t="inlineStr">
        <is>
          <t>Risk level</t>
        </is>
      </c>
      <c r="I38" s="23" t="inlineStr">
        <is>
          <t>Implication</t>
        </is>
      </c>
      <c r="J38" s="21" t="n"/>
      <c r="K38" s="21" t="n"/>
    </row>
    <row r="39" ht="63.5" customHeight="1">
      <c r="B39" s="64" t="inlineStr">
        <is>
          <t>A1  AI use profile</t>
        </is>
      </c>
      <c r="C39" s="21" t="n"/>
      <c r="D39" s="7" t="str">
        <f>IF('2. Assessment'!E10="","Not answered",'2. Assessment'!E10)</f>
        <v>Approved enterprise GenAI tools and AI features embedded in business software across teams</v>
      </c>
      <c r="E39" s="21" t="n"/>
      <c r="F39" s="21" t="n"/>
      <c r="G39" s="21" t="n"/>
      <c r="H39" s="35" t="str">
        <f>'2. Assessment'!G10</f>
        <v>Medium</v>
      </c>
      <c r="I39" s="65" t="str">
        <f>'2. Assessment'!H10</f>
        <v>AI is part of day-to-day work. Exposure spans data protection, output quality, vendor dependence and consistent human review.</v>
      </c>
      <c r="J39" s="21" t="n"/>
      <c r="K39" s="21" t="n"/>
    </row>
    <row r="40" ht="52" customHeight="1">
      <c r="B40" s="64" t="inlineStr">
        <is>
          <t>A2  Decision impact</t>
        </is>
      </c>
      <c r="C40" s="21" t="n"/>
      <c r="D40" s="7" t="str">
        <f>IF('2. Assessment'!E11="","Not answered",'2. Assessment'!E11)</f>
        <v>Customer- or client-facing outputs with limited individual impact (e.g., FAQ chatbots, marketing content)</v>
      </c>
      <c r="E40" s="21" t="n"/>
      <c r="F40" s="21" t="n"/>
      <c r="G40" s="21" t="n"/>
      <c r="H40" s="35" t="str">
        <f>'2. Assessment'!G11</f>
        <v>Medium</v>
      </c>
      <c r="I40" s="65" t="str">
        <f>'2. Assessment'!H11</f>
        <v>External stakeholders see AI outputs - disclosure, accuracy and reputational controls apply (e.g., EU AI Act Art. 50 where relevant).</v>
      </c>
      <c r="J40" s="21" t="n"/>
      <c r="K40" s="21" t="n"/>
    </row>
    <row r="41" ht="52" customHeight="1">
      <c r="B41" s="64" t="inlineStr">
        <is>
          <t>A3  Data sensitivity</t>
        </is>
      </c>
      <c r="C41" s="21" t="n"/>
      <c r="D41" s="7" t="str">
        <f>IF('2. Assessment'!E12="","Not answered",'2. Assessment'!E12)</f>
        <v>Confidential business or client information</v>
      </c>
      <c r="E41" s="21" t="n"/>
      <c r="F41" s="21" t="n"/>
      <c r="G41" s="21" t="n"/>
      <c r="H41" s="35" t="str">
        <f>'2. Assessment'!G12</f>
        <v>Medium</v>
      </c>
      <c r="I41" s="65" t="str">
        <f>'2. Assessment'!H12</f>
        <v>Confidentiality and contractual obligations apply; vendor data-use terms are critical.</v>
      </c>
      <c r="J41" s="21" t="n"/>
      <c r="K41" s="21" t="n"/>
    </row>
    <row r="42" ht="52" customHeight="1">
      <c r="B42" s="64" t="inlineStr">
        <is>
          <t>A4  Oversight &amp; reversibility</t>
        </is>
      </c>
      <c r="C42" s="21" t="n"/>
      <c r="D42" s="7" t="str">
        <f>IF('2. Assessment'!E13="","Not answered",'2. Assessment'!E13)</f>
        <v>A qualified human reviews and approves every AI output before it is used</v>
      </c>
      <c r="E42" s="21" t="n"/>
      <c r="F42" s="21" t="n"/>
      <c r="G42" s="21" t="n"/>
      <c r="H42" s="35" t="str">
        <f>'2. Assessment'!G13</f>
        <v>Low</v>
      </c>
      <c r="I42" s="65" t="str">
        <f>'2. Assessment'!H13</f>
        <v>Effective 'human-in-charge' control if reviewers are trained and have time and authority to challenge.</v>
      </c>
      <c r="J42" s="21" t="n"/>
      <c r="K42" s="21" t="n"/>
    </row>
    <row r="43" ht="28" customHeight="1">
      <c r="B43" s="66" t="str">
        <f>"Inherent risk tier: "&amp;IF(Calc!C32="","-",UPPER(Calc!C32))&amp;IF(Calc!C30="",""," ("&amp;TEXT(Calc!C30,"0%")&amp;" weighted inherent-risk score)")</f>
        <v>Inherent risk tier: MEDIUM (43% weighted inherent-risk score)</v>
      </c>
      <c r="C43" s="21" t="n"/>
      <c r="D43" s="21" t="n"/>
      <c r="E43" s="21" t="n"/>
      <c r="F43" s="21" t="n"/>
      <c r="G43" s="21" t="n"/>
      <c r="H43" s="67" t="str">
        <f>Calc!C33</f>
        <v>No override applied</v>
      </c>
      <c r="I43" s="21" t="n"/>
      <c r="J43" s="21" t="n"/>
      <c r="K43" s="21" t="n"/>
    </row>
    <row r="44"/>
    <row r="45" ht="22" customHeight="1">
      <c r="B45" s="47" t="inlineStr">
        <is>
          <t>4. RESPONSIBLE-AI PRINCIPLE COVERAGE (NSW AIAF ethics principles)</t>
        </is>
      </c>
    </row>
    <row r="46" ht="26" customHeight="1">
      <c r="B46" s="23" t="inlineStr">
        <is>
          <t>Principle</t>
        </is>
      </c>
      <c r="C46" s="21" t="n"/>
      <c r="D46" s="21" t="n"/>
      <c r="E46" s="23" t="inlineStr">
        <is>
          <t>Coverage</t>
        </is>
      </c>
      <c r="F46" s="23" t="inlineStr">
        <is>
          <t>Assessment</t>
        </is>
      </c>
      <c r="G46" s="21" t="n"/>
      <c r="H46" s="23" t="inlineStr">
        <is>
          <t>Informed by questions</t>
        </is>
      </c>
      <c r="I46" s="21" t="n"/>
      <c r="J46" s="21" t="n"/>
      <c r="K46" s="21" t="n"/>
    </row>
    <row r="47" ht="18" customHeight="1">
      <c r="B47" s="64" t="inlineStr">
        <is>
          <t>Fairness</t>
        </is>
      </c>
      <c r="C47" s="21" t="n"/>
      <c r="D47" s="21" t="n"/>
      <c r="E47" s="68">
        <f>IF(Calc!B76="","-",Calc!B76)</f>
        <v>0.583333333333333</v>
      </c>
      <c r="F47" s="35" t="str">
        <f>Calc!D76</f>
        <v>Partially addressed</v>
      </c>
      <c r="G47" s="21" t="n"/>
      <c r="H47" s="65" t="str">
        <f>Calc!C76</f>
        <v>Q7, Q18, Q20</v>
      </c>
      <c r="I47" s="21" t="n"/>
      <c r="J47" s="21" t="n"/>
      <c r="K47" s="21" t="n"/>
    </row>
    <row r="48" ht="18" customHeight="1">
      <c r="B48" s="64" t="inlineStr">
        <is>
          <t>Privacy &amp; Security</t>
        </is>
      </c>
      <c r="C48" s="21" t="n"/>
      <c r="D48" s="21" t="n"/>
      <c r="E48" s="68">
        <f>IF(Calc!B77="","-",Calc!B77)</f>
        <v>0.65</v>
      </c>
      <c r="F48" s="35" t="str">
        <f>Calc!D77</f>
        <v>Partially addressed</v>
      </c>
      <c r="G48" s="21" t="n"/>
      <c r="H48" s="65" t="str">
        <f>Calc!C77</f>
        <v>Q6, Q12, Q13, Q14, Q18</v>
      </c>
      <c r="I48" s="21" t="n"/>
      <c r="J48" s="21" t="n"/>
      <c r="K48" s="21" t="n"/>
    </row>
    <row r="49" ht="18" customHeight="1">
      <c r="B49" s="64" t="inlineStr">
        <is>
          <t>Transparency &amp; Explainability</t>
        </is>
      </c>
      <c r="C49" s="21" t="n"/>
      <c r="D49" s="21" t="n"/>
      <c r="E49" s="68">
        <f>IF(Calc!B78="","-",Calc!B78)</f>
        <v>0.625</v>
      </c>
      <c r="F49" s="35" t="str">
        <f>Calc!D78</f>
        <v>Partially addressed</v>
      </c>
      <c r="G49" s="21" t="n"/>
      <c r="H49" s="65" t="str">
        <f>Calc!C78</f>
        <v>Q7, Q8</v>
      </c>
      <c r="I49" s="21" t="n"/>
      <c r="J49" s="21" t="n"/>
      <c r="K49" s="21" t="n"/>
    </row>
    <row r="50" ht="18" customHeight="1">
      <c r="B50" s="64" t="inlineStr">
        <is>
          <t>Accountability</t>
        </is>
      </c>
      <c r="C50" s="21" t="n"/>
      <c r="D50" s="21" t="n"/>
      <c r="E50" s="68">
        <f>IF(Calc!B79="","-",Calc!B79)</f>
        <v>0.53125</v>
      </c>
      <c r="F50" s="35" t="str">
        <f>Calc!D79</f>
        <v>Partially addressed</v>
      </c>
      <c r="G50" s="21" t="n"/>
      <c r="H50" s="65" t="str">
        <f>Calc!C79</f>
        <v>Q5, Q6, Q8, Q9, Q10, Q11, Q12, Q16</v>
      </c>
      <c r="I50" s="21" t="n"/>
      <c r="J50" s="21" t="n"/>
      <c r="K50" s="21" t="n"/>
    </row>
    <row r="51" ht="18" customHeight="1">
      <c r="B51" s="64" t="inlineStr">
        <is>
          <t>Human, Social &amp; Environmental Wellbeing</t>
        </is>
      </c>
      <c r="C51" s="21" t="n"/>
      <c r="D51" s="21" t="n"/>
      <c r="E51" s="68">
        <f>IF(Calc!B80="","-",Calc!B80)</f>
        <v>0.5</v>
      </c>
      <c r="F51" s="35" t="str">
        <f>Calc!D80</f>
        <v>Partially addressed</v>
      </c>
      <c r="G51" s="21" t="n"/>
      <c r="H51" s="65" t="str">
        <f>Calc!C80</f>
        <v>Q11, Q17</v>
      </c>
      <c r="I51" s="21" t="n"/>
      <c r="J51" s="21" t="n"/>
      <c r="K51" s="21" t="n"/>
    </row>
    <row r="52" ht="18" customHeight="1">
      <c r="B52" s="64" t="inlineStr">
        <is>
          <t>Human-Centred Values</t>
        </is>
      </c>
      <c r="C52" s="21" t="n"/>
      <c r="D52" s="21" t="n"/>
      <c r="E52" s="68">
        <f>IF(Calc!B81="","-",Calc!B81)</f>
        <v>0.625</v>
      </c>
      <c r="F52" s="35" t="str">
        <f>Calc!D81</f>
        <v>Partially addressed</v>
      </c>
      <c r="G52" s="21" t="n"/>
      <c r="H52" s="65" t="str">
        <f>Calc!C81</f>
        <v>Q7, Q15</v>
      </c>
      <c r="I52" s="21" t="n"/>
      <c r="J52" s="21" t="n"/>
      <c r="K52" s="21" t="n"/>
    </row>
    <row r="53" ht="18" customHeight="1">
      <c r="B53" s="64" t="inlineStr">
        <is>
          <t>Reliability &amp; Safety</t>
        </is>
      </c>
      <c r="C53" s="21" t="n"/>
      <c r="D53" s="21" t="n"/>
      <c r="E53" s="68">
        <f>IF(Calc!B82="","-",Calc!B82)</f>
        <v>0.5</v>
      </c>
      <c r="F53" s="35" t="str">
        <f>Calc!D82</f>
        <v>Partially addressed</v>
      </c>
      <c r="G53" s="21" t="n"/>
      <c r="H53" s="65" t="str">
        <f>Calc!C82</f>
        <v>Q8, Q9, Q13, Q19, Q20</v>
      </c>
      <c r="I53" s="21" t="n"/>
      <c r="J53" s="21" t="n"/>
      <c r="K53" s="21" t="n"/>
    </row>
    <row r="54" ht="18" customHeight="1">
      <c r="B54" s="64" t="inlineStr">
        <is>
          <t>Contestability</t>
        </is>
      </c>
      <c r="C54" s="21" t="n"/>
      <c r="D54" s="21" t="n"/>
      <c r="E54" s="68">
        <f>IF(Calc!B83="","-",Calc!B83)</f>
        <v>0.625</v>
      </c>
      <c r="F54" s="35" t="str">
        <f>Calc!D83</f>
        <v>Partially addressed</v>
      </c>
      <c r="G54" s="21" t="n"/>
      <c r="H54" s="65" t="str">
        <f>Calc!C83</f>
        <v>Q7, Q8</v>
      </c>
      <c r="I54" s="21" t="n"/>
      <c r="J54" s="21" t="n"/>
      <c r="K54" s="21" t="n"/>
    </row>
    <row r="55"/>
    <row r="56" ht="22" customHeight="1">
      <c r="B56" s="47" t="inlineStr">
        <is>
          <t>5. DETAILED FINDINGS &amp; RECOMMENDATIONS</t>
        </is>
      </c>
    </row>
    <row r="57" ht="22" customHeight="1">
      <c r="B57" s="23" t="inlineStr">
        <is>
          <t>Area</t>
        </is>
      </c>
      <c r="C57" s="21" t="n"/>
      <c r="D57" s="23" t="inlineStr">
        <is>
          <t>Your response &amp; score</t>
        </is>
      </c>
      <c r="E57" s="21" t="n"/>
      <c r="F57" s="21" t="n"/>
      <c r="G57" s="23" t="inlineStr">
        <is>
          <t>Potential risk</t>
        </is>
      </c>
      <c r="H57" s="21" t="n"/>
      <c r="I57" s="23" t="inlineStr">
        <is>
          <t>Recommended action</t>
        </is>
      </c>
      <c r="J57" s="21" t="n"/>
      <c r="K57" s="21" t="n"/>
    </row>
    <row r="58" ht="77.5" customHeight="1">
      <c r="B58" s="69" t="inlineStr">
        <is>
          <t>Q5  AI governance structure &amp; accountability
AI Governance
⚠ Mandatory Requirement</t>
        </is>
      </c>
      <c r="C58" s="21" t="n"/>
      <c r="D58" s="70" t="str">
        <f>IF('2. Assessment'!E15="","Not answered",TEXT('2. Assessment'!F15,"0%")&amp;" - "&amp;'2. Assessment'!G15&amp;CHAR(10)&amp;CHAR(10)&amp;'2. Assessment'!E15)</f>
        <v>50% - Partially met
AI committee or sponsor defined on paper; roles and decision rights partly documented</v>
      </c>
      <c r="E58" s="21" t="n"/>
      <c r="F58" s="21" t="n"/>
      <c r="G58" s="70" t="str">
        <f>IF('2. Assessment'!F15=1,"N/A - reported as fully met.","Unclear accountability for AI decisions and outcomes, inconsistent approvals and no escalation route when AI fails.")</f>
        <v>Unclear accountability for AI decisions and outcomes, inconsistent approvals and no escalation route when AI fails.</v>
      </c>
      <c r="H58" s="21" t="n"/>
      <c r="I58" s="70" t="str">
        <f>IF('2. Assessment'!E15="","",'2. Assessment'!H15&amp;CHAR(10)&amp;CHAR(10)&amp;"Controls: GL-1, GL-2, GL-7, AA-1")</f>
        <v>Assign named business and technical owners to every AI system and publish a RACI across the three lines of defence.
Controls: GL-1, GL-2, GL-7, AA-1</v>
      </c>
      <c r="J58" s="21" t="n"/>
      <c r="K58" s="21" t="n"/>
    </row>
    <row r="59" ht="77.5" customHeight="1">
      <c r="B59" s="69" t="inlineStr">
        <is>
          <t>Q6  AI policy, acceptable use &amp; regulatory compliance
AI Governance
⟳ Compliance Obligation</t>
        </is>
      </c>
      <c r="C59" s="21" t="n"/>
      <c r="D59" s="70" t="str">
        <f>IF('2. Assessment'!E16="","Not answered",TEXT('2. Assessment'!F16,"0%")&amp;" - "&amp;'2. Assessment'!G16&amp;CHAR(10)&amp;CHAR(10)&amp;'2. Assessment'!E16)</f>
        <v>75% - Largely met
AI policy enforced with staff acknowledgement; obligations register maps regulations to controls and owners</v>
      </c>
      <c r="E59" s="21" t="n"/>
      <c r="F59" s="21" t="n"/>
      <c r="G59" s="70" t="str">
        <f>IF('2. Assessment'!F16=1,"N/A - reported as fully met.","Misuse of AI, data leakage and breach of legal or regulatory requirements, with exposure to penalties, licence conditions and reputational harm.")</f>
        <v>Misuse of AI, data leakage and breach of legal or regulatory requirements, with exposure to penalties, licence conditions and reputational harm.</v>
      </c>
      <c r="H59" s="21" t="n"/>
      <c r="I59" s="70" t="str">
        <f>IF('2. Assessment'!E16="","",'2. Assessment'!H16&amp;CHAR(10)&amp;CHAR(10)&amp;"Controls: GL-5, RO-1, RO-5")</f>
        <v>Establish monthly regulatory horizon scanning and periodic compliance testing with evidence retention.
Controls: GL-5, RO-1, RO-5</v>
      </c>
      <c r="J59" s="21" t="n"/>
      <c r="K59" s="21" t="n"/>
    </row>
    <row r="60" ht="77.5" customHeight="1">
      <c r="B60" s="69" t="inlineStr">
        <is>
          <t>Q7  Responsible-AI guardrails &amp; human oversight
AI Governance
⚖ Ethical Consideration</t>
        </is>
      </c>
      <c r="C60" s="21" t="n"/>
      <c r="D60" s="70" t="str">
        <f>IF('2. Assessment'!E17="","Not answered",TEXT('2. Assessment'!F17,"0%")&amp;" - "&amp;'2. Assessment'!G17&amp;CHAR(10)&amp;CHAR(10)&amp;'2. Assessment'!E17)</f>
        <v>50% - Partially met
AI committee / CoE established; guardrails defined for some areas (e.g., human review of outputs)</v>
      </c>
      <c r="E60" s="21" t="n"/>
      <c r="F60" s="21" t="n"/>
      <c r="G60" s="70" t="str">
        <f>IF('2. Assessment'!F17=1,"N/A - reported as fully met.","Biased or harmful outcomes, undisclosed AI use and lack of accountability for AI-supported decisions.")</f>
        <v>Biased or harmful outcomes, undisclosed AI use and lack of accountability for AI-supported decisions.</v>
      </c>
      <c r="H60" s="21" t="n"/>
      <c r="I60" s="70" t="str">
        <f>IF('2. Assessment'!E17="","",'2. Assessment'!H17&amp;CHAR(10)&amp;CHAR(10)&amp;"Controls: GL-7, RS-1, RS-4, RS-5, CO-1, CO-3")</f>
        <v>Apply mandatory human-in-charge controls and AI disclosure to all relevant AI; require committee approval for High / Critical uses.
Controls: GL-7, RS-1, RS-4, RS-5, CO-1, CO-3</v>
      </c>
      <c r="J60" s="21" t="n"/>
      <c r="K60" s="21" t="n"/>
    </row>
    <row r="61" ht="77.5" customHeight="1">
      <c r="B61" s="69" t="inlineStr">
        <is>
          <t>Q8  AI incidents, monitoring &amp; assurance
AI Governance
⟳ Compliance Obligation</t>
        </is>
      </c>
      <c r="C61" s="21" t="n"/>
      <c r="D61" s="70" t="str">
        <f>IF('2. Assessment'!E18="","Not answered",TEXT('2. Assessment'!F18,"0%")&amp;" - "&amp;'2. Assessment'!G18&amp;CHAR(10)&amp;CHAR(10)&amp;'2. Assessment'!E18)</f>
        <v>75% - Largely met
AI incident management with regulatory notification criteria; periodic internal audit of AI governance; assurance obtained from AI vendors</v>
      </c>
      <c r="E61" s="21" t="n"/>
      <c r="F61" s="21" t="n"/>
      <c r="G61" s="70" t="str">
        <f>IF('2. Assessment'!F18=1,"N/A - reported as fully met.","Delayed response to AI failures, missed regulatory notifications and lack of defensible evidence for regulators, auditors and clients.")</f>
        <v>Delayed response to AI failures, missed regulatory notifications and lack of defensible evidence for regulators, auditors and clients.</v>
      </c>
      <c r="H61" s="21" t="n"/>
      <c r="I61" s="70" t="str">
        <f>IF('2. Assessment'!E18="","",'2. Assessment'!H18&amp;CHAR(10)&amp;CHAR(10)&amp;"Controls: IM-1, IM-2, IM-3, AA-1, AA-2, RO-4")</f>
        <v>Implement post-incident learning and an ISO/IEC 42001 certification-readiness review.
Controls: IM-1, IM-2, IM-3, AA-1, AA-2, RO-4</v>
      </c>
      <c r="J61" s="21" t="n"/>
      <c r="K61" s="21" t="n"/>
    </row>
    <row r="62" ht="77.5" customHeight="1">
      <c r="B62" s="69" t="inlineStr">
        <is>
          <t>Q9  AI risk management framework
AI Risk &amp; Security
⚠ Mandatory Requirement</t>
        </is>
      </c>
      <c r="C62" s="21" t="n"/>
      <c r="D62" s="70" t="str">
        <f>IF('2. Assessment'!E19="","Not answered",TEXT('2. Assessment'!F19,"0%")&amp;" - "&amp;'2. Assessment'!G19&amp;CHAR(10)&amp;CHAR(10)&amp;'2. Assessment'!E19)</f>
        <v>25% - Minimal
AI risks considered informally within general IT or project risk</v>
      </c>
      <c r="E62" s="21" t="n"/>
      <c r="F62" s="21" t="n"/>
      <c r="G62" s="70" t="str">
        <f>IF('2. Assessment'!F19=1,"N/A - reported as fully met.","AI risks go unidentified or are rated inconsistently, so high-risk AI is approved without proportionate controls.")</f>
        <v>AI risks go unidentified or are rated inconsistently, so high-risk AI is approved without proportionate controls.</v>
      </c>
      <c r="H62" s="21" t="n"/>
      <c r="I62" s="70" t="str">
        <f>IF('2. Assessment'!E19="","",'2. Assessment'!H19&amp;CHAR(10)&amp;CHAR(10)&amp;"Controls: RM-1, RM-2, RM-3, RM-5")</f>
        <v>Formalise the methodology, approve it at executive level and pilot it on current AI initiatives.
Controls: RM-1, RM-2, RM-3, RM-5</v>
      </c>
      <c r="J62" s="21" t="n"/>
      <c r="K62" s="21" t="n"/>
    </row>
    <row r="63" ht="77.5" customHeight="1">
      <c r="B63" s="69" t="inlineStr">
        <is>
          <t>Q10  AI risk appetite, KRIs &amp; reporting
AI Risk &amp; Security
⚠ Mandatory Requirement</t>
        </is>
      </c>
      <c r="C63" s="21" t="n"/>
      <c r="D63" s="70" t="str">
        <f>IF('2. Assessment'!E20="","Not answered",TEXT('2. Assessment'!F20,"0%")&amp;" - "&amp;'2. Assessment'!G20&amp;CHAR(10)&amp;CHAR(10)&amp;'2. Assessment'!E20)</f>
        <v>50% - Partially met
AI risk appetite drafted; a few indicators tracked informally</v>
      </c>
      <c r="E63" s="21" t="n"/>
      <c r="F63" s="21" t="n"/>
      <c r="G63" s="70" t="str">
        <f>IF('2. Assessment'!F20=1,"N/A - reported as fully met.","No shared view of how much AI risk is acceptable - leading to reckless adoption or blocked innovation - and late detection of deteriorating AI risk.")</f>
        <v>No shared view of how much AI risk is acceptable - leading to reckless adoption or blocked innovation - and late detection of deteriorating AI risk.</v>
      </c>
      <c r="H63" s="21" t="n"/>
      <c r="I63" s="70" t="str">
        <f>IF('2. Assessment'!E20="","",'2. Assessment'!H20&amp;CHAR(10)&amp;CHAR(10)&amp;"Controls: RM-6, RM-4, GL-1")</f>
        <v>Define KRIs with thresholds and escalation for each risk category and report them to the AI committee quarterly.
Controls: RM-6, RM-4, GL-1</v>
      </c>
      <c r="J63" s="21" t="n"/>
      <c r="K63" s="21" t="n"/>
    </row>
    <row r="64" ht="77.5" customHeight="1">
      <c r="B64" s="69" t="inlineStr">
        <is>
          <t>Q11  AI inventory &amp; risk / impact assessment
AI Risk &amp; Security
⚠ Mandatory Requirement</t>
        </is>
      </c>
      <c r="C64" s="21" t="n"/>
      <c r="D64" s="70" t="str">
        <f>IF('2. Assessment'!E21="","Not answered",TEXT('2. Assessment'!F21,"0%")&amp;" - "&amp;'2. Assessment'!G21&amp;CHAR(10)&amp;CHAR(10)&amp;'2. Assessment'!E21)</f>
        <v>50% - Partially met
AI register with owners; risk assessments performed for some AI systems using a documented method</v>
      </c>
      <c r="E64" s="21" t="n"/>
      <c r="F64" s="21" t="n"/>
      <c r="G64" s="70" t="str">
        <f>IF('2. Assessment'!F21=1,"N/A - reported as fully met.","Deployment of vulnerable, non-compliant or harmful AI systems and unknown AI exposure across the organisation and its supply chain.")</f>
        <v>Deployment of vulnerable, non-compliant or harmful AI systems and unknown AI exposure across the organisation and its supply chain.</v>
      </c>
      <c r="H64" s="21" t="n"/>
      <c r="I64" s="70" t="str">
        <f>IF('2. Assessment'!E21="","",'2. Assessment'!H21&amp;CHAR(10)&amp;CHAR(10)&amp;"Controls: GL-8, RM-2, RM-5, TP-2")</f>
        <v>Extend assessments to all AI systems and third-party AI; set approval authority by risk tier.
Controls: GL-8, RM-2, RM-5, TP-2</v>
      </c>
      <c r="J64" s="21" t="n"/>
      <c r="K64" s="21" t="n"/>
    </row>
    <row r="65" ht="77.5" customHeight="1">
      <c r="B65" s="69" t="inlineStr">
        <is>
          <t>Q12  Third-party &amp; AI supply-chain risk
AI Risk &amp; Security
⟳ Compliance Obligation</t>
        </is>
      </c>
      <c r="C65" s="21" t="n"/>
      <c r="D65" s="70" t="str">
        <f>IF('2. Assessment'!E22="","Not answered",TEXT('2. Assessment'!F22,"0%")&amp;" - "&amp;'2. Assessment'!G22&amp;CHAR(10)&amp;CHAR(10)&amp;'2. Assessment'!E22)</f>
        <v>50% - Partially met
AI questions added to vendor due diligence for some purchases; contract terms vary</v>
      </c>
      <c r="E65" s="21" t="n"/>
      <c r="F65" s="21" t="n"/>
      <c r="G65" s="70" t="str">
        <f>IF('2. Assessment'!F22=1,"N/A - reported as fully met.","Client or personal data used to train vendor models, unmanaged model changes, concentration on a single provider and regulatory breaches through suppliers.")</f>
        <v>Client or personal data used to train vendor models, unmanaged model changes, concentration on a single provider and regulatory breaches through suppliers.</v>
      </c>
      <c r="H65" s="21" t="n"/>
      <c r="I65" s="70" t="str">
        <f>IF('2. Assessment'!E22="","",'2. Assessment'!H22&amp;CHAR(10)&amp;CHAR(10)&amp;"Controls: TP-1, TP-2, TP-3, SE-7, LC-6")</f>
        <v>Make AI due diligence mandatory and adopt standard AI contract clauses (no training on client data, residency, audit, incident notice).
Controls: TP-1, TP-2, TP-3, SE-7, LC-6</v>
      </c>
      <c r="J65" s="21" t="n"/>
      <c r="K65" s="21" t="n"/>
    </row>
    <row r="66" ht="77.5" customHeight="1">
      <c r="B66" s="69" t="inlineStr">
        <is>
          <t>Q13  Securing AI systems
AI Risk &amp; Security
⚠ Mandatory Requirement</t>
        </is>
      </c>
      <c r="C66" s="21" t="n"/>
      <c r="D66" s="70" t="str">
        <f>IF('2. Assessment'!E23="","Not answered",TEXT('2. Assessment'!F23,"0%")&amp;" - "&amp;'2. Assessment'!G23&amp;CHAR(10)&amp;CHAR(10)&amp;'2. Assessment'!E23)</f>
        <v>50% - Partially met
AI-specific threats (e.g., prompt injection, data leakage) assessed for some systems; access controls and logging in place</v>
      </c>
      <c r="E66" s="21" t="n"/>
      <c r="F66" s="21" t="n"/>
      <c r="G66" s="70" t="str">
        <f>IF('2. Assessment'!F23=1,"N/A - reported as fully met.","Unauthorised access, model compromise, data exfiltration through AI and undetected misuse.")</f>
        <v>Unauthorised access, model compromise, data exfiltration through AI and undetected misuse.</v>
      </c>
      <c r="H66" s="21" t="n"/>
      <c r="I66" s="70" t="str">
        <f>IF('2. Assessment'!E23="","",'2. Assessment'!H23&amp;CHAR(10)&amp;CHAR(10)&amp;"Controls: SE-2, SE-3, SE-6 to SE-10, OM-2, AA-3")</f>
        <v>Introduce AI red teaming before release, runtime guardrails (input / output filtering) and audit logging.
Controls: SE-2, SE-3, SE-6 to SE-10, OM-2, AA-3</v>
      </c>
      <c r="J66" s="21" t="n"/>
      <c r="K66" s="21" t="n"/>
    </row>
    <row r="67" ht="77.5" customHeight="1">
      <c r="B67" s="69" t="inlineStr">
        <is>
          <t>Q14  Defending against AI-enabled threats
AI Risk &amp; Security
☆ Recommended</t>
        </is>
      </c>
      <c r="C67" s="21" t="n"/>
      <c r="D67" s="70" t="str">
        <f>IF('2. Assessment'!E24="","Not answered",TEXT('2. Assessment'!F24,"0%")&amp;" - "&amp;'2. Assessment'!G24&amp;CHAR(10)&amp;CHAR(10)&amp;'2. Assessment'!E24)</f>
        <v>75% - Largely met
Deepfake-resilient verification for payments and sensitive requests; behaviour-based detection; AI incident playbooks exercised</v>
      </c>
      <c r="E67" s="21" t="n"/>
      <c r="F67" s="21" t="n"/>
      <c r="G67" s="70" t="str">
        <f>IF('2. Assessment'!F24=1,"N/A - reported as fully met.","Deepfake-enabled fraud, account compromise and faster, more scalable attacks that outpace defences.")</f>
        <v>Deepfake-enabled fraud, account compromise and faster, more scalable attacks that outpace defences.</v>
      </c>
      <c r="H67" s="21" t="n"/>
      <c r="I67" s="70" t="str">
        <f>IF('2. Assessment'!E24="","",'2. Assessment'!H24&amp;CHAR(10)&amp;CHAR(10)&amp;"Controls: AT-1, AT-2, AT-3, AT-4")</f>
        <v>Adopt continuous exposure management and AI-specific red teaming; reduce patch cycles to days.
Controls: AT-1, AT-2, AT-3, AT-4</v>
      </c>
      <c r="J67" s="21" t="n"/>
      <c r="K67" s="21" t="n"/>
    </row>
    <row r="68" ht="77.5" customHeight="1">
      <c r="B68" s="69" t="inlineStr">
        <is>
          <t>Q15  AI training, literacy &amp; awareness
Training &amp; Awareness
⟳ Compliance Obligation</t>
        </is>
      </c>
      <c r="C68" s="21" t="n"/>
      <c r="D68" s="70" t="str">
        <f>IF('2. Assessment'!E25="","Not answered",TEXT('2. Assessment'!F25,"0%")&amp;" - "&amp;'2. Assessment'!G25&amp;CHAR(10)&amp;CHAR(10)&amp;'2. Assessment'!E25)</f>
        <v>75% - Largely met
Mandatory AI literacy before tool access; role-based pathways for developers, oversight staff and leaders; scenario-based security awareness</v>
      </c>
      <c r="E68" s="21" t="n"/>
      <c r="F68" s="21" t="n"/>
      <c r="G68" s="70" t="str">
        <f>IF('2. Assessment'!F25=1,"N/A - reported as fully met.","Unsafe use, susceptibility to AI-enabled threats and poor adoption; non-compliance with the EU AI Act Art. 4 AI-literacy duty where applicable.")</f>
        <v>Unsafe use, susceptibility to AI-enabled threats and poor adoption; non-compliance with the EU AI Act Art. 4 AI-literacy duty where applicable.</v>
      </c>
      <c r="H68" s="21" t="n"/>
      <c r="I68" s="70" t="str">
        <f>IF('2. Assessment'!E25="","",'2. Assessment'!H25&amp;CHAR(10)&amp;CHAR(10)&amp;"Controls: GL-4, RS-9")</f>
        <v>Measure competence, refresh annually, and build an AI champions network and workforce plan.
Controls: GL-4, RS-9</v>
      </c>
      <c r="J68" s="21" t="n"/>
      <c r="K68" s="21" t="n"/>
    </row>
    <row r="69" ht="77.5" customHeight="1">
      <c r="B69" s="69" t="inlineStr">
        <is>
          <t>Q16  AI strategy &amp; executive ownership
Strategy &amp; Value
☆ Recommended</t>
        </is>
      </c>
      <c r="C69" s="21" t="n"/>
      <c r="D69" s="70" t="str">
        <f>IF('2. Assessment'!E26="","Not answered",TEXT('2. Assessment'!F26,"0%")&amp;" - "&amp;'2. Assessment'!G26&amp;CHAR(10)&amp;CHAR(10)&amp;'2. Assessment'!E26)</f>
        <v>50% - Partially met
Executive sponsor named and AI strategy drafted, but not linked to business objectives or budget</v>
      </c>
      <c r="E69" s="21" t="n"/>
      <c r="F69" s="21" t="n"/>
      <c r="G69" s="70" t="str">
        <f>IF('2. Assessment'!F26=1,"N/A - reported as fully met.","Lack of executive direction leads to inconsistent AI use, unmanaged risk-taking, poor-quality outputs and fragmented adoption.")</f>
        <v>Lack of executive direction leads to inconsistent AI use, unmanaged risk-taking, poor-quality outputs and fragmented adoption.</v>
      </c>
      <c r="H69" s="21" t="n"/>
      <c r="I69" s="70" t="str">
        <f>IF('2. Assessment'!E26="","",'2. Assessment'!H26&amp;CHAR(10)&amp;CHAR(10)&amp;"Controls: GL-1, GL-3")</f>
        <v>Link the strategy to business objectives and budget; define experimentation ('sandbox') boundaries and communicate them.
Controls: GL-1, GL-3</v>
      </c>
      <c r="J69" s="21" t="n"/>
      <c r="K69" s="21" t="n"/>
    </row>
    <row r="70" ht="77.5" customHeight="1">
      <c r="B70" s="69" t="inlineStr">
        <is>
          <t>Q17  Use-case portfolio &amp; value realisation
Strategy &amp; Value
☆ Recommended</t>
        </is>
      </c>
      <c r="C70" s="21" t="n"/>
      <c r="D70" s="70" t="str">
        <f>IF('2. Assessment'!E27="","Not answered",TEXT('2. Assessment'!F27,"0%")&amp;" - "&amp;'2. Assessment'!G27&amp;CHAR(10)&amp;CHAR(10)&amp;'2. Assessment'!E27)</f>
        <v>50% - Partially met
Use-case intake exists and initiatives are prioritised, but benefits are not systematically tracked</v>
      </c>
      <c r="E70" s="21" t="n"/>
      <c r="F70" s="21" t="n"/>
      <c r="G70" s="70" t="str">
        <f>IF('2. Assessment'!F27=1,"N/A - reported as fully met.","Duplicated or low-value AI investment, shadow AI and inability to demonstrate return on investment.")</f>
        <v>Duplicated or low-value AI investment, shadow AI and inability to demonstrate return on investment.</v>
      </c>
      <c r="H70" s="21" t="n"/>
      <c r="I70" s="70" t="str">
        <f>IF('2. Assessment'!E27="","",'2. Assessment'!H27&amp;CHAR(10)&amp;CHAR(10)&amp;"Controls: GL-6, GL-5")</f>
        <v>Define benefit KPIs (financial and non-financial) at approval and assign benefit owners.
Controls: GL-6, GL-5</v>
      </c>
      <c r="J70" s="21" t="n"/>
      <c r="K70" s="21" t="n"/>
    </row>
    <row r="71" ht="77.5" customHeight="1">
      <c r="B71" s="69" t="inlineStr">
        <is>
          <t>Q18  Data governance, quality &amp; privacy for AI
Data &amp; Technology
⟳ Compliance Obligation</t>
        </is>
      </c>
      <c r="C71" s="21" t="n"/>
      <c r="D71" s="70" t="str">
        <f>IF('2. Assessment'!E28="","Not answered",TEXT('2. Assessment'!F28,"0%")&amp;" - "&amp;'2. Assessment'!G28&amp;CHAR(10)&amp;CHAR(10)&amp;'2. Assessment'!E28)</f>
        <v>75% - Largely met
Data readiness assessed before approval; lineage and quality monitored; minimisation, anonymisation and prompt redaction applied; DPIAs standard</v>
      </c>
      <c r="E71" s="21" t="n"/>
      <c r="F71" s="21" t="n"/>
      <c r="G71" s="70" t="str">
        <f>IF('2. Assessment'!F28=1,"N/A - reported as fully met.","Data breaches, PDPL non-compliance, and biased or inaccurate outputs from poor-quality or unsuitable data.")</f>
        <v>Data breaches, PDPL non-compliance, and biased or inaccurate outputs from poor-quality or unsuitable data.</v>
      </c>
      <c r="H71" s="21" t="n"/>
      <c r="I71" s="70" t="str">
        <f>IF('2. Assessment'!E28="","",'2. Assessment'!H28&amp;CHAR(10)&amp;CHAR(10)&amp;"Controls: LC-1, SE-4, PR-1, PR-4, PR-5, PR-6")</f>
        <v>Automate data-quality and lineage monitoring; operationalise data-subject rights and transfer assessments for AI.
Controls: LC-1, SE-4, PR-1, PR-4, PR-5, PR-6</v>
      </c>
      <c r="J71" s="21" t="n"/>
      <c r="K71" s="21" t="n"/>
    </row>
    <row r="72" ht="88" customHeight="1">
      <c r="B72" s="69" t="inlineStr">
        <is>
          <t>Q19  AI architecture, integration &amp; monitoring
Data &amp; Technology
☆ Recommended</t>
        </is>
      </c>
      <c r="C72" s="21" t="n"/>
      <c r="D72" s="70" t="str">
        <f>IF('2. Assessment'!E29="","Not answered",TEXT('2. Assessment'!F29,"0%")&amp;" - "&amp;'2. Assessment'!G29&amp;CHAR(10)&amp;CHAR(10)&amp;'2. Assessment'!E29)</f>
        <v>50% - Partially met
Reference architecture drafted; approved platforms and integration patterns for most AI; basic performance monitoring</v>
      </c>
      <c r="E72" s="21" t="n"/>
      <c r="F72" s="21" t="n"/>
      <c r="G72" s="70" t="str">
        <f>IF('2. Assessment'!F29=1,"N/A - reported as fully met.","Inconsistent and insecure implementations, undetected model drift or failure, excessive agent privileges and unsustainable AI costs.")</f>
        <v>Inconsistent and insecure implementations, undetected model drift or failure, excessive agent privileges and unsustainable AI costs.</v>
      </c>
      <c r="H72" s="21" t="n"/>
      <c r="I72" s="70" t="str">
        <f>IF('2. Assessment'!E29="","",'2. Assessment'!H29&amp;CHAR(10)&amp;CHAR(10)&amp;"Controls: LC-2, LC-3, LC-8, LC-12, OM-1, OM-4, RM-6")</f>
        <v>Centralise API / access control for AI, define agent execution authority and implement drift / performance monitoring with thresholds.
Controls: LC-2, LC-3, LC-8, LC-12, OM-1, OM-4, RM-6</v>
      </c>
      <c r="J72" s="21" t="n"/>
      <c r="K72" s="21" t="n"/>
    </row>
    <row r="73" ht="77.5" customHeight="1">
      <c r="B73" s="69" t="inlineStr">
        <is>
          <t>Q20  Model risk management &amp; validation
Data &amp; Technology
☆ Recommended</t>
        </is>
      </c>
      <c r="C73" s="21" t="n"/>
      <c r="D73" s="70" t="str">
        <f>IF('2. Assessment'!E30="","Not answered",TEXT('2. Assessment'!F30,"0%")&amp;" - "&amp;'2. Assessment'!G30&amp;CHAR(10)&amp;CHAR(10)&amp;'2. Assessment'!E30)</f>
        <v>50% - Partially met
Model inventory exists; validation performed for some material models</v>
      </c>
      <c r="E73" s="21" t="n"/>
      <c r="F73" s="21" t="n"/>
      <c r="G73" s="70" t="str">
        <f>IF('2. Assessment'!F30=1,"N/A - reported as fully met.","Inaccurate, biased or unstable models drive decisions unnoticed, with regulatory exposure for financial-services clients.")</f>
        <v>Inaccurate, biased or unstable models drive decisions unnoticed, with regulatory exposure for financial-services clients.</v>
      </c>
      <c r="H73" s="21" t="n"/>
      <c r="I73" s="70" t="str">
        <f>IF('2. Assessment'!E30="","",'2. Assessment'!H30&amp;CHAR(10)&amp;CHAR(10)&amp;"Controls: LC-9, RS-6, LC-13, OM-1")</f>
        <v>Validate all material models before use and on a risk-based cycle; document thresholds, limitations and conditions of use.
Controls: LC-9, RS-6, LC-13, OM-1</v>
      </c>
      <c r="J73" s="21" t="n"/>
      <c r="K73" s="21" t="n"/>
    </row>
    <row r="74"/>
    <row r="75" ht="22" customHeight="1">
      <c r="B75" s="47" t="inlineStr">
        <is>
          <t>6. TOP 5 PRIORITY ACTIONS</t>
        </is>
      </c>
    </row>
    <row r="76">
      <c r="B76" s="14" t="inlineStr">
        <is>
          <t>Ranked by size of gap, weighted for compliance / mandatory requirements and the organisation's inherent risk tier.</t>
        </is>
      </c>
    </row>
    <row r="77" ht="26" customHeight="1">
      <c r="B77" s="23" t="inlineStr">
        <is>
          <t>#</t>
        </is>
      </c>
      <c r="C77" s="23" t="inlineStr">
        <is>
          <t>Area</t>
        </is>
      </c>
      <c r="D77" s="23" t="inlineStr">
        <is>
          <t>Score</t>
        </is>
      </c>
      <c r="E77" s="23" t="inlineStr">
        <is>
          <t>Action</t>
        </is>
      </c>
      <c r="F77" s="21" t="n"/>
      <c r="G77" s="21" t="n"/>
      <c r="H77" s="21" t="n"/>
      <c r="I77" s="21" t="n"/>
      <c r="J77" s="23" t="inlineStr">
        <is>
          <t>Timing</t>
        </is>
      </c>
      <c r="K77" s="21" t="n"/>
    </row>
    <row r="78" ht="40" customHeight="1">
      <c r="B78" s="30" t="n">
        <v>1</v>
      </c>
      <c r="C78" s="64" t="str">
        <f>IF(Calc!B87="","",INDEX(Calc!$B:$B,Calc!B87))</f>
        <v>AI risk management framework</v>
      </c>
      <c r="D78" s="68">
        <f>IF(Calc!B87="","",INDEX(Calc!$E:$E,Calc!B87))</f>
        <v>0.25</v>
      </c>
      <c r="E78" s="7" t="str">
        <f>IF(Calc!B87="",IF(0=0,"No gaps identified - maintain current practices.",""),INDEX(Calc!$L:$L,Calc!B87))</f>
        <v>Formalise the methodology, approve it at executive level and pilot it on current AI initiatives.</v>
      </c>
      <c r="F78" s="21" t="n"/>
      <c r="G78" s="21" t="n"/>
      <c r="H78" s="21" t="n"/>
      <c r="I78" s="21" t="n"/>
      <c r="J78" s="71" t="str">
        <f>IF(Calc!B87="","",INDEX(Calc!$I:$I,Calc!B87))</f>
        <v>Immediate (0-3 months)</v>
      </c>
      <c r="K78" s="21" t="n"/>
    </row>
    <row r="79" ht="40" customHeight="1">
      <c r="B79" s="30" t="n">
        <v>2</v>
      </c>
      <c r="C79" s="64" t="str">
        <f>IF(Calc!B88="","",INDEX(Calc!$B:$B,Calc!B88))</f>
        <v>AI governance structure &amp; accountability</v>
      </c>
      <c r="D79" s="68">
        <f>IF(Calc!B88="","",INDEX(Calc!$E:$E,Calc!B88))</f>
        <v>0.5</v>
      </c>
      <c r="E79" s="7" t="str">
        <f>IF(Calc!B88="",IF(1=0,"No gaps identified - maintain current practices.",""),INDEX(Calc!$L:$L,Calc!B88))</f>
        <v>Assign named business and technical owners to every AI system and publish a RACI across the three lines of defence.</v>
      </c>
      <c r="F79" s="21" t="n"/>
      <c r="G79" s="21" t="n"/>
      <c r="H79" s="21" t="n"/>
      <c r="I79" s="21" t="n"/>
      <c r="J79" s="71" t="str">
        <f>IF(Calc!B88="","",INDEX(Calc!$I:$I,Calc!B88))</f>
        <v>Immediate (0-3 months)</v>
      </c>
      <c r="K79" s="21" t="n"/>
    </row>
    <row r="80" ht="40" customHeight="1">
      <c r="B80" s="30" t="n">
        <v>3</v>
      </c>
      <c r="C80" s="64" t="str">
        <f>IF(Calc!B89="","",INDEX(Calc!$B:$B,Calc!B89))</f>
        <v>AI risk appetite, KRIs &amp; reporting</v>
      </c>
      <c r="D80" s="68">
        <f>IF(Calc!B89="","",INDEX(Calc!$E:$E,Calc!B89))</f>
        <v>0.5</v>
      </c>
      <c r="E80" s="7" t="str">
        <f>IF(Calc!B89="",IF(2=0,"No gaps identified - maintain current practices.",""),INDEX(Calc!$L:$L,Calc!B89))</f>
        <v>Define KRIs with thresholds and escalation for each risk category and report them to the AI committee quarterly.</v>
      </c>
      <c r="F80" s="21" t="n"/>
      <c r="G80" s="21" t="n"/>
      <c r="H80" s="21" t="n"/>
      <c r="I80" s="21" t="n"/>
      <c r="J80" s="71" t="str">
        <f>IF(Calc!B89="","",INDEX(Calc!$I:$I,Calc!B89))</f>
        <v>Immediate (0-3 months)</v>
      </c>
      <c r="K80" s="21" t="n"/>
    </row>
    <row r="81" ht="40" customHeight="1">
      <c r="B81" s="30" t="n">
        <v>4</v>
      </c>
      <c r="C81" s="64" t="str">
        <f>IF(Calc!B90="","",INDEX(Calc!$B:$B,Calc!B90))</f>
        <v>AI inventory &amp; risk / impact assessment</v>
      </c>
      <c r="D81" s="68">
        <f>IF(Calc!B90="","",INDEX(Calc!$E:$E,Calc!B90))</f>
        <v>0.5</v>
      </c>
      <c r="E81" s="7" t="str">
        <f>IF(Calc!B90="",IF(3=0,"No gaps identified - maintain current practices.",""),INDEX(Calc!$L:$L,Calc!B90))</f>
        <v>Extend assessments to all AI systems and third-party AI; set approval authority by risk tier.</v>
      </c>
      <c r="F81" s="21" t="n"/>
      <c r="G81" s="21" t="n"/>
      <c r="H81" s="21" t="n"/>
      <c r="I81" s="21" t="n"/>
      <c r="J81" s="71" t="str">
        <f>IF(Calc!B90="","",INDEX(Calc!$I:$I,Calc!B90))</f>
        <v>Immediate (0-3 months)</v>
      </c>
      <c r="K81" s="21" t="n"/>
    </row>
    <row r="82" ht="40" customHeight="1">
      <c r="B82" s="30" t="n">
        <v>5</v>
      </c>
      <c r="C82" s="64" t="str">
        <f>IF(Calc!B91="","",INDEX(Calc!$B:$B,Calc!B91))</f>
        <v>Third-party &amp; AI supply-chain risk</v>
      </c>
      <c r="D82" s="68">
        <f>IF(Calc!B91="","",INDEX(Calc!$E:$E,Calc!B91))</f>
        <v>0.5</v>
      </c>
      <c r="E82" s="7" t="str">
        <f>IF(Calc!B91="",IF(4=0,"No gaps identified - maintain current practices.",""),INDEX(Calc!$L:$L,Calc!B91))</f>
        <v>Make AI due diligence mandatory and adopt standard AI contract clauses (no training on client data, residency, audit, incident notice).</v>
      </c>
      <c r="F82" s="21" t="n"/>
      <c r="G82" s="21" t="n"/>
      <c r="H82" s="21" t="n"/>
      <c r="I82" s="21" t="n"/>
      <c r="J82" s="71" t="str">
        <f>IF(Calc!B91="","",INDEX(Calc!$I:$I,Calc!B91))</f>
        <v>Immediate (0-3 months)</v>
      </c>
      <c r="K82" s="21" t="n"/>
    </row>
    <row r="83"/>
    <row r="84" ht="22" customHeight="1">
      <c r="B84" s="47" t="inlineStr">
        <is>
          <t>7. SUGGESTED IMPLEMENTATION ROADMAP</t>
        </is>
      </c>
    </row>
    <row r="85" ht="26" customHeight="1">
      <c r="B85" s="23" t="inlineStr">
        <is>
          <t>Horizon</t>
        </is>
      </c>
      <c r="C85" s="21" t="n"/>
      <c r="D85" s="23" t="inlineStr">
        <is>
          <t>Area</t>
        </is>
      </c>
      <c r="E85" s="21" t="n"/>
      <c r="F85" s="23" t="inlineStr">
        <is>
          <t>Action</t>
        </is>
      </c>
      <c r="G85" s="21" t="n"/>
      <c r="H85" s="21" t="n"/>
      <c r="I85" s="21" t="n"/>
      <c r="J85" s="21" t="n"/>
      <c r="K85" s="23" t="inlineStr">
        <is>
          <t>Controls</t>
        </is>
      </c>
    </row>
    <row r="86" ht="36" customHeight="1">
      <c r="B86" s="72" t="str">
        <f>IF(Calc!C87="","",INDEX(Calc!$I:$I,Calc!C87))</f>
        <v>Immediate (0-3 months)</v>
      </c>
      <c r="C86" s="21" t="n"/>
      <c r="D86" s="73" t="str">
        <f>IF(Calc!C87="","",INDEX(Calc!$B:$B,Calc!C87))</f>
        <v>AI risk management framework</v>
      </c>
      <c r="E86" s="21" t="n"/>
      <c r="F86" s="65" t="str">
        <f>IF(Calc!C87="","",INDEX(Calc!$L:$L,Calc!C87))</f>
        <v>Formalise the methodology, approve it at executive level and pilot it on current AI initiatives.</v>
      </c>
      <c r="G86" s="21" t="n"/>
      <c r="H86" s="21" t="n"/>
      <c r="I86" s="21" t="n"/>
      <c r="J86" s="21" t="n"/>
      <c r="K86" s="74" t="str">
        <f>IF(Calc!C87="","",INDEX(Calc!$M:$M,Calc!C87))</f>
        <v>RM-1, RM-2, RM-3, RM-5</v>
      </c>
    </row>
    <row r="87" ht="36" customHeight="1">
      <c r="B87" s="72" t="str">
        <f>IF(Calc!C88="","",INDEX(Calc!$I:$I,Calc!C88))</f>
        <v>Immediate (0-3 months)</v>
      </c>
      <c r="C87" s="21" t="n"/>
      <c r="D87" s="73" t="str">
        <f>IF(Calc!C88="","",INDEX(Calc!$B:$B,Calc!C88))</f>
        <v>AI governance structure &amp; accountability</v>
      </c>
      <c r="E87" s="21" t="n"/>
      <c r="F87" s="65" t="str">
        <f>IF(Calc!C88="","",INDEX(Calc!$L:$L,Calc!C88))</f>
        <v>Assign named business and technical owners to every AI system and publish a RACI across the three lines of defence.</v>
      </c>
      <c r="G87" s="21" t="n"/>
      <c r="H87" s="21" t="n"/>
      <c r="I87" s="21" t="n"/>
      <c r="J87" s="21" t="n"/>
      <c r="K87" s="74" t="str">
        <f>IF(Calc!C88="","",INDEX(Calc!$M:$M,Calc!C88))</f>
        <v>GL-1, GL-2, GL-7, AA-1</v>
      </c>
    </row>
    <row r="88" ht="36" customHeight="1">
      <c r="B88" s="72" t="str">
        <f>IF(Calc!C89="","",INDEX(Calc!$I:$I,Calc!C89))</f>
        <v>Immediate (0-3 months)</v>
      </c>
      <c r="C88" s="21" t="n"/>
      <c r="D88" s="73" t="str">
        <f>IF(Calc!C89="","",INDEX(Calc!$B:$B,Calc!C89))</f>
        <v>AI risk appetite, KRIs &amp; reporting</v>
      </c>
      <c r="E88" s="21" t="n"/>
      <c r="F88" s="65" t="str">
        <f>IF(Calc!C89="","",INDEX(Calc!$L:$L,Calc!C89))</f>
        <v>Define KRIs with thresholds and escalation for each risk category and report them to the AI committee quarterly.</v>
      </c>
      <c r="G88" s="21" t="n"/>
      <c r="H88" s="21" t="n"/>
      <c r="I88" s="21" t="n"/>
      <c r="J88" s="21" t="n"/>
      <c r="K88" s="74" t="str">
        <f>IF(Calc!C89="","",INDEX(Calc!$M:$M,Calc!C89))</f>
        <v>RM-6, RM-4, GL-1</v>
      </c>
    </row>
    <row r="89" ht="36" customHeight="1">
      <c r="B89" s="72" t="str">
        <f>IF(Calc!C90="","",INDEX(Calc!$I:$I,Calc!C90))</f>
        <v>Immediate (0-3 months)</v>
      </c>
      <c r="C89" s="21" t="n"/>
      <c r="D89" s="73" t="str">
        <f>IF(Calc!C90="","",INDEX(Calc!$B:$B,Calc!C90))</f>
        <v>AI inventory &amp; risk / impact assessment</v>
      </c>
      <c r="E89" s="21" t="n"/>
      <c r="F89" s="65" t="str">
        <f>IF(Calc!C90="","",INDEX(Calc!$L:$L,Calc!C90))</f>
        <v>Extend assessments to all AI systems and third-party AI; set approval authority by risk tier.</v>
      </c>
      <c r="G89" s="21" t="n"/>
      <c r="H89" s="21" t="n"/>
      <c r="I89" s="21" t="n"/>
      <c r="J89" s="21" t="n"/>
      <c r="K89" s="74" t="str">
        <f>IF(Calc!C90="","",INDEX(Calc!$M:$M,Calc!C90))</f>
        <v>GL-8, RM-2, RM-5, TP-2</v>
      </c>
    </row>
    <row r="90" ht="36" customHeight="1">
      <c r="B90" s="72" t="str">
        <f>IF(Calc!C91="","",INDEX(Calc!$I:$I,Calc!C91))</f>
        <v>Immediate (0-3 months)</v>
      </c>
      <c r="C90" s="21" t="n"/>
      <c r="D90" s="73" t="str">
        <f>IF(Calc!C91="","",INDEX(Calc!$B:$B,Calc!C91))</f>
        <v>Third-party &amp; AI supply-chain risk</v>
      </c>
      <c r="E90" s="21" t="n"/>
      <c r="F90" s="65" t="str">
        <f>IF(Calc!C91="","",INDEX(Calc!$L:$L,Calc!C91))</f>
        <v>Make AI due diligence mandatory and adopt standard AI contract clauses (no training on client data, residency, audit, incident notice).</v>
      </c>
      <c r="G90" s="21" t="n"/>
      <c r="H90" s="21" t="n"/>
      <c r="I90" s="21" t="n"/>
      <c r="J90" s="21" t="n"/>
      <c r="K90" s="74" t="str">
        <f>IF(Calc!C91="","",INDEX(Calc!$M:$M,Calc!C91))</f>
        <v>TP-1, TP-2, TP-3, SE-7, LC-6</v>
      </c>
    </row>
    <row r="91" ht="36" customHeight="1">
      <c r="B91" s="72" t="str">
        <f>IF(Calc!C92="","",INDEX(Calc!$I:$I,Calc!C92))</f>
        <v>Immediate (0-3 months)</v>
      </c>
      <c r="C91" s="21" t="n"/>
      <c r="D91" s="73" t="str">
        <f>IF(Calc!C92="","",INDEX(Calc!$B:$B,Calc!C92))</f>
        <v>Securing AI systems</v>
      </c>
      <c r="E91" s="21" t="n"/>
      <c r="F91" s="65" t="str">
        <f>IF(Calc!C92="","",INDEX(Calc!$L:$L,Calc!C92))</f>
        <v>Introduce AI red teaming before release, runtime guardrails (input / output filtering) and audit logging.</v>
      </c>
      <c r="G91" s="21" t="n"/>
      <c r="H91" s="21" t="n"/>
      <c r="I91" s="21" t="n"/>
      <c r="J91" s="21" t="n"/>
      <c r="K91" s="74" t="str">
        <f>IF(Calc!C92="","",INDEX(Calc!$M:$M,Calc!C92))</f>
        <v>SE-2, SE-3, SE-6 to SE-10, OM-2, AA-3</v>
      </c>
    </row>
    <row r="92" ht="36" customHeight="1">
      <c r="B92" s="72" t="str">
        <f>IF(Calc!C93="","",INDEX(Calc!$I:$I,Calc!C93))</f>
        <v>Short term (3-6 months)</v>
      </c>
      <c r="C92" s="21" t="n"/>
      <c r="D92" s="73" t="str">
        <f>IF(Calc!C93="","",INDEX(Calc!$B:$B,Calc!C93))</f>
        <v>Responsible-AI guardrails &amp; human oversight</v>
      </c>
      <c r="E92" s="21" t="n"/>
      <c r="F92" s="65" t="str">
        <f>IF(Calc!C93="","",INDEX(Calc!$L:$L,Calc!C93))</f>
        <v>Apply mandatory human-in-charge controls and AI disclosure to all relevant AI; require committee approval for High / Critical uses.</v>
      </c>
      <c r="G92" s="21" t="n"/>
      <c r="H92" s="21" t="n"/>
      <c r="I92" s="21" t="n"/>
      <c r="J92" s="21" t="n"/>
      <c r="K92" s="74" t="str">
        <f>IF(Calc!C93="","",INDEX(Calc!$M:$M,Calc!C93))</f>
        <v>GL-7, RS-1, RS-4, RS-5, CO-1, CO-3</v>
      </c>
    </row>
    <row r="93" ht="36" customHeight="1">
      <c r="B93" s="72" t="str">
        <f>IF(Calc!C94="","",INDEX(Calc!$I:$I,Calc!C94))</f>
        <v>Short term (3-6 months)</v>
      </c>
      <c r="C93" s="21" t="n"/>
      <c r="D93" s="73" t="str">
        <f>IF(Calc!C94="","",INDEX(Calc!$B:$B,Calc!C94))</f>
        <v>AI strategy &amp; executive ownership</v>
      </c>
      <c r="E93" s="21" t="n"/>
      <c r="F93" s="65" t="str">
        <f>IF(Calc!C94="","",INDEX(Calc!$L:$L,Calc!C94))</f>
        <v>Link the strategy to business objectives and budget; define experimentation ('sandbox') boundaries and communicate them.</v>
      </c>
      <c r="G93" s="21" t="n"/>
      <c r="H93" s="21" t="n"/>
      <c r="I93" s="21" t="n"/>
      <c r="J93" s="21" t="n"/>
      <c r="K93" s="74" t="str">
        <f>IF(Calc!C94="","",INDEX(Calc!$M:$M,Calc!C94))</f>
        <v>GL-1, GL-3</v>
      </c>
    </row>
    <row r="94" ht="36" customHeight="1">
      <c r="B94" s="72" t="str">
        <f>IF(Calc!C95="","",INDEX(Calc!$I:$I,Calc!C95))</f>
        <v>Short term (3-6 months)</v>
      </c>
      <c r="C94" s="21" t="n"/>
      <c r="D94" s="73" t="str">
        <f>IF(Calc!C95="","",INDEX(Calc!$B:$B,Calc!C95))</f>
        <v>Use-case portfolio &amp; value realisation</v>
      </c>
      <c r="E94" s="21" t="n"/>
      <c r="F94" s="65" t="str">
        <f>IF(Calc!C95="","",INDEX(Calc!$L:$L,Calc!C95))</f>
        <v>Define benefit KPIs (financial and non-financial) at approval and assign benefit owners.</v>
      </c>
      <c r="G94" s="21" t="n"/>
      <c r="H94" s="21" t="n"/>
      <c r="I94" s="21" t="n"/>
      <c r="J94" s="21" t="n"/>
      <c r="K94" s="74" t="str">
        <f>IF(Calc!C95="","",INDEX(Calc!$M:$M,Calc!C95))</f>
        <v>GL-6, GL-5</v>
      </c>
    </row>
    <row r="95" ht="36" customHeight="1">
      <c r="B95" s="72" t="str">
        <f>IF(Calc!C96="","",INDEX(Calc!$I:$I,Calc!C96))</f>
        <v>Short term (3-6 months)</v>
      </c>
      <c r="C95" s="21" t="n"/>
      <c r="D95" s="73" t="str">
        <f>IF(Calc!C96="","",INDEX(Calc!$B:$B,Calc!C96))</f>
        <v>AI architecture, integration &amp; monitoring</v>
      </c>
      <c r="E95" s="21" t="n"/>
      <c r="F95" s="65" t="str">
        <f>IF(Calc!C96="","",INDEX(Calc!$L:$L,Calc!C96))</f>
        <v>Centralise API / access control for AI, define agent execution authority and implement drift / performance monitoring with thresholds.</v>
      </c>
      <c r="G95" s="21" t="n"/>
      <c r="H95" s="21" t="n"/>
      <c r="I95" s="21" t="n"/>
      <c r="J95" s="21" t="n"/>
      <c r="K95" s="74" t="str">
        <f>IF(Calc!C96="","",INDEX(Calc!$M:$M,Calc!C96))</f>
        <v>LC-2, LC-3, LC-8, LC-12, OM-1, OM-4, RM-6</v>
      </c>
    </row>
    <row r="96" ht="36" customHeight="1">
      <c r="B96" s="72" t="str">
        <f>IF(Calc!C97="","",INDEX(Calc!$I:$I,Calc!C97))</f>
        <v>Short term (3-6 months)</v>
      </c>
      <c r="C96" s="21" t="n"/>
      <c r="D96" s="73" t="str">
        <f>IF(Calc!C97="","",INDEX(Calc!$B:$B,Calc!C97))</f>
        <v>Model risk management &amp; validation</v>
      </c>
      <c r="E96" s="21" t="n"/>
      <c r="F96" s="65" t="str">
        <f>IF(Calc!C97="","",INDEX(Calc!$L:$L,Calc!C97))</f>
        <v>Validate all material models before use and on a risk-based cycle; document thresholds, limitations and conditions of use.</v>
      </c>
      <c r="G96" s="21" t="n"/>
      <c r="H96" s="21" t="n"/>
      <c r="I96" s="21" t="n"/>
      <c r="J96" s="21" t="n"/>
      <c r="K96" s="74" t="str">
        <f>IF(Calc!C97="","",INDEX(Calc!$M:$M,Calc!C97))</f>
        <v>LC-9, RS-6, LC-13, OM-1</v>
      </c>
    </row>
    <row r="97" ht="36" customHeight="1">
      <c r="B97" s="72" t="str">
        <f>IF(Calc!C98="","",INDEX(Calc!$I:$I,Calc!C98))</f>
        <v>Medium term (6-12 months)</v>
      </c>
      <c r="C97" s="21" t="n"/>
      <c r="D97" s="73" t="str">
        <f>IF(Calc!C98="","",INDEX(Calc!$B:$B,Calc!C98))</f>
        <v>AI policy, acceptable use &amp; regulatory compliance</v>
      </c>
      <c r="E97" s="21" t="n"/>
      <c r="F97" s="65" t="str">
        <f>IF(Calc!C98="","",INDEX(Calc!$L:$L,Calc!C98))</f>
        <v>Establish monthly regulatory horizon scanning and periodic compliance testing with evidence retention.</v>
      </c>
      <c r="G97" s="21" t="n"/>
      <c r="H97" s="21" t="n"/>
      <c r="I97" s="21" t="n"/>
      <c r="J97" s="21" t="n"/>
      <c r="K97" s="74" t="str">
        <f>IF(Calc!C98="","",INDEX(Calc!$M:$M,Calc!C98))</f>
        <v>GL-5, RO-1, RO-5</v>
      </c>
    </row>
    <row r="98" ht="36" customHeight="1">
      <c r="B98" s="72" t="str">
        <f>IF(Calc!C99="","",INDEX(Calc!$I:$I,Calc!C99))</f>
        <v>Medium term (6-12 months)</v>
      </c>
      <c r="C98" s="21" t="n"/>
      <c r="D98" s="73" t="str">
        <f>IF(Calc!C99="","",INDEX(Calc!$B:$B,Calc!C99))</f>
        <v>AI incidents, monitoring &amp; assurance</v>
      </c>
      <c r="E98" s="21" t="n"/>
      <c r="F98" s="65" t="str">
        <f>IF(Calc!C99="","",INDEX(Calc!$L:$L,Calc!C99))</f>
        <v>Implement post-incident learning and an ISO/IEC 42001 certification-readiness review.</v>
      </c>
      <c r="G98" s="21" t="n"/>
      <c r="H98" s="21" t="n"/>
      <c r="I98" s="21" t="n"/>
      <c r="J98" s="21" t="n"/>
      <c r="K98" s="74" t="str">
        <f>IF(Calc!C99="","",INDEX(Calc!$M:$M,Calc!C99))</f>
        <v>IM-1, IM-2, IM-3, AA-1, AA-2, RO-4</v>
      </c>
    </row>
    <row r="99" ht="36" customHeight="1">
      <c r="B99" s="72" t="str">
        <f>IF(Calc!C100="","",INDEX(Calc!$I:$I,Calc!C100))</f>
        <v>Medium term (6-12 months)</v>
      </c>
      <c r="C99" s="21" t="n"/>
      <c r="D99" s="73" t="str">
        <f>IF(Calc!C100="","",INDEX(Calc!$B:$B,Calc!C100))</f>
        <v>AI training, literacy &amp; awareness</v>
      </c>
      <c r="E99" s="21" t="n"/>
      <c r="F99" s="65" t="str">
        <f>IF(Calc!C100="","",INDEX(Calc!$L:$L,Calc!C100))</f>
        <v>Measure competence, refresh annually, and build an AI champions network and workforce plan.</v>
      </c>
      <c r="G99" s="21" t="n"/>
      <c r="H99" s="21" t="n"/>
      <c r="I99" s="21" t="n"/>
      <c r="J99" s="21" t="n"/>
      <c r="K99" s="74" t="str">
        <f>IF(Calc!C100="","",INDEX(Calc!$M:$M,Calc!C100))</f>
        <v>GL-4, RS-9</v>
      </c>
    </row>
    <row r="100" ht="36" customHeight="1">
      <c r="B100" s="72" t="str">
        <f>IF(Calc!C101="","",INDEX(Calc!$I:$I,Calc!C101))</f>
        <v>Medium term (6-12 months)</v>
      </c>
      <c r="C100" s="21" t="n"/>
      <c r="D100" s="73" t="str">
        <f>IF(Calc!C101="","",INDEX(Calc!$B:$B,Calc!C101))</f>
        <v>Data governance, quality &amp; privacy for AI</v>
      </c>
      <c r="E100" s="21" t="n"/>
      <c r="F100" s="65" t="str">
        <f>IF(Calc!C101="","",INDEX(Calc!$L:$L,Calc!C101))</f>
        <v>Automate data-quality and lineage monitoring; operationalise data-subject rights and transfer assessments for AI.</v>
      </c>
      <c r="G100" s="21" t="n"/>
      <c r="H100" s="21" t="n"/>
      <c r="I100" s="21" t="n"/>
      <c r="J100" s="21" t="n"/>
      <c r="K100" s="74" t="str">
        <f>IF(Calc!C101="","",INDEX(Calc!$M:$M,Calc!C101))</f>
        <v>LC-1, SE-4, PR-1, PR-4, PR-5, PR-6</v>
      </c>
    </row>
    <row r="101" ht="36" customHeight="1">
      <c r="B101" s="72" t="str">
        <f>IF(Calc!C102="","",INDEX(Calc!$I:$I,Calc!C102))</f>
        <v>Medium term (6-12 months)</v>
      </c>
      <c r="C101" s="21" t="n"/>
      <c r="D101" s="73" t="str">
        <f>IF(Calc!C102="","",INDEX(Calc!$B:$B,Calc!C102))</f>
        <v>Defending against AI-enabled threats</v>
      </c>
      <c r="E101" s="21" t="n"/>
      <c r="F101" s="65" t="str">
        <f>IF(Calc!C102="","",INDEX(Calc!$L:$L,Calc!C102))</f>
        <v>Adopt continuous exposure management and AI-specific red teaming; reduce patch cycles to days.</v>
      </c>
      <c r="G101" s="21" t="n"/>
      <c r="H101" s="21" t="n"/>
      <c r="I101" s="21" t="n"/>
      <c r="J101" s="21" t="n"/>
      <c r="K101" s="74" t="str">
        <f>IF(Calc!C102="","",INDEX(Calc!$M:$M,Calc!C102))</f>
        <v>AT-1, AT-2, AT-3, AT-4</v>
      </c>
    </row>
    <row r="102"/>
    <row r="103" ht="22" customHeight="1">
      <c r="B103" s="47" t="inlineStr">
        <is>
          <t>8. REGULATORY &amp; STANDARDS CONSIDERATIONS</t>
        </is>
      </c>
    </row>
    <row r="104">
      <c r="B104" s="14" t="inlineStr">
        <is>
          <t>Applicability is based on the Profile answers; the readiness signal uses the most relevant question scores. Not legal advice - confirm obligations with legal counsel.</t>
        </is>
      </c>
    </row>
    <row r="105" ht="26" customHeight="1">
      <c r="B105" s="23" t="inlineStr">
        <is>
          <t>Law / regulation / standard</t>
        </is>
      </c>
      <c r="C105" s="21" t="n"/>
      <c r="D105" s="21" t="n"/>
      <c r="E105" s="23" t="inlineStr">
        <is>
          <t>Applies?</t>
        </is>
      </c>
      <c r="F105" s="23" t="inlineStr">
        <is>
          <t>Readiness signal</t>
        </is>
      </c>
      <c r="G105" s="23" t="inlineStr">
        <is>
          <t>Key considerations</t>
        </is>
      </c>
      <c r="H105" s="21" t="n"/>
      <c r="I105" s="21" t="n"/>
      <c r="J105" s="21" t="n"/>
      <c r="K105" s="21" t="n"/>
    </row>
    <row r="106" ht="48" customHeight="1">
      <c r="B106" s="73" t="inlineStr">
        <is>
          <t>Bahrain Personal Data Protection Law (Law No. 30 of 2018)</t>
        </is>
      </c>
      <c r="C106" s="21" t="n"/>
      <c r="D106" s="21" t="n"/>
      <c r="E106" s="71" t="str">
        <f>IF(OR('1. Profile'!$C$17="Yes",N(Calc!B28)&gt;=3),"Yes","Check")</f>
        <v>Yes</v>
      </c>
      <c r="F106" s="75" t="str">
        <f>IF(COUNT(Calc!E215,Calc!E207)=0,"-",IF(MIN(Calc!E215,Calc!E207)&gt;=0.75,"On track",IF(MIN(Calc!E215,Calc!E207)&gt;=0.5,"Partial gap","Significant gap")))</f>
        <v>Partial gap</v>
      </c>
      <c r="G106" s="76" t="inlineStr">
        <is>
          <t>Lawful basis and notice for AI processing; DPIAs; security; data-subject rights incl. objection to automated processing; cross-border transfer rules for AI services hosted outside Bahrain (RCM PR-1 to PR-6).</t>
        </is>
      </c>
      <c r="H106" s="21" t="n"/>
      <c r="I106" s="21" t="n"/>
      <c r="J106" s="21" t="n"/>
      <c r="K106" s="21" t="n"/>
    </row>
    <row r="107" ht="48" customHeight="1">
      <c r="B107" s="73" t="inlineStr">
        <is>
          <t>iGA General Policy for the Use of AI (2025) &amp; GCC Guiding Manual on the Ethics of AI Use</t>
        </is>
      </c>
      <c r="C107" s="21" t="n"/>
      <c r="D107" s="21" t="n"/>
      <c r="E107" s="71" t="str">
        <f>IF('1. Profile'!$C$20="Yes","Yes","Reference")</f>
        <v>Reference</v>
      </c>
      <c r="F107" s="75" t="str">
        <f>IF(COUNT(Calc!E212,Calc!E214)=0,"-",IF(MIN(Calc!E212,Calc!E214)&gt;=0.75,"On track",IF(MIN(Calc!E212,Calc!E214)&gt;=0.5,"Partial gap","Significant gap")))</f>
        <v>Partial gap</v>
      </c>
      <c r="G107" s="76" t="inlineStr">
        <is>
          <t>National AI policy pillars (compliance, adoption, awareness, cooperation) and GCC ethics principles - mandatory reference for government entities and good practice for all (RCM GL-1, GL-4, RS-series).</t>
        </is>
      </c>
      <c r="H107" s="21" t="n"/>
      <c r="I107" s="21" t="n"/>
      <c r="J107" s="21" t="n"/>
      <c r="K107" s="21" t="n"/>
    </row>
    <row r="108" ht="58.5" customHeight="1">
      <c r="B108" s="73" t="inlineStr">
        <is>
          <t>Central Bank of Bahrain Rulebook (HC, RM, OM, BC modules)</t>
        </is>
      </c>
      <c r="C108" s="21" t="n"/>
      <c r="D108" s="21" t="n"/>
      <c r="E108" s="71" t="str">
        <f>IF('1. Profile'!$C$16="Yes","Yes","No")</f>
        <v>No</v>
      </c>
      <c r="F108" s="75" t="str">
        <f>IF(COUNT(Calc!E210,Calc!E217,Calc!E218,Calc!E213)=0,"-",IF(MIN(Calc!E210,Calc!E217,Calc!E218,Calc!E213)&gt;=0.75,"On track",IF(MIN(Calc!E210,Calc!E217,Calc!E218,Calc!E213)&gt;=0.5,"Partial gap","Significant gap")))</f>
        <v>Partial gap</v>
      </c>
      <c r="G108" s="76" t="inlineStr">
        <is>
          <t>Board oversight, risk management, cyber security, outsourcing and consumer-protection requirements apply to AI; expect model validation for material models and notification of material outsourcing (RCM LC-9, TP-3, AT-3).</t>
        </is>
      </c>
      <c r="H108" s="21" t="n"/>
      <c r="I108" s="21" t="n"/>
      <c r="J108" s="21" t="n"/>
      <c r="K108" s="21" t="n"/>
    </row>
    <row r="109" ht="48" customHeight="1">
      <c r="B109" s="73" t="inlineStr">
        <is>
          <t>EU AI Act (Regulation 2024/1689) - general obligations</t>
        </is>
      </c>
      <c r="C109" s="21" t="n"/>
      <c r="D109" s="21" t="n"/>
      <c r="E109" s="71" t="str">
        <f>IF('1. Profile'!$C$18="Yes","Yes","No")</f>
        <v>Yes</v>
      </c>
      <c r="F109" s="75" t="str">
        <f>IF(COUNT(Calc!E207,Calc!E214)=0,"-",IF(MIN(Calc!E207,Calc!E214)&gt;=0.75,"On track",IF(MIN(Calc!E207,Calc!E214)&gt;=0.5,"Partial gap","Significant gap")))</f>
        <v>On track</v>
      </c>
      <c r="G109" s="76" t="inlineStr">
        <is>
          <t>Extraterritorial reach. Prohibited practices (Art. 5) and AI literacy (Art. 4) apply since Feb 2025; GPAI rules since Aug 2025; transparency (Art. 50) from Aug 2026 (RCM RM-5, GL-4, CO-1, LC-7).</t>
        </is>
      </c>
      <c r="H109" s="21" t="n"/>
      <c r="I109" s="21" t="n"/>
      <c r="J109" s="21" t="n"/>
      <c r="K109" s="21" t="n"/>
    </row>
    <row r="110" ht="58.5" customHeight="1">
      <c r="B110" s="73" t="inlineStr">
        <is>
          <t>EU AI Act - high-risk AI systems (Annex III)</t>
        </is>
      </c>
      <c r="C110" s="21" t="n"/>
      <c r="D110" s="21" t="n"/>
      <c r="E110" s="71" t="str">
        <f>IF(AND('1. Profile'!$C$18="Yes",N(Calc!B27)&gt;=3),"Likely",IF('1. Profile'!$C$18="Yes","Check","No"))</f>
        <v>Check</v>
      </c>
      <c r="F110" s="75" t="str">
        <f>IF(COUNT(Calc!E208,Calc!E210,Calc!E212,Calc!E213)=0,"-",IF(MIN(Calc!E208,Calc!E210,Calc!E212,Calc!E213)&gt;=0.75,"On track",IF(MIN(Calc!E208,Calc!E210,Calc!E212,Calc!E213)&gt;=0.5,"Partial gap","Significant gap")))</f>
        <v>Significant gap</v>
      </c>
      <c r="G110" s="76" t="inlineStr">
        <is>
          <t>Decisions on credit, employment, insurance, essential services etc. may be high-risk: risk management, data governance, logging, human oversight, FRIA and registration (timelines subject to the EU Digital Omnibus outcome) (RCM RO-6).</t>
        </is>
      </c>
      <c r="H110" s="21" t="n"/>
      <c r="I110" s="21" t="n"/>
      <c r="J110" s="21" t="n"/>
      <c r="K110" s="21" t="n"/>
    </row>
    <row r="111" ht="37.5" customHeight="1">
      <c r="B111" s="73" t="inlineStr">
        <is>
          <t>KSA / UAE / GCC regimes (SDAIA AI Ethics, KSA PDPL, UAE AI Charter, DIFC Regulation 10, QCB AI Guideline)</t>
        </is>
      </c>
      <c r="C111" s="21" t="n"/>
      <c r="D111" s="21" t="n"/>
      <c r="E111" s="71" t="str">
        <f>IF('1. Profile'!$C$19="Yes","Yes","No")</f>
        <v>Yes</v>
      </c>
      <c r="F111" s="75" t="str">
        <f>IF(COUNT(Calc!E207,Calc!E215)=0,"-",IF(MIN(Calc!E207,Calc!E215)&gt;=0.75,"On track",IF(MIN(Calc!E207,Calc!E215)&gt;=0.5,"Partial gap","Significant gap")))</f>
        <v>Partial gap</v>
      </c>
      <c r="G111" s="76" t="inlineStr">
        <is>
          <t>Include in the AI obligations register; align data-transfer, ethics and sector AI requirements across GCC operations (RCM RO-5).</t>
        </is>
      </c>
      <c r="H111" s="21" t="n"/>
      <c r="I111" s="21" t="n"/>
      <c r="J111" s="21" t="n"/>
      <c r="K111" s="21" t="n"/>
    </row>
    <row r="112" ht="48" customHeight="1">
      <c r="B112" s="73" t="inlineStr">
        <is>
          <t>ISO/IEC 42001:2023 AI management system</t>
        </is>
      </c>
      <c r="C112" s="21" t="n"/>
      <c r="D112" s="21" t="n"/>
      <c r="E112" s="71" t="str">
        <f>IF(Calc!B45="","-",IF(Calc!B45&gt;=0.7,"Ready to plan","Build first"))</f>
        <v>Build first</v>
      </c>
      <c r="F112" s="75" t="str">
        <f>IF(COUNT(Calc!E206,Calc!E208,Calc!E210,Calc!E213)=0,"-",IF(MIN(Calc!E206,Calc!E208,Calc!E210,Calc!E213)&gt;=0.75,"On track",IF(MIN(Calc!E206,Calc!E208,Calc!E210,Calc!E213)&gt;=0.5,"Partial gap","Significant gap")))</f>
        <v>Significant gap</v>
      </c>
      <c r="G112" s="76" t="inlineStr">
        <is>
          <t>International certifiable standard for AI governance; demonstrates trustworthy AI to clients and regulators. Recommended once readiness reaches 'Repeatable' (RCM AA-2).</t>
        </is>
      </c>
      <c r="H112" s="21" t="n"/>
      <c r="I112" s="21" t="n"/>
      <c r="J112" s="21" t="n"/>
      <c r="K112" s="21" t="n"/>
    </row>
    <row r="113" ht="37.5" customHeight="1">
      <c r="B113" s="73" t="inlineStr">
        <is>
          <t>Bahrain draft AI Regulation Law (Shura Council, 2024)</t>
        </is>
      </c>
      <c r="C113" s="21" t="n"/>
      <c r="D113" s="21" t="n"/>
      <c r="E113" s="71" t="str">
        <f>"Monitor"</f>
        <v>Monitor</v>
      </c>
      <c r="F113" s="75" t="str">
        <f>IF(COUNT(Calc!E207)=0,"-",IF(MIN(Calc!E207)&gt;=0.75,"On track",IF(MIN(Calc!E207)&gt;=0.5,"Partial gap","Significant gap")))</f>
        <v>On track</v>
      </c>
      <c r="G113" s="76" t="inlineStr">
        <is>
          <t>Proposed standalone AI law (38 articles) with a new regulator and penalties - not yet in force. Maintain horizon scanning (RCM RO-5).</t>
        </is>
      </c>
      <c r="H113" s="21" t="n"/>
      <c r="I113" s="21" t="n"/>
      <c r="J113" s="21" t="n"/>
      <c r="K113" s="21" t="n"/>
    </row>
    <row r="114"/>
    <row r="115" ht="22" customHeight="1">
      <c r="B115" s="47" t="inlineStr">
        <is>
          <t>9. HOW GRANT THORNTON CAN HELP</t>
        </is>
      </c>
    </row>
    <row r="116" ht="26" customHeight="1">
      <c r="B116" s="23" t="inlineStr">
        <is>
          <t>GT AI service line</t>
        </is>
      </c>
      <c r="C116" s="21" t="n"/>
      <c r="D116" s="21" t="n"/>
      <c r="E116" s="23" t="inlineStr">
        <is>
          <t>Relevance</t>
        </is>
      </c>
      <c r="F116" s="23" t="inlineStr">
        <is>
          <t>How we help</t>
        </is>
      </c>
      <c r="G116" s="21" t="n"/>
      <c r="H116" s="21" t="n"/>
      <c r="I116" s="21" t="n"/>
      <c r="J116" s="21" t="n"/>
      <c r="K116" s="21" t="n"/>
    </row>
    <row r="117" ht="32" customHeight="1">
      <c r="B117" s="64" t="inlineStr">
        <is>
          <t>AI Governance, Risk &amp; Compliance</t>
        </is>
      </c>
      <c r="C117" s="21" t="n"/>
      <c r="D117" s="21" t="n"/>
      <c r="E117" s="71" t="str">
        <f>Calc!E120</f>
        <v>Advised</v>
      </c>
      <c r="F117" s="65" t="inlineStr">
        <is>
          <t>AI governance structure, policies and acceptable use, AI register, guardrails and human-oversight standards, RCM-based compliance reviews, ISO/IEC 42001 readiness and internal audit.</t>
        </is>
      </c>
      <c r="G117" s="21" t="n"/>
      <c r="H117" s="21" t="n"/>
      <c r="I117" s="21" t="n"/>
      <c r="J117" s="21" t="n"/>
      <c r="K117" s="21" t="n"/>
    </row>
    <row r="118" ht="32" customHeight="1">
      <c r="B118" s="64" t="inlineStr">
        <is>
          <t>AI Risk &amp; Cyber Resilience</t>
        </is>
      </c>
      <c r="C118" s="21" t="n"/>
      <c r="D118" s="21" t="n"/>
      <c r="E118" s="71" t="str">
        <f>Calc!E121</f>
        <v>Advised</v>
      </c>
      <c r="F118" s="65" t="inlineStr">
        <is>
          <t>AI risk management framework and risk appetite, use-case risk &amp; impact assessments, third-party AI risk, AI security audits (GT AI Security &amp; Agent Audit Checklist), AI red teaming, deepfake-resilient processes.</t>
        </is>
      </c>
      <c r="G118" s="21" t="n"/>
      <c r="H118" s="21" t="n"/>
      <c r="I118" s="21" t="n"/>
      <c r="J118" s="21" t="n"/>
      <c r="K118" s="21" t="n"/>
    </row>
    <row r="119" ht="32" customHeight="1">
      <c r="B119" s="64" t="inlineStr">
        <is>
          <t>Training &amp; Awareness</t>
        </is>
      </c>
      <c r="C119" s="21" t="n"/>
      <c r="D119" s="21" t="n"/>
      <c r="E119" s="71" t="str">
        <f>Calc!E122</f>
        <v>Optional</v>
      </c>
      <c r="F119" s="65" t="inlineStr">
        <is>
          <t>AI literacy programmes (EU AI Act Art. 4-aligned), role-based pathways, immersive labs, deepfake &amp; AI-phishing simulations, board AI governance sessions.</t>
        </is>
      </c>
      <c r="G119" s="21" t="n"/>
      <c r="H119" s="21" t="n"/>
      <c r="I119" s="21" t="n"/>
      <c r="J119" s="21" t="n"/>
      <c r="K119" s="21" t="n"/>
    </row>
    <row r="120" ht="32" customHeight="1">
      <c r="B120" s="64" t="inlineStr">
        <is>
          <t>AI Strategy &amp; Roadmap</t>
        </is>
      </c>
      <c r="C120" s="21" t="n"/>
      <c r="D120" s="21" t="n"/>
      <c r="E120" s="71" t="str">
        <f>Calc!E123</f>
        <v>Advised</v>
      </c>
      <c r="F120" s="65" t="inlineStr">
        <is>
          <t>AI Opportunity Discovery (where AI and automation fit), AI strategy, use-case prioritisation, value-realisation KPIs and phased roadmap.</t>
        </is>
      </c>
      <c r="G120" s="21" t="n"/>
      <c r="H120" s="21" t="n"/>
      <c r="I120" s="21" t="n"/>
      <c r="J120" s="21" t="n"/>
      <c r="K120" s="21" t="n"/>
    </row>
    <row r="121" ht="32" customHeight="1">
      <c r="B121" s="64" t="inlineStr">
        <is>
          <t>AI-Driven Automation &amp; Data</t>
        </is>
      </c>
      <c r="C121" s="21" t="n"/>
      <c r="D121" s="21" t="n"/>
      <c r="E121" s="71" t="str">
        <f>Calc!E124</f>
        <v>Advised</v>
      </c>
      <c r="F121" s="65" t="inlineStr">
        <is>
          <t>Technology evaluation, data readiness, reference architecture, model validation and integration. GT AI apps in preparation: AI-powered BCP tool and AI-powered Financial Statements tool.</t>
        </is>
      </c>
      <c r="G121" s="21" t="n"/>
      <c r="H121" s="21" t="n"/>
      <c r="I121" s="21" t="n"/>
      <c r="J121" s="21" t="n"/>
      <c r="K121" s="21" t="n"/>
    </row>
    <row r="122"/>
    <row r="123" ht="22" customHeight="1">
      <c r="B123" s="47" t="inlineStr">
        <is>
          <t>10. NEXT STEPS &amp; SIGN-OFF</t>
        </is>
      </c>
    </row>
    <row r="124" ht="72" customHeight="1">
      <c r="B124" s="36" t="inlineStr">
        <is>
          <t>1. Review this report with the executive sponsor and AI / risk committee.
2. Validate responses with evidence (the level selected should be demonstrable).
3. Assign owners and dates in the '4. Action Plan' sheet for all Immediate and Short-term actions.
4. For individual AI systems rated High or Critical, perform a use-case risk assessment (GT AI Risk Assessment Toolkit).
5. Re-run this assessment in 6-12 months or after significant AI adoption or regulatory change to track progress.</t>
        </is>
      </c>
      <c r="C124" s="21" t="n"/>
      <c r="D124" s="21" t="n"/>
      <c r="E124" s="21" t="n"/>
      <c r="F124" s="21" t="n"/>
      <c r="G124" s="21" t="n"/>
      <c r="H124" s="21" t="n"/>
      <c r="I124" s="21" t="n"/>
      <c r="J124" s="21" t="n"/>
      <c r="K124" s="21" t="n"/>
    </row>
    <row r="125"/>
    <row r="126" ht="20" customHeight="1">
      <c r="B126" s="23" t="inlineStr">
        <is>
          <t>Role</t>
        </is>
      </c>
      <c r="C126" s="21" t="n"/>
      <c r="D126" s="21" t="n"/>
      <c r="E126" s="23" t="inlineStr">
        <is>
          <t>Name</t>
        </is>
      </c>
      <c r="F126" s="21" t="n"/>
      <c r="G126" s="21" t="n"/>
      <c r="H126" s="23" t="inlineStr">
        <is>
          <t>Signature</t>
        </is>
      </c>
      <c r="I126" s="21" t="n"/>
      <c r="J126" s="21" t="n"/>
      <c r="K126" s="23" t="inlineStr">
        <is>
          <t>Date</t>
        </is>
      </c>
    </row>
    <row r="127" ht="28" customHeight="1">
      <c r="B127" s="77" t="inlineStr">
        <is>
          <t>Assessment completed by</t>
        </is>
      </c>
      <c r="C127" s="21" t="n"/>
      <c r="D127" s="21" t="n"/>
      <c r="E127" s="78" t="str">
        <f>IF('1. Profile'!$C$9="","",'1. Profile'!$C$9)</f>
        <v>AI Service Line Lead</v>
      </c>
      <c r="F127" s="79" t="n"/>
      <c r="G127" s="79" t="n"/>
      <c r="H127" s="80" t="inlineStr"/>
      <c r="I127" s="79" t="n"/>
      <c r="J127" s="79" t="n"/>
      <c r="K127" s="80" t="n"/>
    </row>
    <row r="128" ht="28" customHeight="1">
      <c r="B128" s="77" t="inlineStr">
        <is>
          <t>Reviewed by (risk / compliance)</t>
        </is>
      </c>
      <c r="C128" s="21" t="n"/>
      <c r="D128" s="21" t="n"/>
      <c r="E128" s="78" t="inlineStr"/>
      <c r="F128" s="79" t="n"/>
      <c r="G128" s="79" t="n"/>
      <c r="H128" s="80" t="inlineStr"/>
      <c r="I128" s="79" t="n"/>
      <c r="J128" s="79" t="n"/>
      <c r="K128" s="80" t="n"/>
    </row>
    <row r="129" ht="28" customHeight="1">
      <c r="B129" s="77" t="inlineStr">
        <is>
          <t>Executive sponsor</t>
        </is>
      </c>
      <c r="C129" s="21" t="n"/>
      <c r="D129" s="21" t="n"/>
      <c r="E129" s="78" t="inlineStr"/>
      <c r="F129" s="79" t="n"/>
      <c r="G129" s="79" t="n"/>
      <c r="H129" s="80" t="inlineStr"/>
      <c r="I129" s="79" t="n"/>
      <c r="J129" s="79" t="n"/>
      <c r="K129" s="80" t="n"/>
    </row>
    <row r="130"/>
    <row r="131" ht="58" customHeight="1">
      <c r="B131" s="81" t="inlineStr">
        <is>
          <t>Methodology: Part A (4 questions) derives an inherent-risk tier from the NSW AI Assessment Framework risk factors (AI use, decision impact, data sensitivity, oversight &amp; reversibility). Part B (16 questions) scores readiness 0-100% across 5 domains (AI Governance; AI Risk &amp; Security; Training &amp; Awareness; Strategy &amp; Value; Data &amp; Technology); domain scores are averaged equally into the overall score and mapped to a four-band maturity scale. Exposure combines tier and maturity. Recommendations reference the GT AI RCM v2.1 controls.  Disclaimer: this is a self-assessment based on the responses provided and has not been independently verified by Grant Thornton. It is not an audit, certification or legal opinion.  (c) 2026 Grant Thornton Bahrain. All rights reserved.</t>
        </is>
      </c>
    </row>
  </sheetData>
  <sheetProtection selectLockedCells="0" selectUnlockedCells="0" sheet="1" objects="0" insertRows="1" insertHyperlinks="1" autoFilter="1" scenarios="0" formatColumns="0" deleteColumns="1" insertColumns="1" pivotTables="1" deleteRows="1" formatCells="1" formatRows="0" sort="1"/>
  <mergeCells count="302">
    <mergeCell ref="B91:C91"/>
    <mergeCell ref="J82:K82"/>
    <mergeCell ref="B100:C100"/>
    <mergeCell ref="I72:K72"/>
    <mergeCell ref="B84:K84"/>
    <mergeCell ref="D100:E100"/>
    <mergeCell ref="G71:H71"/>
    <mergeCell ref="B22:C22"/>
    <mergeCell ref="D66:F66"/>
    <mergeCell ref="B93:C93"/>
    <mergeCell ref="B6:K6"/>
    <mergeCell ref="B31:C31"/>
    <mergeCell ref="B53:D53"/>
    <mergeCell ref="F99:J99"/>
    <mergeCell ref="E8:F8"/>
    <mergeCell ref="B86:C86"/>
    <mergeCell ref="D86:E86"/>
    <mergeCell ref="B4:K4"/>
    <mergeCell ref="B108:D108"/>
    <mergeCell ref="H53:K53"/>
    <mergeCell ref="B67:C67"/>
    <mergeCell ref="C77"/>
    <mergeCell ref="I8:K8"/>
    <mergeCell ref="G57:H57"/>
    <mergeCell ref="B61:C61"/>
    <mergeCell ref="B101:C101"/>
    <mergeCell ref="G66:H66"/>
    <mergeCell ref="H38"/>
    <mergeCell ref="I73:K73"/>
    <mergeCell ref="F85:J85"/>
    <mergeCell ref="G112:K112"/>
    <mergeCell ref="M2:M4"/>
    <mergeCell ref="B69:C69"/>
    <mergeCell ref="I63:K63"/>
    <mergeCell ref="B38:C38"/>
    <mergeCell ref="F100:J100"/>
    <mergeCell ref="F117:K117"/>
    <mergeCell ref="G68:H68"/>
    <mergeCell ref="B56:K56"/>
    <mergeCell ref="I59:K59"/>
    <mergeCell ref="G58:H58"/>
    <mergeCell ref="I65:K65"/>
    <mergeCell ref="B40:C40"/>
    <mergeCell ref="F119:K119"/>
    <mergeCell ref="B54:D54"/>
    <mergeCell ref="F116:K116"/>
    <mergeCell ref="B24:C24"/>
    <mergeCell ref="F92:J92"/>
    <mergeCell ref="B64:C64"/>
    <mergeCell ref="H52:K52"/>
    <mergeCell ref="B33:C33"/>
    <mergeCell ref="E81:I81"/>
    <mergeCell ref="D98:E98"/>
    <mergeCell ref="E126:G126"/>
    <mergeCell ref="F118:K118"/>
    <mergeCell ref="B32:C32"/>
    <mergeCell ref="B105:D105"/>
    <mergeCell ref="E46"/>
    <mergeCell ref="B26:C26"/>
    <mergeCell ref="B41:C41"/>
    <mergeCell ref="B63:C63"/>
    <mergeCell ref="D88:E88"/>
    <mergeCell ref="B35:C35"/>
    <mergeCell ref="D57:F57"/>
    <mergeCell ref="B19:K19"/>
    <mergeCell ref="B111:D111"/>
    <mergeCell ref="F27"/>
    <mergeCell ref="G59:H59"/>
    <mergeCell ref="B120:D120"/>
    <mergeCell ref="B25:C25"/>
    <mergeCell ref="F54:G54"/>
    <mergeCell ref="H47:K47"/>
    <mergeCell ref="F87:J87"/>
    <mergeCell ref="B8:D8"/>
    <mergeCell ref="B90:C90"/>
    <mergeCell ref="D90:E90"/>
    <mergeCell ref="B107:D107"/>
    <mergeCell ref="D99:E99"/>
    <mergeCell ref="G67:H67"/>
    <mergeCell ref="B66:C66"/>
    <mergeCell ref="G61:H61"/>
    <mergeCell ref="B18:C18"/>
    <mergeCell ref="B27:C27"/>
    <mergeCell ref="D31:K31"/>
    <mergeCell ref="D42:G42"/>
    <mergeCell ref="G70:H70"/>
    <mergeCell ref="F89:J89"/>
    <mergeCell ref="B124:K124"/>
    <mergeCell ref="B76:K76"/>
    <mergeCell ref="B45:K45"/>
    <mergeCell ref="I62:K62"/>
    <mergeCell ref="J77:K77"/>
    <mergeCell ref="D101:E101"/>
    <mergeCell ref="G7:H7"/>
    <mergeCell ref="B11:C11"/>
    <mergeCell ref="F121:K121"/>
    <mergeCell ref="F18:G18"/>
    <mergeCell ref="B9:D9"/>
    <mergeCell ref="B75:K75"/>
    <mergeCell ref="F25"/>
    <mergeCell ref="G62:H62"/>
    <mergeCell ref="H54:K54"/>
    <mergeCell ref="I64:K64"/>
    <mergeCell ref="D68:F68"/>
    <mergeCell ref="D32:K32"/>
    <mergeCell ref="F17:G17"/>
    <mergeCell ref="D22"/>
    <mergeCell ref="E78:I78"/>
    <mergeCell ref="H17:I17"/>
    <mergeCell ref="F101:J101"/>
    <mergeCell ref="H50:K50"/>
    <mergeCell ref="F120:K120"/>
    <mergeCell ref="F47:G47"/>
    <mergeCell ref="D67:F67"/>
    <mergeCell ref="F91:J91"/>
    <mergeCell ref="B110:D110"/>
    <mergeCell ref="E77:I77"/>
    <mergeCell ref="B21:K21"/>
    <mergeCell ref="H126:J126"/>
    <mergeCell ref="E80:I80"/>
    <mergeCell ref="F46:G46"/>
    <mergeCell ref="F24"/>
    <mergeCell ref="G65:H65"/>
    <mergeCell ref="D60:F60"/>
    <mergeCell ref="B126:D126"/>
    <mergeCell ref="K85"/>
    <mergeCell ref="D69:F69"/>
    <mergeCell ref="F93:J93"/>
    <mergeCell ref="H49:K49"/>
    <mergeCell ref="B47:D47"/>
    <mergeCell ref="B109:D109"/>
    <mergeCell ref="E129:G129"/>
    <mergeCell ref="B1:K1"/>
    <mergeCell ref="F48:G48"/>
    <mergeCell ref="F26"/>
    <mergeCell ref="B46:D46"/>
    <mergeCell ref="E105"/>
    <mergeCell ref="D33:K33"/>
    <mergeCell ref="B95:C95"/>
    <mergeCell ref="B89:C89"/>
    <mergeCell ref="D89:E89"/>
    <mergeCell ref="H127:J127"/>
    <mergeCell ref="F23"/>
    <mergeCell ref="G60:H60"/>
    <mergeCell ref="G106:K106"/>
    <mergeCell ref="G9:H9"/>
    <mergeCell ref="B48:D48"/>
    <mergeCell ref="D35:K35"/>
    <mergeCell ref="B97:C97"/>
    <mergeCell ref="E116"/>
    <mergeCell ref="F105"/>
    <mergeCell ref="G105:K105"/>
    <mergeCell ref="H129:J129"/>
    <mergeCell ref="B72:C72"/>
    <mergeCell ref="I66:K66"/>
    <mergeCell ref="D39:G39"/>
    <mergeCell ref="J81:K81"/>
    <mergeCell ref="D34:K34"/>
    <mergeCell ref="H48:K48"/>
    <mergeCell ref="B96:C96"/>
    <mergeCell ref="B71:C71"/>
    <mergeCell ref="G107:K107"/>
    <mergeCell ref="E22"/>
    <mergeCell ref="D38:G38"/>
    <mergeCell ref="I68:K68"/>
    <mergeCell ref="D96:E96"/>
    <mergeCell ref="B58:C58"/>
    <mergeCell ref="E82:I82"/>
    <mergeCell ref="B123:K123"/>
    <mergeCell ref="F53:G53"/>
    <mergeCell ref="B128:D128"/>
    <mergeCell ref="I67:K67"/>
    <mergeCell ref="D71:F71"/>
    <mergeCell ref="D11:K11"/>
    <mergeCell ref="B49:D49"/>
    <mergeCell ref="F88:J88"/>
    <mergeCell ref="I39:K39"/>
    <mergeCell ref="B42:C42"/>
    <mergeCell ref="D58:F58"/>
    <mergeCell ref="F95:J95"/>
    <mergeCell ref="B60:C60"/>
    <mergeCell ref="B98:C98"/>
    <mergeCell ref="B17:C17"/>
    <mergeCell ref="H43:K43"/>
    <mergeCell ref="F50:G50"/>
    <mergeCell ref="D17:E17"/>
    <mergeCell ref="B57:C57"/>
    <mergeCell ref="G69:H69"/>
    <mergeCell ref="B51:D51"/>
    <mergeCell ref="D73:F73"/>
    <mergeCell ref="B88:C88"/>
    <mergeCell ref="I38:K38"/>
    <mergeCell ref="D91:E91"/>
    <mergeCell ref="F97:J97"/>
    <mergeCell ref="B115:K115"/>
    <mergeCell ref="G108:K108"/>
    <mergeCell ref="B34:C34"/>
    <mergeCell ref="B50:D50"/>
    <mergeCell ref="B28:C28"/>
    <mergeCell ref="B77"/>
    <mergeCell ref="D77"/>
    <mergeCell ref="B12:K12"/>
    <mergeCell ref="F90:J90"/>
    <mergeCell ref="I40:K40"/>
    <mergeCell ref="D59:F59"/>
    <mergeCell ref="D93:E93"/>
    <mergeCell ref="B99:C99"/>
    <mergeCell ref="B113:D113"/>
    <mergeCell ref="G110:K110"/>
    <mergeCell ref="G64:H64"/>
    <mergeCell ref="G73:H73"/>
    <mergeCell ref="B92:C92"/>
    <mergeCell ref="B30:C30"/>
    <mergeCell ref="D92:E92"/>
    <mergeCell ref="B14:K14"/>
    <mergeCell ref="E127:G127"/>
    <mergeCell ref="E7:F7"/>
    <mergeCell ref="G109:K109"/>
    <mergeCell ref="G63:H63"/>
    <mergeCell ref="I70:K70"/>
    <mergeCell ref="F49:G49"/>
    <mergeCell ref="B85:C85"/>
    <mergeCell ref="B43:G43"/>
    <mergeCell ref="I57:K57"/>
    <mergeCell ref="D85:E85"/>
    <mergeCell ref="B94:C94"/>
    <mergeCell ref="D94:E94"/>
    <mergeCell ref="B103:K103"/>
    <mergeCell ref="F28"/>
    <mergeCell ref="I7:K7"/>
    <mergeCell ref="G111:K111"/>
    <mergeCell ref="B117:D117"/>
    <mergeCell ref="I41:K41"/>
    <mergeCell ref="B62:C62"/>
    <mergeCell ref="E128:G128"/>
    <mergeCell ref="B59:C59"/>
    <mergeCell ref="G72:H72"/>
    <mergeCell ref="D61:F61"/>
    <mergeCell ref="I71:K71"/>
    <mergeCell ref="D70:F70"/>
    <mergeCell ref="B119:D119"/>
    <mergeCell ref="I58:K58"/>
    <mergeCell ref="B116:D116"/>
    <mergeCell ref="G8:H8"/>
    <mergeCell ref="B104:K104"/>
    <mergeCell ref="J78:K78"/>
    <mergeCell ref="B39:C39"/>
    <mergeCell ref="D72:F72"/>
    <mergeCell ref="B70:C70"/>
    <mergeCell ref="E79:I79"/>
    <mergeCell ref="D95:E95"/>
    <mergeCell ref="I42:K42"/>
    <mergeCell ref="B112:D112"/>
    <mergeCell ref="H128:J128"/>
    <mergeCell ref="B118:D118"/>
    <mergeCell ref="F51:G51"/>
    <mergeCell ref="D62:F62"/>
    <mergeCell ref="F86:J86"/>
    <mergeCell ref="B23:C23"/>
    <mergeCell ref="B127:D127"/>
    <mergeCell ref="J80:K80"/>
    <mergeCell ref="F94:J94"/>
    <mergeCell ref="B16:K16"/>
    <mergeCell ref="D97:E97"/>
    <mergeCell ref="E9:F9"/>
    <mergeCell ref="B3:K3"/>
    <mergeCell ref="B73:C73"/>
    <mergeCell ref="J79:K79"/>
    <mergeCell ref="D40:G40"/>
    <mergeCell ref="D64:F64"/>
    <mergeCell ref="B87:C87"/>
    <mergeCell ref="D87:E87"/>
    <mergeCell ref="B131:K131"/>
    <mergeCell ref="K126"/>
    <mergeCell ref="I60:K60"/>
    <mergeCell ref="I9:K9"/>
    <mergeCell ref="I69:K69"/>
    <mergeCell ref="H46:K46"/>
    <mergeCell ref="B106:D106"/>
    <mergeCell ref="B2:K2"/>
    <mergeCell ref="D18:E18"/>
    <mergeCell ref="B7:D7"/>
    <mergeCell ref="B129:D129"/>
    <mergeCell ref="H51:K51"/>
    <mergeCell ref="B65:C65"/>
    <mergeCell ref="F52:G52"/>
    <mergeCell ref="D63:F63"/>
    <mergeCell ref="F96:J96"/>
    <mergeCell ref="D41:G41"/>
    <mergeCell ref="B68:C68"/>
    <mergeCell ref="B121:D121"/>
    <mergeCell ref="D30:K30"/>
    <mergeCell ref="G113:K113"/>
    <mergeCell ref="D65:F65"/>
    <mergeCell ref="H18:I18"/>
    <mergeCell ref="J18:K18"/>
    <mergeCell ref="I61:K61"/>
    <mergeCell ref="F98:J98"/>
    <mergeCell ref="B52:D52"/>
    <mergeCell ref="F22"/>
    <mergeCell ref="J17:K17"/>
    <mergeCell ref="B37:K37"/>
  </mergeCells>
  <conditionalFormatting sqref="B4">
    <cfRule type="expression" priority="1" dxfId="7">
      <formula>Calc!$B$21=0</formula>
    </cfRule>
  </conditionalFormatting>
  <conditionalFormatting sqref="E8">
    <cfRule type="cellIs" priority="2" operator="equal" dxfId="6">
      <formula>"Partial"</formula>
    </cfRule>
    <cfRule type="cellIs" priority="3" operator="equal" dxfId="1">
      <formula>"Informed"</formula>
    </cfRule>
    <cfRule type="cellIs" priority="4" operator="equal" dxfId="0">
      <formula>"Repeatable"</formula>
    </cfRule>
    <cfRule type="cellIs" priority="5" operator="equal" dxfId="4">
      <formula>"Adaptive"</formula>
    </cfRule>
  </conditionalFormatting>
  <conditionalFormatting sqref="G8">
    <cfRule type="cellIs" priority="6" operator="equal" dxfId="0">
      <formula>"Low"</formula>
    </cfRule>
    <cfRule type="cellIs" priority="8" operator="equal" dxfId="1">
      <formula>"Moderate"</formula>
    </cfRule>
    <cfRule type="cellIs" priority="10" operator="equal" dxfId="1">
      <formula>"Medium"</formula>
    </cfRule>
    <cfRule type="cellIs" priority="12" operator="equal" dxfId="2">
      <formula>"High"</formula>
    </cfRule>
    <cfRule type="cellIs" priority="14" operator="equal" dxfId="3">
      <formula>"Critical"</formula>
    </cfRule>
    <cfRule type="cellIs" priority="16" operator="equal" dxfId="3">
      <formula>"Very high"</formula>
    </cfRule>
  </conditionalFormatting>
  <conditionalFormatting sqref="I8">
    <cfRule type="cellIs" priority="7" operator="equal" dxfId="0">
      <formula>"Low"</formula>
    </cfRule>
    <cfRule type="cellIs" priority="9" operator="equal" dxfId="1">
      <formula>"Moderate"</formula>
    </cfRule>
    <cfRule type="cellIs" priority="11" operator="equal" dxfId="1">
      <formula>"Medium"</formula>
    </cfRule>
    <cfRule type="cellIs" priority="13" operator="equal" dxfId="2">
      <formula>"High"</formula>
    </cfRule>
    <cfRule type="cellIs" priority="15" operator="equal" dxfId="3">
      <formula>"Critical"</formula>
    </cfRule>
    <cfRule type="cellIs" priority="17" operator="equal" dxfId="3">
      <formula>"Very high"</formula>
    </cfRule>
  </conditionalFormatting>
  <conditionalFormatting sqref="B8">
    <cfRule type="expression" priority="18" dxfId="6">
      <formula>AND(ISNUMBER($B$8),$B$8&lt;0.5)</formula>
    </cfRule>
    <cfRule type="expression" priority="19" dxfId="1">
      <formula>AND(ISNUMBER($B$8),$B$8&gt;=0.5,$B$8&lt;0.7)</formula>
    </cfRule>
    <cfRule type="expression" priority="20" dxfId="0">
      <formula>AND(ISNUMBER($B$8),$B$8&gt;=0.7,$B$8&lt;0.9)</formula>
    </cfRule>
    <cfRule type="expression" priority="21" dxfId="4">
      <formula>AND(ISNUMBER($B$8),$B$8&gt;=0.9)</formula>
    </cfRule>
  </conditionalFormatting>
  <conditionalFormatting sqref="D11">
    <cfRule type="expression" priority="22" dxfId="0">
      <formula>Calc!$B$57="Low"</formula>
    </cfRule>
    <cfRule type="expression" priority="23" dxfId="1">
      <formula>Calc!$B$57="Moderate"</formula>
    </cfRule>
    <cfRule type="expression" priority="24" dxfId="2">
      <formula>Calc!$B$57="High"</formula>
    </cfRule>
    <cfRule type="expression" priority="25" dxfId="3">
      <formula>Calc!$B$57="Critical"</formula>
    </cfRule>
  </conditionalFormatting>
  <conditionalFormatting sqref="B17">
    <cfRule type="expression" priority="26" dxfId="8">
      <formula>Calc!$B$172=1</formula>
    </cfRule>
  </conditionalFormatting>
  <conditionalFormatting sqref="D17">
    <cfRule type="expression" priority="27" dxfId="8">
      <formula>Calc!$B$172=2</formula>
    </cfRule>
  </conditionalFormatting>
  <conditionalFormatting sqref="F17">
    <cfRule type="expression" priority="28" dxfId="8">
      <formula>Calc!$B$172=3</formula>
    </cfRule>
  </conditionalFormatting>
  <conditionalFormatting sqref="H17">
    <cfRule type="expression" priority="29" dxfId="8">
      <formula>Calc!$B$172=4</formula>
    </cfRule>
  </conditionalFormatting>
  <conditionalFormatting sqref="J17">
    <cfRule type="expression" priority="30" dxfId="8">
      <formula>Calc!$B$172=5</formula>
    </cfRule>
  </conditionalFormatting>
  <conditionalFormatting sqref="F23">
    <cfRule type="dataBar" priority="31">
      <dataBar showValue="0">
        <cfvo type="num" val="0"/>
        <cfvo type="num" val="1"/>
        <color rgb="004F2D7F"/>
      </dataBar>
    </cfRule>
  </conditionalFormatting>
  <conditionalFormatting sqref="F24">
    <cfRule type="dataBar" priority="32">
      <dataBar showValue="0">
        <cfvo type="num" val="0"/>
        <cfvo type="num" val="1"/>
        <color rgb="004F2D7F"/>
      </dataBar>
    </cfRule>
  </conditionalFormatting>
  <conditionalFormatting sqref="F25">
    <cfRule type="dataBar" priority="33">
      <dataBar showValue="0">
        <cfvo type="num" val="0"/>
        <cfvo type="num" val="1"/>
        <color rgb="004F2D7F"/>
      </dataBar>
    </cfRule>
  </conditionalFormatting>
  <conditionalFormatting sqref="F26">
    <cfRule type="dataBar" priority="34">
      <dataBar showValue="0">
        <cfvo type="num" val="0"/>
        <cfvo type="num" val="1"/>
        <color rgb="004F2D7F"/>
      </dataBar>
    </cfRule>
  </conditionalFormatting>
  <conditionalFormatting sqref="F27">
    <cfRule type="dataBar" priority="35">
      <dataBar showValue="0">
        <cfvo type="num" val="0"/>
        <cfvo type="num" val="1"/>
        <color rgb="004F2D7F"/>
      </dataBar>
    </cfRule>
  </conditionalFormatting>
  <conditionalFormatting sqref="E23:E27">
    <cfRule type="cellIs" priority="36" operator="equal" dxfId="6">
      <formula>"Partial"</formula>
    </cfRule>
    <cfRule type="cellIs" priority="37" operator="equal" dxfId="1">
      <formula>"Informed"</formula>
    </cfRule>
    <cfRule type="cellIs" priority="38" operator="equal" dxfId="0">
      <formula>"Repeatable"</formula>
    </cfRule>
    <cfRule type="cellIs" priority="39" operator="equal" dxfId="4">
      <formula>"Adaptive"</formula>
    </cfRule>
  </conditionalFormatting>
  <conditionalFormatting sqref="H39:H42">
    <cfRule type="cellIs" priority="40" operator="equal" dxfId="0">
      <formula>"Low"</formula>
    </cfRule>
    <cfRule type="cellIs" priority="41" operator="equal" dxfId="1">
      <formula>"Medium"</formula>
    </cfRule>
    <cfRule type="cellIs" priority="42" operator="equal" dxfId="2">
      <formula>"High"</formula>
    </cfRule>
    <cfRule type="cellIs" priority="43" operator="equal" dxfId="3">
      <formula>"Very high"</formula>
    </cfRule>
  </conditionalFormatting>
  <conditionalFormatting sqref="F47:F54">
    <cfRule type="cellIs" priority="44" operator="equal" dxfId="0">
      <formula>"Well addressed"</formula>
    </cfRule>
    <cfRule type="cellIs" priority="45" operator="equal" dxfId="1">
      <formula>"Partially addressed"</formula>
    </cfRule>
    <cfRule type="cellIs" priority="46" operator="equal" dxfId="2">
      <formula>"Needs attention"</formula>
    </cfRule>
  </conditionalFormatting>
  <conditionalFormatting sqref="D58:D73">
    <cfRule type="expression" priority="47" dxfId="3">
      <formula>ISNUMBER(SEARCH("Not met",LEFT($D58,25)))</formula>
    </cfRule>
    <cfRule type="expression" priority="48" dxfId="2">
      <formula>ISNUMBER(SEARCH("Minimal",LEFT($D58,25)))</formula>
    </cfRule>
    <cfRule type="expression" priority="49" dxfId="1">
      <formula>ISNUMBER(SEARCH("Partially",LEFT($D58,25)))</formula>
    </cfRule>
    <cfRule type="expression" priority="50" dxfId="0">
      <formula>ISNUMBER(SEARCH("Largely",LEFT($D58,25)))</formula>
    </cfRule>
    <cfRule type="expression" priority="51" dxfId="4">
      <formula>ISNUMBER(SEARCH("Fully",LEFT($D58,25)))</formula>
    </cfRule>
  </conditionalFormatting>
  <conditionalFormatting sqref="B86:B101">
    <cfRule type="expression" priority="52" dxfId="2">
      <formula>LEFT($B86,9)="Immediate"</formula>
    </cfRule>
    <cfRule type="expression" priority="53" dxfId="1">
      <formula>LEFT($B86,5)="Short"</formula>
    </cfRule>
    <cfRule type="expression" priority="54" dxfId="0">
      <formula>LEFT($B86,6)="Medium"</formula>
    </cfRule>
  </conditionalFormatting>
  <conditionalFormatting sqref="F106:F113">
    <cfRule type="cellIs" priority="55" operator="equal" dxfId="0">
      <formula>"On track"</formula>
    </cfRule>
    <cfRule type="cellIs" priority="56" operator="equal" dxfId="1">
      <formula>"Partial gap"</formula>
    </cfRule>
    <cfRule type="cellIs" priority="57" operator="equal" dxfId="2">
      <formula>"Significant gap"</formula>
    </cfRule>
  </conditionalFormatting>
  <conditionalFormatting sqref="E106:E113">
    <cfRule type="cellIs" priority="58" operator="equal" dxfId="9">
      <formula>"Yes"</formula>
    </cfRule>
  </conditionalFormatting>
  <conditionalFormatting sqref="E117:E121">
    <cfRule type="cellIs" priority="59" operator="equal" dxfId="2">
      <formula>"Priority"</formula>
    </cfRule>
    <cfRule type="cellIs" priority="60" operator="equal" dxfId="1">
      <formula>"Advised"</formula>
    </cfRule>
    <cfRule type="cellIs" priority="61" operator="equal" dxfId="0">
      <formula>"Optional"</formula>
    </cfRule>
    <cfRule type="cellIs" priority="62" operator="equal" dxfId="4">
      <formula>"Sustain"</formula>
    </cfRule>
  </conditionalFormatting>
  <printOptions horizontalCentered="0" gridLines="0"/>
  <pageMargins left="0.45" right="0.45" top="0.6" bottom="0.6" header="0.25" footer="0.25"/>
  <pageSetup orientation="portrait" paperSize="9" fitToHeight="0" fitToWidth="1" firstPageNumber="1" useFirstPageNumber="1"/>
  <headerFooter>
    <oddHeader/>
    <oddFooter>&amp;L&amp;8 GT AI Readiness &amp;&amp; Risk Assessment - Confidential&amp;R&amp;8 Page &amp;P</oddFooter>
    <evenHeader/>
    <evenFooter/>
    <firstHeader/>
    <firstFooter/>
  </headerFooter>
  <rowBreaks count="6" manualBreakCount="6">
    <brk id="20" min="0" max="16383" man="1"/>
    <brk id="44" min="0" max="16383" man="1"/>
    <brk id="63" min="0" max="16383" man="1"/>
    <brk id="72" min="0" max="16383" man="1"/>
    <brk id="94" min="0" max="16383" man="1"/>
    <brk id="114" min="0" max="16383" man="1"/>
  </rowBreaks>
  <drawing xmlns:r="http://schemas.openxmlformats.org/officeDocument/2006/relationships" r:id="rId1"/>
</worksheet>
</file>

<file path=xl/worksheets/sheet5.xml><?xml version="1.0" encoding="utf-8"?>
<worksheet xmlns="http://schemas.openxmlformats.org/spreadsheetml/2006/main">
  <sheetPr>
    <tabColor rgb="007B5BA6"/>
    <outlinePr summaryBelow="1" summaryRight="1"/>
    <pageSetUpPr fitToPage="1"/>
  </sheetPr>
  <dimension ref="B1:L2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 customWidth="1" min="1" max="1"/>
    <col width="6" customWidth="1" min="2" max="2"/>
    <col width="26" customWidth="1" min="3" max="3"/>
    <col width="9" customWidth="1" min="4" max="4"/>
    <col width="10" customWidth="1" min="5" max="5"/>
    <col width="22" customWidth="1" min="6" max="6"/>
    <col width="58" customWidth="1" min="7" max="7"/>
    <col width="22" customWidth="1" min="8" max="8"/>
    <col width="18" customWidth="1" min="9" max="9"/>
    <col width="12" customWidth="1" min="10" max="10"/>
    <col width="13" customWidth="1" min="11" max="11"/>
    <col width="30" customWidth="1" min="12" max="12"/>
    <col width="2" customWidth="1" min="13" max="13"/>
  </cols>
  <sheetData>
    <row r="1" ht="34" customHeight="1">
      <c r="B1" s="15" t="inlineStr">
        <is>
          <t>4. ACTION PLAN &amp; RISK TREATMENT TRACKER</t>
        </is>
      </c>
    </row>
    <row r="2">
      <c r="B2" s="22" t="inlineStr">
        <is>
          <t>Columns B-H update automatically from the assessment. Assign an owner, target date and status (yellow cells) to track remediation. Priority rank 1 = most urgent.</t>
        </is>
      </c>
    </row>
    <row r="4" ht="30" customHeight="1">
      <c r="B4" s="28" t="inlineStr">
        <is>
          <t>#</t>
        </is>
      </c>
      <c r="C4" s="28" t="inlineStr">
        <is>
          <t>Area</t>
        </is>
      </c>
      <c r="D4" s="28" t="inlineStr">
        <is>
          <t>Current score</t>
        </is>
      </c>
      <c r="E4" s="28" t="inlineStr">
        <is>
          <t>Priority rank</t>
        </is>
      </c>
      <c r="F4" s="28" t="inlineStr">
        <is>
          <t>Timing</t>
        </is>
      </c>
      <c r="G4" s="28" t="inlineStr">
        <is>
          <t>Recommended action</t>
        </is>
      </c>
      <c r="H4" s="28" t="inlineStr">
        <is>
          <t>Linked controls (RCM v2.1)</t>
        </is>
      </c>
      <c r="I4" s="28" t="inlineStr">
        <is>
          <t>Owner</t>
        </is>
      </c>
      <c r="J4" s="28" t="inlineStr">
        <is>
          <t>Target date</t>
        </is>
      </c>
      <c r="K4" s="28" t="inlineStr">
        <is>
          <t>Status</t>
        </is>
      </c>
      <c r="L4" s="28" t="inlineStr">
        <is>
          <t>Notes / evidence</t>
        </is>
      </c>
    </row>
    <row r="5" ht="48" customHeight="1">
      <c r="B5" s="30" t="inlineStr">
        <is>
          <t>Q5</t>
        </is>
      </c>
      <c r="C5" s="64" t="inlineStr">
        <is>
          <t>AI governance structure &amp; accountability
(AI Governance)</t>
        </is>
      </c>
      <c r="D5" s="37">
        <f>IF(Calc!E204="","-",Calc!E204)</f>
        <v>0.5</v>
      </c>
      <c r="E5" s="82">
        <f>IFERROR(MATCH(204,Calc!$B$87:$B$102,0),"-")</f>
        <v>2</v>
      </c>
      <c r="F5" s="7" t="str">
        <f>Calc!I204</f>
        <v>Immediate (0-3 months)</v>
      </c>
      <c r="G5" s="7" t="str">
        <f>Calc!L204</f>
        <v>Assign named business and technical owners to every AI system and publish a RACI across the three lines of defence.</v>
      </c>
      <c r="H5" s="7" t="inlineStr">
        <is>
          <t>GL-1, GL-2, GL-7, AA-1</t>
        </is>
      </c>
      <c r="I5" s="6" t="n"/>
      <c r="J5" s="83" t="n"/>
      <c r="K5" s="6" t="n"/>
      <c r="L5" s="6" t="n"/>
    </row>
    <row r="6" ht="48" customHeight="1">
      <c r="B6" s="30" t="inlineStr">
        <is>
          <t>Q6</t>
        </is>
      </c>
      <c r="C6" s="64" t="inlineStr">
        <is>
          <t>AI policy, acceptable use &amp; regulatory compliance
(AI Governance)</t>
        </is>
      </c>
      <c r="D6" s="37">
        <f>IF(Calc!E205="","-",Calc!E205)</f>
        <v>0.75</v>
      </c>
      <c r="E6" s="82">
        <f>IFERROR(MATCH(205,Calc!$B$87:$B$102,0),"-")</f>
        <v>12</v>
      </c>
      <c r="F6" s="7" t="str">
        <f>Calc!I205</f>
        <v>Medium term (6-12 months)</v>
      </c>
      <c r="G6" s="7" t="str">
        <f>Calc!L205</f>
        <v>Establish monthly regulatory horizon scanning and periodic compliance testing with evidence retention.</v>
      </c>
      <c r="H6" s="7" t="inlineStr">
        <is>
          <t>GL-5, RO-1, RO-5</t>
        </is>
      </c>
      <c r="I6" s="6" t="n"/>
      <c r="J6" s="83" t="n"/>
      <c r="K6" s="6" t="n"/>
      <c r="L6" s="6" t="n"/>
    </row>
    <row r="7" ht="48" customHeight="1">
      <c r="B7" s="30" t="inlineStr">
        <is>
          <t>Q7</t>
        </is>
      </c>
      <c r="C7" s="64" t="inlineStr">
        <is>
          <t>Responsible-AI guardrails &amp; human oversight
(AI Governance)</t>
        </is>
      </c>
      <c r="D7" s="37">
        <f>IF(Calc!E206="","-",Calc!E206)</f>
        <v>0.5</v>
      </c>
      <c r="E7" s="82">
        <f>IFERROR(MATCH(206,Calc!$B$87:$B$102,0),"-")</f>
        <v>7</v>
      </c>
      <c r="F7" s="7" t="str">
        <f>Calc!I206</f>
        <v>Short term (3-6 months)</v>
      </c>
      <c r="G7" s="7" t="str">
        <f>Calc!L206</f>
        <v>Apply mandatory human-in-charge controls and AI disclosure to all relevant AI; require committee approval for High / Critical uses.</v>
      </c>
      <c r="H7" s="7" t="inlineStr">
        <is>
          <t>GL-7, RS-1, RS-4, RS-5, CO-1, CO-3</t>
        </is>
      </c>
      <c r="I7" s="6" t="n"/>
      <c r="J7" s="83" t="n"/>
      <c r="K7" s="6" t="n"/>
      <c r="L7" s="6" t="n"/>
    </row>
    <row r="8" ht="48" customHeight="1">
      <c r="B8" s="30" t="inlineStr">
        <is>
          <t>Q8</t>
        </is>
      </c>
      <c r="C8" s="64" t="inlineStr">
        <is>
          <t>AI incidents, monitoring &amp; assurance
(AI Governance)</t>
        </is>
      </c>
      <c r="D8" s="37">
        <f>IF(Calc!E207="","-",Calc!E207)</f>
        <v>0.75</v>
      </c>
      <c r="E8" s="82">
        <f>IFERROR(MATCH(207,Calc!$B$87:$B$102,0),"-")</f>
        <v>13</v>
      </c>
      <c r="F8" s="7" t="str">
        <f>Calc!I207</f>
        <v>Medium term (6-12 months)</v>
      </c>
      <c r="G8" s="7" t="str">
        <f>Calc!L207</f>
        <v>Implement post-incident learning and an ISO/IEC 42001 certification-readiness review.</v>
      </c>
      <c r="H8" s="7" t="inlineStr">
        <is>
          <t>IM-1, IM-2, IM-3, AA-1, AA-2, RO-4</t>
        </is>
      </c>
      <c r="I8" s="6" t="n"/>
      <c r="J8" s="83" t="n"/>
      <c r="K8" s="6" t="n"/>
      <c r="L8" s="6" t="n"/>
    </row>
    <row r="9" ht="48" customHeight="1">
      <c r="B9" s="30" t="inlineStr">
        <is>
          <t>Q9</t>
        </is>
      </c>
      <c r="C9" s="64" t="inlineStr">
        <is>
          <t>AI risk management framework
(AI Risk &amp; Security)</t>
        </is>
      </c>
      <c r="D9" s="37">
        <f>IF(Calc!E208="","-",Calc!E208)</f>
        <v>0.25</v>
      </c>
      <c r="E9" s="82">
        <f>IFERROR(MATCH(208,Calc!$B$87:$B$102,0),"-")</f>
        <v>1</v>
      </c>
      <c r="F9" s="7" t="str">
        <f>Calc!I208</f>
        <v>Immediate (0-3 months)</v>
      </c>
      <c r="G9" s="7" t="str">
        <f>Calc!L208</f>
        <v>Formalise the methodology, approve it at executive level and pilot it on current AI initiatives.</v>
      </c>
      <c r="H9" s="7" t="inlineStr">
        <is>
          <t>RM-1, RM-2, RM-3, RM-5</t>
        </is>
      </c>
      <c r="I9" s="6" t="n"/>
      <c r="J9" s="83" t="n"/>
      <c r="K9" s="6" t="n"/>
      <c r="L9" s="6" t="n"/>
    </row>
    <row r="10" ht="48" customHeight="1">
      <c r="B10" s="30" t="inlineStr">
        <is>
          <t>Q10</t>
        </is>
      </c>
      <c r="C10" s="64" t="inlineStr">
        <is>
          <t>AI risk appetite, KRIs &amp; reporting
(AI Risk &amp; Security)</t>
        </is>
      </c>
      <c r="D10" s="37">
        <f>IF(Calc!E209="","-",Calc!E209)</f>
        <v>0.5</v>
      </c>
      <c r="E10" s="82">
        <f>IFERROR(MATCH(209,Calc!$B$87:$B$102,0),"-")</f>
        <v>3</v>
      </c>
      <c r="F10" s="7" t="str">
        <f>Calc!I209</f>
        <v>Immediate (0-3 months)</v>
      </c>
      <c r="G10" s="7" t="str">
        <f>Calc!L209</f>
        <v>Define KRIs with thresholds and escalation for each risk category and report them to the AI committee quarterly.</v>
      </c>
      <c r="H10" s="7" t="inlineStr">
        <is>
          <t>RM-6, RM-4, GL-1</t>
        </is>
      </c>
      <c r="I10" s="6" t="n"/>
      <c r="J10" s="83" t="n"/>
      <c r="K10" s="6" t="n"/>
      <c r="L10" s="6" t="n"/>
    </row>
    <row r="11" ht="48" customHeight="1">
      <c r="B11" s="30" t="inlineStr">
        <is>
          <t>Q11</t>
        </is>
      </c>
      <c r="C11" s="64" t="inlineStr">
        <is>
          <t>AI inventory &amp; risk / impact assessment
(AI Risk &amp; Security)</t>
        </is>
      </c>
      <c r="D11" s="37">
        <f>IF(Calc!E210="","-",Calc!E210)</f>
        <v>0.5</v>
      </c>
      <c r="E11" s="82">
        <f>IFERROR(MATCH(210,Calc!$B$87:$B$102,0),"-")</f>
        <v>4</v>
      </c>
      <c r="F11" s="7" t="str">
        <f>Calc!I210</f>
        <v>Immediate (0-3 months)</v>
      </c>
      <c r="G11" s="7" t="str">
        <f>Calc!L210</f>
        <v>Extend assessments to all AI systems and third-party AI; set approval authority by risk tier.</v>
      </c>
      <c r="H11" s="7" t="inlineStr">
        <is>
          <t>GL-8, RM-2, RM-5, TP-2</t>
        </is>
      </c>
      <c r="I11" s="6" t="n"/>
      <c r="J11" s="83" t="n"/>
      <c r="K11" s="6" t="n"/>
      <c r="L11" s="6" t="n"/>
    </row>
    <row r="12" ht="48" customHeight="1">
      <c r="B12" s="30" t="inlineStr">
        <is>
          <t>Q12</t>
        </is>
      </c>
      <c r="C12" s="64" t="inlineStr">
        <is>
          <t>Third-party &amp; AI supply-chain risk
(AI Risk &amp; Security)</t>
        </is>
      </c>
      <c r="D12" s="37">
        <f>IF(Calc!E211="","-",Calc!E211)</f>
        <v>0.5</v>
      </c>
      <c r="E12" s="82">
        <f>IFERROR(MATCH(211,Calc!$B$87:$B$102,0),"-")</f>
        <v>5</v>
      </c>
      <c r="F12" s="7" t="str">
        <f>Calc!I211</f>
        <v>Immediate (0-3 months)</v>
      </c>
      <c r="G12" s="7" t="str">
        <f>Calc!L211</f>
        <v>Make AI due diligence mandatory and adopt standard AI contract clauses (no training on client data, residency, audit, incident notice).</v>
      </c>
      <c r="H12" s="7" t="inlineStr">
        <is>
          <t>TP-1, TP-2, TP-3, SE-7, LC-6</t>
        </is>
      </c>
      <c r="I12" s="6" t="n"/>
      <c r="J12" s="83" t="n"/>
      <c r="K12" s="6" t="n"/>
      <c r="L12" s="6" t="n"/>
    </row>
    <row r="13" ht="48" customHeight="1">
      <c r="B13" s="30" t="inlineStr">
        <is>
          <t>Q13</t>
        </is>
      </c>
      <c r="C13" s="64" t="inlineStr">
        <is>
          <t>Securing AI systems
(AI Risk &amp; Security)</t>
        </is>
      </c>
      <c r="D13" s="37">
        <f>IF(Calc!E212="","-",Calc!E212)</f>
        <v>0.5</v>
      </c>
      <c r="E13" s="82">
        <f>IFERROR(MATCH(212,Calc!$B$87:$B$102,0),"-")</f>
        <v>6</v>
      </c>
      <c r="F13" s="7" t="str">
        <f>Calc!I212</f>
        <v>Immediate (0-3 months)</v>
      </c>
      <c r="G13" s="7" t="str">
        <f>Calc!L212</f>
        <v>Introduce AI red teaming before release, runtime guardrails (input / output filtering) and audit logging.</v>
      </c>
      <c r="H13" s="7" t="inlineStr">
        <is>
          <t>SE-2, SE-3, SE-6 to SE-10, OM-2, AA-3</t>
        </is>
      </c>
      <c r="I13" s="6" t="n"/>
      <c r="J13" s="83" t="n"/>
      <c r="K13" s="6" t="n"/>
      <c r="L13" s="6" t="n"/>
    </row>
    <row r="14" ht="48" customHeight="1">
      <c r="B14" s="30" t="inlineStr">
        <is>
          <t>Q14</t>
        </is>
      </c>
      <c r="C14" s="64" t="inlineStr">
        <is>
          <t>Defending against AI-enabled threats
(AI Risk &amp; Security)</t>
        </is>
      </c>
      <c r="D14" s="37">
        <f>IF(Calc!E213="","-",Calc!E213)</f>
        <v>0.75</v>
      </c>
      <c r="E14" s="82">
        <f>IFERROR(MATCH(213,Calc!$B$87:$B$102,0),"-")</f>
        <v>16</v>
      </c>
      <c r="F14" s="7" t="str">
        <f>Calc!I213</f>
        <v>Medium term (6-12 months)</v>
      </c>
      <c r="G14" s="7" t="str">
        <f>Calc!L213</f>
        <v>Adopt continuous exposure management and AI-specific red teaming; reduce patch cycles to days.</v>
      </c>
      <c r="H14" s="7" t="inlineStr">
        <is>
          <t>AT-1, AT-2, AT-3, AT-4</t>
        </is>
      </c>
      <c r="I14" s="6" t="n"/>
      <c r="J14" s="83" t="n"/>
      <c r="K14" s="6" t="n"/>
      <c r="L14" s="6" t="n"/>
    </row>
    <row r="15" ht="48" customHeight="1">
      <c r="B15" s="30" t="inlineStr">
        <is>
          <t>Q15</t>
        </is>
      </c>
      <c r="C15" s="64" t="inlineStr">
        <is>
          <t>AI training, literacy &amp; awareness
(Training &amp; Awareness)</t>
        </is>
      </c>
      <c r="D15" s="37">
        <f>IF(Calc!E214="","-",Calc!E214)</f>
        <v>0.75</v>
      </c>
      <c r="E15" s="82">
        <f>IFERROR(MATCH(214,Calc!$B$87:$B$102,0),"-")</f>
        <v>14</v>
      </c>
      <c r="F15" s="7" t="str">
        <f>Calc!I214</f>
        <v>Medium term (6-12 months)</v>
      </c>
      <c r="G15" s="7" t="str">
        <f>Calc!L214</f>
        <v>Measure competence, refresh annually, and build an AI champions network and workforce plan.</v>
      </c>
      <c r="H15" s="7" t="inlineStr">
        <is>
          <t>GL-4, RS-9</t>
        </is>
      </c>
      <c r="I15" s="6" t="n"/>
      <c r="J15" s="83" t="n"/>
      <c r="K15" s="6" t="n"/>
      <c r="L15" s="6" t="n"/>
    </row>
    <row r="16" ht="48" customHeight="1">
      <c r="B16" s="30" t="inlineStr">
        <is>
          <t>Q16</t>
        </is>
      </c>
      <c r="C16" s="64" t="inlineStr">
        <is>
          <t>AI strategy &amp; executive ownership
(Strategy &amp; Value)</t>
        </is>
      </c>
      <c r="D16" s="37">
        <f>IF(Calc!E215="","-",Calc!E215)</f>
        <v>0.5</v>
      </c>
      <c r="E16" s="82">
        <f>IFERROR(MATCH(215,Calc!$B$87:$B$102,0),"-")</f>
        <v>8</v>
      </c>
      <c r="F16" s="7" t="str">
        <f>Calc!I215</f>
        <v>Short term (3-6 months)</v>
      </c>
      <c r="G16" s="7" t="str">
        <f>Calc!L215</f>
        <v>Link the strategy to business objectives and budget; define experimentation ('sandbox') boundaries and communicate them.</v>
      </c>
      <c r="H16" s="7" t="inlineStr">
        <is>
          <t>GL-1, GL-3</t>
        </is>
      </c>
      <c r="I16" s="6" t="n"/>
      <c r="J16" s="83" t="n"/>
      <c r="K16" s="6" t="n"/>
      <c r="L16" s="6" t="n"/>
    </row>
    <row r="17" ht="48" customHeight="1">
      <c r="B17" s="30" t="inlineStr">
        <is>
          <t>Q17</t>
        </is>
      </c>
      <c r="C17" s="64" t="inlineStr">
        <is>
          <t>Use-case portfolio &amp; value realisation
(Strategy &amp; Value)</t>
        </is>
      </c>
      <c r="D17" s="37">
        <f>IF(Calc!E216="","-",Calc!E216)</f>
        <v>0.5</v>
      </c>
      <c r="E17" s="82">
        <f>IFERROR(MATCH(216,Calc!$B$87:$B$102,0),"-")</f>
        <v>9</v>
      </c>
      <c r="F17" s="7" t="str">
        <f>Calc!I216</f>
        <v>Short term (3-6 months)</v>
      </c>
      <c r="G17" s="7" t="str">
        <f>Calc!L216</f>
        <v>Define benefit KPIs (financial and non-financial) at approval and assign benefit owners.</v>
      </c>
      <c r="H17" s="7" t="inlineStr">
        <is>
          <t>GL-6, GL-5</t>
        </is>
      </c>
      <c r="I17" s="6" t="n"/>
      <c r="J17" s="83" t="n"/>
      <c r="K17" s="6" t="n"/>
      <c r="L17" s="6" t="n"/>
    </row>
    <row r="18" ht="48" customHeight="1">
      <c r="B18" s="30" t="inlineStr">
        <is>
          <t>Q18</t>
        </is>
      </c>
      <c r="C18" s="64" t="inlineStr">
        <is>
          <t>Data governance, quality &amp; privacy for AI
(Data &amp; Technology)</t>
        </is>
      </c>
      <c r="D18" s="37">
        <f>IF(Calc!E217="","-",Calc!E217)</f>
        <v>0.75</v>
      </c>
      <c r="E18" s="82">
        <f>IFERROR(MATCH(217,Calc!$B$87:$B$102,0),"-")</f>
        <v>15</v>
      </c>
      <c r="F18" s="7" t="str">
        <f>Calc!I217</f>
        <v>Medium term (6-12 months)</v>
      </c>
      <c r="G18" s="7" t="str">
        <f>Calc!L217</f>
        <v>Automate data-quality and lineage monitoring; operationalise data-subject rights and transfer assessments for AI.</v>
      </c>
      <c r="H18" s="7" t="inlineStr">
        <is>
          <t>LC-1, SE-4, PR-1, PR-4, PR-5, PR-6</t>
        </is>
      </c>
      <c r="I18" s="6" t="n"/>
      <c r="J18" s="83" t="n"/>
      <c r="K18" s="6" t="n"/>
      <c r="L18" s="6" t="n"/>
    </row>
    <row r="19" ht="48" customHeight="1">
      <c r="B19" s="30" t="inlineStr">
        <is>
          <t>Q19</t>
        </is>
      </c>
      <c r="C19" s="64" t="inlineStr">
        <is>
          <t>AI architecture, integration &amp; monitoring
(Data &amp; Technology)</t>
        </is>
      </c>
      <c r="D19" s="37">
        <f>IF(Calc!E218="","-",Calc!E218)</f>
        <v>0.5</v>
      </c>
      <c r="E19" s="82">
        <f>IFERROR(MATCH(218,Calc!$B$87:$B$102,0),"-")</f>
        <v>10</v>
      </c>
      <c r="F19" s="7" t="str">
        <f>Calc!I218</f>
        <v>Short term (3-6 months)</v>
      </c>
      <c r="G19" s="7" t="str">
        <f>Calc!L218</f>
        <v>Centralise API / access control for AI, define agent execution authority and implement drift / performance monitoring with thresholds.</v>
      </c>
      <c r="H19" s="7" t="inlineStr">
        <is>
          <t>LC-2, LC-3, LC-8, LC-12, OM-1, OM-4, RM-6</t>
        </is>
      </c>
      <c r="I19" s="6" t="n"/>
      <c r="J19" s="83" t="n"/>
      <c r="K19" s="6" t="n"/>
      <c r="L19" s="6" t="n"/>
    </row>
    <row r="20" ht="48" customHeight="1">
      <c r="B20" s="30" t="inlineStr">
        <is>
          <t>Q20</t>
        </is>
      </c>
      <c r="C20" s="64" t="inlineStr">
        <is>
          <t>Model risk management &amp; validation
(Data &amp; Technology)</t>
        </is>
      </c>
      <c r="D20" s="37">
        <f>IF(Calc!E219="","-",Calc!E219)</f>
        <v>0.5</v>
      </c>
      <c r="E20" s="82">
        <f>IFERROR(MATCH(219,Calc!$B$87:$B$102,0),"-")</f>
        <v>11</v>
      </c>
      <c r="F20" s="7" t="str">
        <f>Calc!I219</f>
        <v>Short term (3-6 months)</v>
      </c>
      <c r="G20" s="7" t="str">
        <f>Calc!L219</f>
        <v>Validate all material models before use and on a risk-based cycle; document thresholds, limitations and conditions of use.</v>
      </c>
      <c r="H20" s="7" t="inlineStr">
        <is>
          <t>LC-9, RS-6, LC-13, OM-1</t>
        </is>
      </c>
      <c r="I20" s="6" t="n"/>
      <c r="J20" s="83" t="n"/>
      <c r="K20" s="6" t="n"/>
      <c r="L20" s="6" t="n"/>
    </row>
  </sheetData>
  <mergeCells count="2">
    <mergeCell ref="B2:L2"/>
    <mergeCell ref="B1:L1"/>
  </mergeCells>
  <dataValidations count="1">
    <dataValidation sqref="K5:K20" showDropDown="0" showInputMessage="0" showErrorMessage="1" allowBlank="1" errorTitle="Invalid entry" error="Please choose a value from the list." type="list">
      <formula1>=Lists!$F$1:$F$5</formula1>
    </dataValidation>
  </dataValidations>
  <printOptions gridLines="0"/>
  <pageMargins left="0.5" right="0.5" top="0.75" bottom="0.75" header="0.25" footer="0.25"/>
  <pageSetup orientation="landscape" paperSize="9" fitToHeight="0" fitToWidth="1"/>
</worksheet>
</file>

<file path=xl/worksheets/sheet6.xml><?xml version="1.0" encoding="utf-8"?>
<worksheet xmlns="http://schemas.openxmlformats.org/spreadsheetml/2006/main">
  <sheetPr>
    <tabColor rgb="00A6A6A6"/>
    <outlinePr summaryBelow="1" summaryRight="1"/>
    <pageSetUpPr fitToPage="1"/>
  </sheetPr>
  <dimension ref="B1:H46"/>
  <sheetViews>
    <sheetView showGridLines="0" workbookViewId="0">
      <selection activeCell="A1" sqref="A1"/>
    </sheetView>
  </sheetViews>
  <sheetFormatPr baseColWidth="8" defaultRowHeight="15"/>
  <cols>
    <col width="2" customWidth="1" min="1" max="1"/>
    <col width="7" customWidth="1" min="2" max="2"/>
    <col width="30" customWidth="1" min="3" max="3"/>
    <col width="22" customWidth="1" min="4" max="4"/>
    <col width="12" customWidth="1" min="5" max="5"/>
    <col width="28" customWidth="1" min="6" max="6"/>
    <col width="30" customWidth="1" min="7" max="7"/>
    <col width="22" customWidth="1" min="8" max="8"/>
    <col width="2" customWidth="1" min="9" max="9"/>
  </cols>
  <sheetData>
    <row r="1" ht="34" customHeight="1">
      <c r="B1" s="15" t="inlineStr">
        <is>
          <t>METHODOLOGY &amp; FRAMEWORK MAPPING</t>
        </is>
      </c>
    </row>
    <row r="3">
      <c r="B3" s="3" t="inlineStr">
        <is>
          <t>How the tool combines three frameworks</t>
        </is>
      </c>
      <c r="C3" s="21" t="n"/>
      <c r="D3" s="21" t="n"/>
      <c r="E3" s="21" t="n"/>
      <c r="F3" s="21" t="n"/>
      <c r="G3" s="21" t="n"/>
      <c r="H3" s="21" t="n"/>
    </row>
    <row r="4" ht="84" customHeight="1">
      <c r="B4" s="84" t="inlineStr">
        <is>
          <t>1) NSW AI Assessment Framework (AIAF, Digital NSW): lifecycle triggers, inherent-risk questions (AI use, decision impact, data, autonomy / reversibility), Low-Critical risk bands, pattern overrides, oversight pathways and the 8 ethics principles.
2) GT AI Ready7: the 7 pillars (33 items) are consolidated into 5 domains - AI Governance; AI Risk &amp; Security (Protect AI Systems + Protection from AI Threats, plus AI risk management); Training &amp; Awareness; Strategy &amp; Value; Data &amp; Technology - using the AI Ready7 maturity scale Partial / Informed / Repeatable / Adaptive.
3) GT AI RCM v2.1: every readiness question is mapped to the controls that evidence it, so results convert directly into a control-remediation plan.</t>
        </is>
      </c>
      <c r="C4" s="21" t="n"/>
      <c r="D4" s="21" t="n"/>
      <c r="E4" s="21" t="n"/>
      <c r="F4" s="21" t="n"/>
      <c r="G4" s="21" t="n"/>
      <c r="H4" s="21" t="n"/>
    </row>
    <row r="6">
      <c r="B6" s="3" t="inlineStr">
        <is>
          <t>Scoring - Part A (inherent risk)</t>
        </is>
      </c>
      <c r="C6" s="21" t="n"/>
      <c r="D6" s="21" t="n"/>
      <c r="E6" s="21" t="n"/>
      <c r="F6" s="21" t="n"/>
      <c r="G6" s="21" t="n"/>
      <c r="H6" s="21" t="n"/>
    </row>
    <row r="7" ht="58" customHeight="1">
      <c r="B7" s="84" t="inlineStr">
        <is>
          <t>Each answer scores 0-4. Weights: A1 AI use x2, A2 decision impact x3, A3 data sensitivity x2, A4 oversight &amp; reversibility x3 (max 40). Weighted % bands: &lt;25% Low, 25-49% Medium, 50-74% High, &gt;=75% Critical.
Overrides (AIAF 'pattern risk'): significant-effect decisions (A2=4) -&gt; minimum High; A2=4 with oversight A4&gt;=3 -&gt; Critical; sensitive data (A3=4) -&gt; minimum Medium.</t>
        </is>
      </c>
      <c r="C7" s="21" t="n"/>
      <c r="D7" s="21" t="n"/>
      <c r="E7" s="21" t="n"/>
      <c r="F7" s="21" t="n"/>
      <c r="G7" s="21" t="n"/>
      <c r="H7" s="21" t="n"/>
    </row>
    <row r="9">
      <c r="B9" s="3" t="inlineStr">
        <is>
          <t>Scoring - Part B (readiness)</t>
        </is>
      </c>
      <c r="C9" s="21" t="n"/>
      <c r="D9" s="21" t="n"/>
      <c r="E9" s="21" t="n"/>
      <c r="F9" s="21" t="n"/>
      <c r="G9" s="21" t="n"/>
      <c r="H9" s="21" t="n"/>
    </row>
    <row r="10" ht="32" customHeight="1">
      <c r="B10" s="84" t="inlineStr">
        <is>
          <t>Each answer maps to a maturity level 0-4 scored 0%, 25%, 50%, 75%, 100%. Domain score = average of its questions; overall readiness = equal-weighted average of the 5 domain scores. Maturity: &lt;50% Partial, 50-69% Informed, 70-89% Repeatable, &gt;=90% Adaptive (AI Ready7 scale).</t>
        </is>
      </c>
      <c r="C10" s="21" t="n"/>
      <c r="D10" s="21" t="n"/>
      <c r="E10" s="21" t="n"/>
      <c r="F10" s="21" t="n"/>
      <c r="G10" s="21" t="n"/>
      <c r="H10" s="21" t="n"/>
    </row>
    <row r="12">
      <c r="B12" s="3" t="inlineStr">
        <is>
          <t>Exposure &amp; pathway</t>
        </is>
      </c>
      <c r="C12" s="21" t="n"/>
      <c r="D12" s="21" t="n"/>
      <c r="E12" s="21" t="n"/>
      <c r="F12" s="21" t="n"/>
      <c r="G12" s="21" t="n"/>
      <c r="H12" s="21" t="n"/>
    </row>
    <row r="13" ht="45" customHeight="1">
      <c r="B13" s="84" t="inlineStr">
        <is>
          <t>Exposure = f(inherent tier, maturity) per the matrix below. Pathways mirror the AIAF oversight model: Low -&gt; Proceed (self-managed); Moderate -&gt; Proceed with conditions (SME review, 90-day plan); High -&gt; Remediate before scaling (committee oversight); Critical -&gt; Pause high-impact AI and escalate (board / ExCo).</t>
        </is>
      </c>
      <c r="C13" s="21" t="n"/>
      <c r="D13" s="21" t="n"/>
      <c r="E13" s="21" t="n"/>
      <c r="F13" s="21" t="n"/>
      <c r="G13" s="21" t="n"/>
      <c r="H13" s="21" t="n"/>
    </row>
    <row r="15">
      <c r="B15" s="3" t="inlineStr">
        <is>
          <t>Prioritisation</t>
        </is>
      </c>
      <c r="C15" s="21" t="n"/>
      <c r="D15" s="21" t="n"/>
      <c r="E15" s="21" t="n"/>
      <c r="F15" s="21" t="n"/>
      <c r="G15" s="21" t="n"/>
      <c r="H15" s="21" t="n"/>
    </row>
    <row r="16" ht="45" customHeight="1">
      <c r="B16" s="84" t="inlineStr">
        <is>
          <t>Priority = gap (1 - score) x weight. Weight 1.5 for compliance obligations / mandatory requirements, +0.5 for inventory, guardrails and security when the inherent tier is High or Critical. Timing: score &lt;=25% Immediate; 50% on a weighted item Immediate; 50% otherwise Short term; 75% Medium term; 100% Sustain.</t>
        </is>
      </c>
      <c r="C16" s="21" t="n"/>
      <c r="D16" s="21" t="n"/>
      <c r="E16" s="21" t="n"/>
      <c r="F16" s="21" t="n"/>
      <c r="G16" s="21" t="n"/>
      <c r="H16" s="21" t="n"/>
    </row>
    <row r="18">
      <c r="B18" s="3" t="inlineStr">
        <is>
          <t>Exposure matrix</t>
        </is>
      </c>
      <c r="C18" s="21" t="n"/>
      <c r="D18" s="21" t="n"/>
      <c r="E18" s="21" t="n"/>
      <c r="F18" s="21" t="n"/>
      <c r="G18" s="21" t="n"/>
      <c r="H18" s="21" t="n"/>
    </row>
    <row r="19">
      <c r="C19" s="30" t="inlineStr">
        <is>
          <t>Inherent tier \ Maturity</t>
        </is>
      </c>
      <c r="D19" s="85" t="inlineStr">
        <is>
          <t>Adaptive</t>
        </is>
      </c>
      <c r="E19" s="86" t="inlineStr">
        <is>
          <t>Repeatable</t>
        </is>
      </c>
      <c r="F19" s="87" t="inlineStr">
        <is>
          <t>Informed</t>
        </is>
      </c>
      <c r="G19" s="88" t="inlineStr">
        <is>
          <t>Partial</t>
        </is>
      </c>
    </row>
    <row r="20">
      <c r="C20" s="86" t="inlineStr">
        <is>
          <t>Low</t>
        </is>
      </c>
      <c r="D20" s="89" t="inlineStr">
        <is>
          <t>Low</t>
        </is>
      </c>
      <c r="E20" s="89" t="inlineStr">
        <is>
          <t>Low</t>
        </is>
      </c>
      <c r="F20" s="90" t="inlineStr">
        <is>
          <t>Moderate</t>
        </is>
      </c>
      <c r="G20" s="90" t="inlineStr">
        <is>
          <t>Moderate</t>
        </is>
      </c>
    </row>
    <row r="21">
      <c r="C21" s="87" t="inlineStr">
        <is>
          <t>Medium</t>
        </is>
      </c>
      <c r="D21" s="89" t="inlineStr">
        <is>
          <t>Low</t>
        </is>
      </c>
      <c r="E21" s="90" t="inlineStr">
        <is>
          <t>Moderate</t>
        </is>
      </c>
      <c r="F21" s="90" t="inlineStr">
        <is>
          <t>Moderate</t>
        </is>
      </c>
      <c r="G21" s="91" t="inlineStr">
        <is>
          <t>High</t>
        </is>
      </c>
    </row>
    <row r="22">
      <c r="C22" s="92" t="inlineStr">
        <is>
          <t>High</t>
        </is>
      </c>
      <c r="D22" s="90" t="inlineStr">
        <is>
          <t>Moderate</t>
        </is>
      </c>
      <c r="E22" s="90" t="inlineStr">
        <is>
          <t>Moderate</t>
        </is>
      </c>
      <c r="F22" s="91" t="inlineStr">
        <is>
          <t>High</t>
        </is>
      </c>
      <c r="G22" s="93" t="inlineStr">
        <is>
          <t>Critical</t>
        </is>
      </c>
    </row>
    <row r="23">
      <c r="C23" s="94" t="inlineStr">
        <is>
          <t>Critical</t>
        </is>
      </c>
      <c r="D23" s="90" t="inlineStr">
        <is>
          <t>Moderate</t>
        </is>
      </c>
      <c r="E23" s="91" t="inlineStr">
        <is>
          <t>High</t>
        </is>
      </c>
      <c r="F23" s="93" t="inlineStr">
        <is>
          <t>Critical</t>
        </is>
      </c>
      <c r="G23" s="93" t="inlineStr">
        <is>
          <t>Critical</t>
        </is>
      </c>
    </row>
    <row r="25">
      <c r="B25" s="3" t="inlineStr">
        <is>
          <t>Question-to-framework mapping</t>
        </is>
      </c>
      <c r="C25" s="21" t="n"/>
      <c r="D25" s="21" t="n"/>
      <c r="E25" s="21" t="n"/>
      <c r="F25" s="21" t="n"/>
      <c r="G25" s="21" t="n"/>
      <c r="H25" s="21" t="n"/>
    </row>
    <row r="26">
      <c r="B26" s="28" t="inlineStr">
        <is>
          <t>#</t>
        </is>
      </c>
      <c r="C26" s="28" t="inlineStr">
        <is>
          <t>Topic</t>
        </is>
      </c>
      <c r="D26" s="28" t="inlineStr">
        <is>
          <t>Domain (AI Ready7 items)</t>
        </is>
      </c>
      <c r="E26" s="28" t="inlineStr">
        <is>
          <t>Type</t>
        </is>
      </c>
      <c r="F26" s="28" t="inlineStr">
        <is>
          <t>AIAF principles</t>
        </is>
      </c>
      <c r="G26" s="28" t="inlineStr">
        <is>
          <t>GT AI RCM v2.1 controls</t>
        </is>
      </c>
      <c r="H26" s="28" t="inlineStr">
        <is>
          <t>Key references</t>
        </is>
      </c>
    </row>
    <row r="27" ht="30" customHeight="1">
      <c r="B27" s="65" t="inlineStr">
        <is>
          <t>A1</t>
        </is>
      </c>
      <c r="C27" s="65" t="inlineStr">
        <is>
          <t>AI use profile</t>
        </is>
      </c>
      <c r="D27" s="65" t="inlineStr">
        <is>
          <t>Inherent risk (Part A)</t>
        </is>
      </c>
      <c r="E27" s="65" t="inlineStr">
        <is>
          <t>Inherent-risk driver</t>
        </is>
      </c>
      <c r="F27" s="65" t="inlineStr">
        <is>
          <t>All (risk exposure)</t>
        </is>
      </c>
      <c r="G27" s="65" t="inlineStr">
        <is>
          <t>RM-5 tiering factor</t>
        </is>
      </c>
      <c r="H27" s="65" t="inlineStr">
        <is>
          <t>AIAF Q2, Q5; EU AI Act Art. 3</t>
        </is>
      </c>
    </row>
    <row r="28" ht="30" customHeight="1">
      <c r="B28" s="65" t="inlineStr">
        <is>
          <t>A2</t>
        </is>
      </c>
      <c r="C28" s="65" t="inlineStr">
        <is>
          <t>Decision impact</t>
        </is>
      </c>
      <c r="D28" s="65" t="inlineStr">
        <is>
          <t>Inherent risk (Part A)</t>
        </is>
      </c>
      <c r="E28" s="65" t="inlineStr">
        <is>
          <t>Inherent-risk driver</t>
        </is>
      </c>
      <c r="F28" s="65" t="inlineStr">
        <is>
          <t>All (risk exposure)</t>
        </is>
      </c>
      <c r="G28" s="65" t="inlineStr">
        <is>
          <t>RM-5 tiering factor</t>
        </is>
      </c>
      <c r="H28" s="65" t="inlineStr">
        <is>
          <t>AIAF Q7, Q8; EU AI Act Annex III</t>
        </is>
      </c>
    </row>
    <row r="29" ht="30" customHeight="1">
      <c r="B29" s="65" t="inlineStr">
        <is>
          <t>A3</t>
        </is>
      </c>
      <c r="C29" s="65" t="inlineStr">
        <is>
          <t>Data sensitivity</t>
        </is>
      </c>
      <c r="D29" s="65" t="inlineStr">
        <is>
          <t>Inherent risk (Part A)</t>
        </is>
      </c>
      <c r="E29" s="65" t="inlineStr">
        <is>
          <t>Inherent-risk driver</t>
        </is>
      </c>
      <c r="F29" s="65" t="inlineStr">
        <is>
          <t>All (risk exposure)</t>
        </is>
      </c>
      <c r="G29" s="65" t="inlineStr">
        <is>
          <t>RM-5 tiering factor</t>
        </is>
      </c>
      <c r="H29" s="65" t="inlineStr">
        <is>
          <t>AIAF Q4; Bahrain PDPL</t>
        </is>
      </c>
    </row>
    <row r="30" ht="30" customHeight="1">
      <c r="B30" s="65" t="inlineStr">
        <is>
          <t>A4</t>
        </is>
      </c>
      <c r="C30" s="65" t="inlineStr">
        <is>
          <t>Oversight &amp; reversibility</t>
        </is>
      </c>
      <c r="D30" s="65" t="inlineStr">
        <is>
          <t>Inherent risk (Part A)</t>
        </is>
      </c>
      <c r="E30" s="65" t="inlineStr">
        <is>
          <t>Inherent-risk driver</t>
        </is>
      </c>
      <c r="F30" s="65" t="inlineStr">
        <is>
          <t>All (risk exposure)</t>
        </is>
      </c>
      <c r="G30" s="65" t="inlineStr">
        <is>
          <t>RM-5 tiering factor</t>
        </is>
      </c>
      <c r="H30" s="65" t="inlineStr">
        <is>
          <t>AIAF Q9, Q10, Q13; EU AI Act Art. 14</t>
        </is>
      </c>
    </row>
    <row r="31" ht="30" customHeight="1">
      <c r="B31" s="65" t="inlineStr">
        <is>
          <t>Q5</t>
        </is>
      </c>
      <c r="C31" s="65" t="inlineStr">
        <is>
          <t>AI governance structure &amp; accountability</t>
        </is>
      </c>
      <c r="D31" s="65" t="inlineStr">
        <is>
          <t>AI Governance (1.1, 2.3)</t>
        </is>
      </c>
      <c r="E31" s="65" t="inlineStr">
        <is>
          <t>⚠ Mandatory Requirement</t>
        </is>
      </c>
      <c r="F31" s="65" t="inlineStr">
        <is>
          <t>Accountability</t>
        </is>
      </c>
      <c r="G31" s="65" t="inlineStr">
        <is>
          <t>GL-1, GL-2, GL-7, AA-1</t>
        </is>
      </c>
      <c r="H31" s="65" t="inlineStr">
        <is>
          <t>ISO/IEC 42001 cl.5, 6.2; NIST AI RMF Govern 1</t>
        </is>
      </c>
    </row>
    <row r="32" ht="30" customHeight="1">
      <c r="B32" s="65" t="inlineStr">
        <is>
          <t>Q6</t>
        </is>
      </c>
      <c r="C32" s="65" t="inlineStr">
        <is>
          <t>AI policy, acceptable use &amp; regulatory compliance</t>
        </is>
      </c>
      <c r="D32" s="65" t="inlineStr">
        <is>
          <t>AI Governance (2.1, 2.2)</t>
        </is>
      </c>
      <c r="E32" s="65" t="inlineStr">
        <is>
          <t>⟳ Compliance Obligation</t>
        </is>
      </c>
      <c r="F32" s="65" t="inlineStr">
        <is>
          <t>Accountability, Privacy &amp; Security</t>
        </is>
      </c>
      <c r="G32" s="65" t="inlineStr">
        <is>
          <t>GL-5, RO-1, RO-5</t>
        </is>
      </c>
      <c r="H32" s="65" t="inlineStr">
        <is>
          <t>ISO/IEC 42001 6.2; NIST AI RMF Map 3</t>
        </is>
      </c>
    </row>
    <row r="33" ht="30" customHeight="1">
      <c r="B33" s="65" t="inlineStr">
        <is>
          <t>Q7</t>
        </is>
      </c>
      <c r="C33" s="65" t="inlineStr">
        <is>
          <t>Responsible-AI guardrails &amp; human oversight</t>
        </is>
      </c>
      <c r="D33" s="65" t="inlineStr">
        <is>
          <t>AI Governance (2.3, 5.2)</t>
        </is>
      </c>
      <c r="E33" s="65" t="inlineStr">
        <is>
          <t>⚖ Ethical Consideration</t>
        </is>
      </c>
      <c r="F33" s="65" t="inlineStr">
        <is>
          <t>Fairness, Transparency &amp; Explainability, Human-Centred Values, Contestability</t>
        </is>
      </c>
      <c r="G33" s="65" t="inlineStr">
        <is>
          <t>GL-7, RS-1, RS-4, RS-5, CO-1, CO-3</t>
        </is>
      </c>
      <c r="H33" s="65" t="inlineStr">
        <is>
          <t>ISO/IEC 42001 cl.5.1-5.3, A.3; NIST AI RMF Govern 2; IIA Three Lines Model</t>
        </is>
      </c>
    </row>
    <row r="34" ht="30" customHeight="1">
      <c r="B34" s="65" t="inlineStr">
        <is>
          <t>Q8</t>
        </is>
      </c>
      <c r="C34" s="65" t="inlineStr">
        <is>
          <t>AI incidents, monitoring &amp; assurance</t>
        </is>
      </c>
      <c r="D34" s="65" t="inlineStr">
        <is>
          <t>AI Governance (2.2, 7.4)</t>
        </is>
      </c>
      <c r="E34" s="65" t="inlineStr">
        <is>
          <t>⟳ Compliance Obligation</t>
        </is>
      </c>
      <c r="F34" s="65" t="inlineStr">
        <is>
          <t>Accountability, Reliability &amp; Safety, Contestability, Transparency &amp; Explainability</t>
        </is>
      </c>
      <c r="G34" s="65" t="inlineStr">
        <is>
          <t>IM-1, IM-2, IM-3, AA-1, AA-2, RO-4</t>
        </is>
      </c>
      <c r="H34" s="65" t="inlineStr">
        <is>
          <t>ISO/IEC 42001 A.2; EU AI Act Art. 5; Bahrain PDPL; CBB</t>
        </is>
      </c>
    </row>
    <row r="35" ht="30" customHeight="1">
      <c r="B35" s="65" t="inlineStr">
        <is>
          <t>Q9</t>
        </is>
      </c>
      <c r="C35" s="65" t="inlineStr">
        <is>
          <t>AI risk management framework</t>
        </is>
      </c>
      <c r="D35" s="65" t="inlineStr">
        <is>
          <t>AI Risk &amp; Security (2.4)</t>
        </is>
      </c>
      <c r="E35" s="65" t="inlineStr">
        <is>
          <t>⚠ Mandatory Requirement</t>
        </is>
      </c>
      <c r="F35" s="65" t="inlineStr">
        <is>
          <t>Accountability, Reliability &amp; Safety</t>
        </is>
      </c>
      <c r="G35" s="65" t="inlineStr">
        <is>
          <t>RM-1, RM-2, RM-3, RM-5</t>
        </is>
      </c>
      <c r="H35" s="65" t="inlineStr">
        <is>
          <t>ISO/IEC 23894; ISO/IEC 42001 6.1; NIST AI RMF Map/Measure/Manage</t>
        </is>
      </c>
    </row>
    <row r="36" ht="30" customHeight="1">
      <c r="B36" s="65" t="inlineStr">
        <is>
          <t>Q10</t>
        </is>
      </c>
      <c r="C36" s="65" t="inlineStr">
        <is>
          <t>AI risk appetite, KRIs &amp; reporting</t>
        </is>
      </c>
      <c r="D36" s="65" t="inlineStr">
        <is>
          <t>AI Risk &amp; Security (1.1, 4.4)</t>
        </is>
      </c>
      <c r="E36" s="65" t="inlineStr">
        <is>
          <t>⚠ Mandatory Requirement</t>
        </is>
      </c>
      <c r="F36" s="65" t="inlineStr">
        <is>
          <t>Accountability</t>
        </is>
      </c>
      <c r="G36" s="65" t="inlineStr">
        <is>
          <t>RM-6, RM-4, GL-1</t>
        </is>
      </c>
      <c r="H36" s="65" t="inlineStr">
        <is>
          <t>NIST AI RMF Govern 1.3; ISO 31000; CBB RM Module</t>
        </is>
      </c>
    </row>
    <row r="37" ht="30" customHeight="1">
      <c r="B37" s="65" t="inlineStr">
        <is>
          <t>Q11</t>
        </is>
      </c>
      <c r="C37" s="65" t="inlineStr">
        <is>
          <t>AI inventory &amp; risk / impact assessment</t>
        </is>
      </c>
      <c r="D37" s="65" t="inlineStr">
        <is>
          <t>AI Risk &amp; Security (2.4, 2.5)</t>
        </is>
      </c>
      <c r="E37" s="65" t="inlineStr">
        <is>
          <t>⚠ Mandatory Requirement</t>
        </is>
      </c>
      <c r="F37" s="65" t="inlineStr">
        <is>
          <t>Accountability, Human, Social &amp; Environmental Wellbeing</t>
        </is>
      </c>
      <c r="G37" s="65" t="inlineStr">
        <is>
          <t>GL-8, RM-2, RM-5, TP-2</t>
        </is>
      </c>
      <c r="H37" s="65" t="inlineStr">
        <is>
          <t>ISO/IEC 42001 6.1, A.4, A.5; ISO/IEC 42005; EU AI Act Art. 9, 27</t>
        </is>
      </c>
    </row>
    <row r="38" ht="30" customHeight="1">
      <c r="B38" s="65" t="inlineStr">
        <is>
          <t>Q12</t>
        </is>
      </c>
      <c r="C38" s="65" t="inlineStr">
        <is>
          <t>Third-party &amp; AI supply-chain risk</t>
        </is>
      </c>
      <c r="D38" s="65" t="inlineStr">
        <is>
          <t>AI Risk &amp; Security (2.4, 6.2)</t>
        </is>
      </c>
      <c r="E38" s="65" t="inlineStr">
        <is>
          <t>⟳ Compliance Obligation</t>
        </is>
      </c>
      <c r="F38" s="65" t="inlineStr">
        <is>
          <t>Privacy &amp; Security, Accountability</t>
        </is>
      </c>
      <c r="G38" s="65" t="inlineStr">
        <is>
          <t>TP-1, TP-2, TP-3, SE-7, LC-6</t>
        </is>
      </c>
      <c r="H38" s="65" t="inlineStr">
        <is>
          <t>ISO/IEC 42001 A.10; EU AI Act Art. 25; ISACA AI agents (supply chain); CBB outsourcing</t>
        </is>
      </c>
    </row>
    <row r="39" ht="30" customHeight="1">
      <c r="B39" s="65" t="inlineStr">
        <is>
          <t>Q13</t>
        </is>
      </c>
      <c r="C39" s="65" t="inlineStr">
        <is>
          <t>Securing AI systems</t>
        </is>
      </c>
      <c r="D39" s="65" t="inlineStr">
        <is>
          <t>AI Risk &amp; Security (6.1, 6.2, 6.3, 6.4, 6.5)</t>
        </is>
      </c>
      <c r="E39" s="65" t="inlineStr">
        <is>
          <t>⚠ Mandatory Requirement</t>
        </is>
      </c>
      <c r="F39" s="65" t="inlineStr">
        <is>
          <t>Privacy &amp; Security, Reliability &amp; Safety</t>
        </is>
      </c>
      <c r="G39" s="65" t="inlineStr">
        <is>
          <t>SE-2, SE-3, SE-6 to SE-10, OM-2, AA-3</t>
        </is>
      </c>
      <c r="H39" s="65" t="inlineStr">
        <is>
          <t>EU AI Act Art. 14, 50, 86; GCC AI Ethics Manual</t>
        </is>
      </c>
    </row>
    <row r="40" ht="30" customHeight="1">
      <c r="B40" s="65" t="inlineStr">
        <is>
          <t>Q14</t>
        </is>
      </c>
      <c r="C40" s="65" t="inlineStr">
        <is>
          <t>Defending against AI-enabled threats</t>
        </is>
      </c>
      <c r="D40" s="65" t="inlineStr">
        <is>
          <t>AI Risk &amp; Security (7.1, 7.2, 7.3, 7.4, 7.5)</t>
        </is>
      </c>
      <c r="E40" s="65" t="inlineStr">
        <is>
          <t>☆ Recommended</t>
        </is>
      </c>
      <c r="F40" s="65" t="inlineStr">
        <is>
          <t>Privacy &amp; Security</t>
        </is>
      </c>
      <c r="G40" s="65" t="inlineStr">
        <is>
          <t>AT-1, AT-2, AT-3, AT-4</t>
        </is>
      </c>
      <c r="H40" s="65" t="inlineStr">
        <is>
          <t>EU AI Act Art. 72-73; ISO/IEC 42001 9-10</t>
        </is>
      </c>
    </row>
    <row r="41" ht="30" customHeight="1">
      <c r="B41" s="65" t="inlineStr">
        <is>
          <t>Q15</t>
        </is>
      </c>
      <c r="C41" s="65" t="inlineStr">
        <is>
          <t>AI training, literacy &amp; awareness</t>
        </is>
      </c>
      <c r="D41" s="65" t="inlineStr">
        <is>
          <t>Training &amp; Awareness (3.1, 3.2, 3.3, 3.4)</t>
        </is>
      </c>
      <c r="E41" s="65" t="inlineStr">
        <is>
          <t>⟳ Compliance Obligation</t>
        </is>
      </c>
      <c r="F41" s="65" t="inlineStr">
        <is>
          <t>Human-Centred Values</t>
        </is>
      </c>
      <c r="G41" s="65" t="inlineStr">
        <is>
          <t>GL-4, RS-9</t>
        </is>
      </c>
      <c r="H41" s="65" t="inlineStr">
        <is>
          <t>EU AI Act Art. 4; ISO/IEC 42001 7.2</t>
        </is>
      </c>
    </row>
    <row r="42" ht="30" customHeight="1">
      <c r="B42" s="65" t="inlineStr">
        <is>
          <t>Q16</t>
        </is>
      </c>
      <c r="C42" s="65" t="inlineStr">
        <is>
          <t>AI strategy &amp; executive ownership</t>
        </is>
      </c>
      <c r="D42" s="65" t="inlineStr">
        <is>
          <t>Strategy &amp; Value (1.1)</t>
        </is>
      </c>
      <c r="E42" s="65" t="inlineStr">
        <is>
          <t>☆ Recommended</t>
        </is>
      </c>
      <c r="F42" s="65" t="inlineStr">
        <is>
          <t>Accountability</t>
        </is>
      </c>
      <c r="G42" s="65" t="inlineStr">
        <is>
          <t>GL-1, GL-3</t>
        </is>
      </c>
      <c r="H42" s="65" t="inlineStr">
        <is>
          <t>EU AI Act Art. 10; Bahrain PDPL; ISO/IEC 5259</t>
        </is>
      </c>
    </row>
    <row r="43" ht="30" customHeight="1">
      <c r="B43" s="65" t="inlineStr">
        <is>
          <t>Q17</t>
        </is>
      </c>
      <c r="C43" s="65" t="inlineStr">
        <is>
          <t>Use-case portfolio &amp; value realisation</t>
        </is>
      </c>
      <c r="D43" s="65" t="inlineStr">
        <is>
          <t>Strategy &amp; Value (1.2, 1.3)</t>
        </is>
      </c>
      <c r="E43" s="65" t="inlineStr">
        <is>
          <t>☆ Recommended</t>
        </is>
      </c>
      <c r="F43" s="65" t="inlineStr">
        <is>
          <t>Human, Social &amp; Environmental Wellbeing</t>
        </is>
      </c>
      <c r="G43" s="65" t="inlineStr">
        <is>
          <t>GL-6, GL-5</t>
        </is>
      </c>
      <c r="H43" s="65" t="inlineStr">
        <is>
          <t>ISO/IEC 42001 A.6; NIST AI RMF Measure 2; ISACA AI agents</t>
        </is>
      </c>
    </row>
    <row r="44" ht="30" customHeight="1">
      <c r="B44" s="65" t="inlineStr">
        <is>
          <t>Q18</t>
        </is>
      </c>
      <c r="C44" s="65" t="inlineStr">
        <is>
          <t>Data governance, quality &amp; privacy for AI</t>
        </is>
      </c>
      <c r="D44" s="65" t="inlineStr">
        <is>
          <t>Data &amp; Technology (5.1, 5.3, 5.4, 5.5)</t>
        </is>
      </c>
      <c r="E44" s="65" t="inlineStr">
        <is>
          <t>⟳ Compliance Obligation</t>
        </is>
      </c>
      <c r="F44" s="65" t="inlineStr">
        <is>
          <t>Privacy &amp; Security, Fairness</t>
        </is>
      </c>
      <c r="G44" s="65" t="inlineStr">
        <is>
          <t>LC-1, SE-4, PR-1, PR-4, PR-5, PR-6</t>
        </is>
      </c>
      <c r="H44" s="65" t="inlineStr">
        <is>
          <t>SR 11-7; PRA SS1/23; ISO/IEC 25059</t>
        </is>
      </c>
    </row>
    <row r="45" ht="30" customHeight="1">
      <c r="B45" s="65" t="inlineStr">
        <is>
          <t>Q19</t>
        </is>
      </c>
      <c r="C45" s="65" t="inlineStr">
        <is>
          <t>AI architecture, integration &amp; monitoring</t>
        </is>
      </c>
      <c r="D45" s="65" t="inlineStr">
        <is>
          <t>Data &amp; Technology (4.1, 4.2, 4.3, 4.4, 4.5)</t>
        </is>
      </c>
      <c r="E45" s="65" t="inlineStr">
        <is>
          <t>☆ Recommended</t>
        </is>
      </c>
      <c r="F45" s="65" t="inlineStr">
        <is>
          <t>Reliability &amp; Safety</t>
        </is>
      </c>
      <c r="G45" s="65" t="inlineStr">
        <is>
          <t>LC-2, LC-3, LC-8, LC-12, OM-1, OM-4, RM-6</t>
        </is>
      </c>
      <c r="H45" s="65" t="inlineStr">
        <is>
          <t>OWASP LLM Top 10; MITRE ATLAS; EU AI Act Art. 15; AI Security Audit Checklist</t>
        </is>
      </c>
    </row>
    <row r="46" ht="30" customHeight="1">
      <c r="B46" s="65" t="inlineStr">
        <is>
          <t>Q20</t>
        </is>
      </c>
      <c r="C46" s="65" t="inlineStr">
        <is>
          <t>Model risk management &amp; validation</t>
        </is>
      </c>
      <c r="D46" s="65" t="inlineStr">
        <is>
          <t>Data &amp; Technology (4.4, 6.3)</t>
        </is>
      </c>
      <c r="E46" s="65" t="inlineStr">
        <is>
          <t>☆ Recommended</t>
        </is>
      </c>
      <c r="F46" s="65" t="inlineStr">
        <is>
          <t>Reliability &amp; Safety, Fairness</t>
        </is>
      </c>
      <c r="G46" s="65" t="inlineStr">
        <is>
          <t>LC-9, RS-6, LC-13, OM-1</t>
        </is>
      </c>
      <c r="H46" s="65" t="inlineStr">
        <is>
          <t>MITRE ATLAS; FinCEN deepfake alert</t>
        </is>
      </c>
    </row>
  </sheetData>
  <mergeCells count="13">
    <mergeCell ref="B9:H9"/>
    <mergeCell ref="B1:H1"/>
    <mergeCell ref="B13:H13"/>
    <mergeCell ref="B18:H18"/>
    <mergeCell ref="B4:H4"/>
    <mergeCell ref="B12:H12"/>
    <mergeCell ref="B6:H6"/>
    <mergeCell ref="B16:H16"/>
    <mergeCell ref="B15:H15"/>
    <mergeCell ref="B7:H7"/>
    <mergeCell ref="B10:H10"/>
    <mergeCell ref="B25:H25"/>
    <mergeCell ref="B3:H3"/>
  </mergeCells>
  <printOptions gridLines="0"/>
  <pageMargins left="0.5" right="0.5" top="0.75" bottom="0.75" header="0.25" footer="0.25"/>
  <pageSetup orientation="landscape" paperSize="9" fitToHeight="0" fitToWidth="1"/>
</worksheet>
</file>

<file path=xl/worksheets/sheet7.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QID</t>
        </is>
      </c>
      <c r="B1" t="inlineStr">
        <is>
          <t>Option</t>
        </is>
      </c>
      <c r="C1" t="inlineStr">
        <is>
          <t>Value</t>
        </is>
      </c>
      <c r="D1" t="inlineStr">
        <is>
          <t>Status label</t>
        </is>
      </c>
      <c r="E1" t="inlineStr">
        <is>
          <t>Playback / next step</t>
        </is>
      </c>
      <c r="F1" t="inlineStr">
        <is>
          <t>Level</t>
        </is>
      </c>
    </row>
    <row r="2">
      <c r="A2" t="inlineStr">
        <is>
          <t>A1</t>
        </is>
      </c>
      <c r="B2" t="inlineStr">
        <is>
          <t>No AI in use and none planned within 12 months</t>
        </is>
      </c>
      <c r="C2" t="n">
        <v>0</v>
      </c>
      <c r="D2" t="inlineStr">
        <is>
          <t>Low</t>
        </is>
      </c>
      <c r="E2" t="inlineStr">
        <is>
          <t>Minimal current AI exposure. Readiness still matters: governance is easier to establish before adoption.</t>
        </is>
      </c>
      <c r="F2" t="inlineStr">
        <is>
          <t>Risk level 0 of 4</t>
        </is>
      </c>
    </row>
    <row r="3">
      <c r="A3" t="inlineStr">
        <is>
          <t>A1</t>
        </is>
      </c>
      <c r="B3" t="inlineStr">
        <is>
          <t>Exploratory use of public GenAI tools (e.g., ChatGPT, Copilot web) for internal productivity only</t>
        </is>
      </c>
      <c r="C3" t="n">
        <v>1</v>
      </c>
      <c r="D3" t="inlineStr">
        <is>
          <t>Low</t>
        </is>
      </c>
      <c r="E3" t="inlineStr">
        <is>
          <t>Main exposures are data leakage into public tools, inaccurate outputs and shadow AI. An acceptable-use policy and literacy training are the first priorities.</t>
        </is>
      </c>
      <c r="F3" t="inlineStr">
        <is>
          <t>Risk level 1 of 4</t>
        </is>
      </c>
    </row>
    <row r="4">
      <c r="A4" t="inlineStr">
        <is>
          <t>A1</t>
        </is>
      </c>
      <c r="B4" t="inlineStr">
        <is>
          <t>Approved enterprise GenAI tools and AI features embedded in business software across teams</t>
        </is>
      </c>
      <c r="C4" t="n">
        <v>2</v>
      </c>
      <c r="D4" t="inlineStr">
        <is>
          <t>Medium</t>
        </is>
      </c>
      <c r="E4" t="inlineStr">
        <is>
          <t>AI is part of day-to-day work. Exposure spans data protection, output quality, vendor dependence and consistent human review.</t>
        </is>
      </c>
      <c r="F4" t="inlineStr">
        <is>
          <t>Risk level 2 of 4</t>
        </is>
      </c>
    </row>
    <row r="5">
      <c r="A5" t="inlineStr">
        <is>
          <t>A1</t>
        </is>
      </c>
      <c r="B5" t="inlineStr">
        <is>
          <t>Custom or vendor-built AI / ML models supporting core processes or client services</t>
        </is>
      </c>
      <c r="C5" t="n">
        <v>3</v>
      </c>
      <c r="D5" t="inlineStr">
        <is>
          <t>High</t>
        </is>
      </c>
      <c r="E5" t="inlineStr">
        <is>
          <t>AI influences core outcomes. Model validation, monitoring, data governance and third-party assurance become essential.</t>
        </is>
      </c>
      <c r="F5" t="inlineStr">
        <is>
          <t>Risk level 3 of 4</t>
        </is>
      </c>
    </row>
    <row r="6">
      <c r="A6" t="inlineStr">
        <is>
          <t>A1</t>
        </is>
      </c>
      <c r="B6" t="inlineStr">
        <is>
          <t>AI agents or automated AI decisions acting directly on systems, customers or transactions</t>
        </is>
      </c>
      <c r="C6" t="n">
        <v>4</v>
      </c>
      <c r="D6" t="inlineStr">
        <is>
          <t>Very high</t>
        </is>
      </c>
      <c r="E6" t="inlineStr">
        <is>
          <t>Highest exposure profile: autonomous actions require execution limits, human approval points, kill-switches and continuous monitoring.</t>
        </is>
      </c>
      <c r="F6" t="inlineStr">
        <is>
          <t>Risk level 4 of 4</t>
        </is>
      </c>
    </row>
    <row r="7">
      <c r="A7" t="inlineStr">
        <is>
          <t>A2</t>
        </is>
      </c>
      <c r="B7" t="inlineStr">
        <is>
          <t>None - AI is used only for drafting, research or personal productivity</t>
        </is>
      </c>
      <c r="C7" t="n">
        <v>0</v>
      </c>
      <c r="D7" t="inlineStr">
        <is>
          <t>Low</t>
        </is>
      </c>
      <c r="E7" t="inlineStr">
        <is>
          <t>No direct decisions about people; impact limited to quality of internal work products.</t>
        </is>
      </c>
      <c r="F7" t="inlineStr">
        <is>
          <t>Risk level 0 of 4</t>
        </is>
      </c>
    </row>
    <row r="8">
      <c r="A8" t="inlineStr">
        <is>
          <t>A2</t>
        </is>
      </c>
      <c r="B8" t="inlineStr">
        <is>
          <t>Internal operational decisions with minor impact (e.g., scheduling, document triage)</t>
        </is>
      </c>
      <c r="C8" t="n">
        <v>1</v>
      </c>
      <c r="D8" t="inlineStr">
        <is>
          <t>Low</t>
        </is>
      </c>
      <c r="E8" t="inlineStr">
        <is>
          <t>Errors cause inconvenience but are easily corrected.</t>
        </is>
      </c>
      <c r="F8" t="inlineStr">
        <is>
          <t>Risk level 1 of 4</t>
        </is>
      </c>
    </row>
    <row r="9">
      <c r="A9" t="inlineStr">
        <is>
          <t>A2</t>
        </is>
      </c>
      <c r="B9" t="inlineStr">
        <is>
          <t>Customer- or client-facing outputs with limited individual impact (e.g., FAQ chatbots, marketing content)</t>
        </is>
      </c>
      <c r="C9" t="n">
        <v>2</v>
      </c>
      <c r="D9" t="inlineStr">
        <is>
          <t>Medium</t>
        </is>
      </c>
      <c r="E9" t="inlineStr">
        <is>
          <t>External stakeholders see AI outputs - disclosure, accuracy and reputational controls apply (e.g., EU AI Act Art. 50 where relevant).</t>
        </is>
      </c>
      <c r="F9" t="inlineStr">
        <is>
          <t>Risk level 2 of 4</t>
        </is>
      </c>
    </row>
    <row r="10">
      <c r="A10" t="inlineStr">
        <is>
          <t>A2</t>
        </is>
      </c>
      <c r="B10" t="inlineStr">
        <is>
          <t>Decisions materially affecting individuals' services, employment or finances, with human review</t>
        </is>
      </c>
      <c r="C10" t="n">
        <v>3</v>
      </c>
      <c r="D10" t="inlineStr">
        <is>
          <t>High</t>
        </is>
      </c>
      <c r="E10" t="inlineStr">
        <is>
          <t>Fairness, explainability, contestability and effective human oversight are required; impact assessments recommended.</t>
        </is>
      </c>
      <c r="F10" t="inlineStr">
        <is>
          <t>Risk level 3 of 4</t>
        </is>
      </c>
    </row>
    <row r="11">
      <c r="A11" t="inlineStr">
        <is>
          <t>A2</t>
        </is>
      </c>
      <c r="B11" t="inlineStr">
        <is>
          <t>Decisions with legal or similarly significant effects on individuals (credit, hiring, insurance, eligibility, health) made or determined by AI</t>
        </is>
      </c>
      <c r="C11" t="n">
        <v>4</v>
      </c>
      <c r="D11" t="inlineStr">
        <is>
          <t>Very high</t>
        </is>
      </c>
      <c r="E11" t="inlineStr">
        <is>
          <t>Likely 'high-risk' AI (e.g., EU AI Act Annex III). Full impact assessment, independent validation and committee approval required.</t>
        </is>
      </c>
      <c r="F11" t="inlineStr">
        <is>
          <t>Risk level 4 of 4</t>
        </is>
      </c>
    </row>
    <row r="12">
      <c r="A12" t="inlineStr">
        <is>
          <t>A3</t>
        </is>
      </c>
      <c r="B12" t="inlineStr">
        <is>
          <t>Public or synthetic data only</t>
        </is>
      </c>
      <c r="C12" t="n">
        <v>0</v>
      </c>
      <c r="D12" t="inlineStr">
        <is>
          <t>Low</t>
        </is>
      </c>
      <c r="E12" t="inlineStr">
        <is>
          <t>Low data-protection exposure.</t>
        </is>
      </c>
      <c r="F12" t="inlineStr">
        <is>
          <t>Risk level 0 of 4</t>
        </is>
      </c>
    </row>
    <row r="13">
      <c r="A13" t="inlineStr">
        <is>
          <t>A3</t>
        </is>
      </c>
      <c r="B13" t="inlineStr">
        <is>
          <t>Internal, non-confidential business information</t>
        </is>
      </c>
      <c r="C13" t="n">
        <v>1</v>
      </c>
      <c r="D13" t="inlineStr">
        <is>
          <t>Low</t>
        </is>
      </c>
      <c r="E13" t="inlineStr">
        <is>
          <t>Low-moderate exposure; basic data-handling rules apply.</t>
        </is>
      </c>
      <c r="F13" t="inlineStr">
        <is>
          <t>Risk level 1 of 4</t>
        </is>
      </c>
    </row>
    <row r="14">
      <c r="A14" t="inlineStr">
        <is>
          <t>A3</t>
        </is>
      </c>
      <c r="B14" t="inlineStr">
        <is>
          <t>Confidential business or client information</t>
        </is>
      </c>
      <c r="C14" t="n">
        <v>2</v>
      </c>
      <c r="D14" t="inlineStr">
        <is>
          <t>Medium</t>
        </is>
      </c>
      <c r="E14" t="inlineStr">
        <is>
          <t>Confidentiality and contractual obligations apply; vendor data-use terms are critical.</t>
        </is>
      </c>
      <c r="F14" t="inlineStr">
        <is>
          <t>Risk level 2 of 4</t>
        </is>
      </c>
    </row>
    <row r="15">
      <c r="A15" t="inlineStr">
        <is>
          <t>A3</t>
        </is>
      </c>
      <c r="B15" t="inlineStr">
        <is>
          <t>Personal data of customers, employees or other individuals</t>
        </is>
      </c>
      <c r="C15" t="n">
        <v>3</v>
      </c>
      <c r="D15" t="inlineStr">
        <is>
          <t>High</t>
        </is>
      </c>
      <c r="E15" t="inlineStr">
        <is>
          <t>Bahrain PDPL applies: lawful basis, notice, DPIA, security, data-subject rights and cross-border transfer rules.</t>
        </is>
      </c>
      <c r="F15" t="inlineStr">
        <is>
          <t>Risk level 3 of 4</t>
        </is>
      </c>
    </row>
    <row r="16">
      <c r="A16" t="inlineStr">
        <is>
          <t>A3</t>
        </is>
      </c>
      <c r="B16" t="inlineStr">
        <is>
          <t>Sensitive personal data (health, biometric, financial account, children) or regulated / classified information</t>
        </is>
      </c>
      <c r="C16" t="n">
        <v>4</v>
      </c>
      <c r="D16" t="inlineStr">
        <is>
          <t>Very high</t>
        </is>
      </c>
      <c r="E16" t="inlineStr">
        <is>
          <t>Highest data exposure: strict minimisation, in-region hosting, enhanced security and privacy impact assessment required.</t>
        </is>
      </c>
      <c r="F16" t="inlineStr">
        <is>
          <t>Risk level 4 of 4</t>
        </is>
      </c>
    </row>
    <row r="17">
      <c r="A17" t="inlineStr">
        <is>
          <t>A4</t>
        </is>
      </c>
      <c r="B17" t="inlineStr">
        <is>
          <t>Humans make all decisions; AI outputs are advisory drafts only</t>
        </is>
      </c>
      <c r="C17" t="n">
        <v>0</v>
      </c>
      <c r="D17" t="inlineStr">
        <is>
          <t>Low</t>
        </is>
      </c>
      <c r="E17" t="inlineStr">
        <is>
          <t>Strong human control; residual risk mainly automation bias.</t>
        </is>
      </c>
      <c r="F17" t="inlineStr">
        <is>
          <t>Risk level 0 of 4</t>
        </is>
      </c>
    </row>
    <row r="18">
      <c r="A18" t="inlineStr">
        <is>
          <t>A4</t>
        </is>
      </c>
      <c r="B18" t="inlineStr">
        <is>
          <t>A qualified human reviews and approves every AI output before it is used</t>
        </is>
      </c>
      <c r="C18" t="n">
        <v>1</v>
      </c>
      <c r="D18" t="inlineStr">
        <is>
          <t>Low</t>
        </is>
      </c>
      <c r="E18" t="inlineStr">
        <is>
          <t>Effective 'human-in-charge' control if reviewers are trained and have time and authority to challenge.</t>
        </is>
      </c>
      <c r="F18" t="inlineStr">
        <is>
          <t>Risk level 1 of 4</t>
        </is>
      </c>
    </row>
    <row r="19">
      <c r="A19" t="inlineStr">
        <is>
          <t>A4</t>
        </is>
      </c>
      <c r="B19" t="inlineStr">
        <is>
          <t>Humans review samples or exceptions; errors are easily corrected</t>
        </is>
      </c>
      <c r="C19" t="n">
        <v>2</v>
      </c>
      <c r="D19" t="inlineStr">
        <is>
          <t>Medium</t>
        </is>
      </c>
      <c r="E19" t="inlineStr">
        <is>
          <t>Partial oversight - sampling design, thresholds and monitoring determine effectiveness.</t>
        </is>
      </c>
      <c r="F19" t="inlineStr">
        <is>
          <t>Risk level 2 of 4</t>
        </is>
      </c>
    </row>
    <row r="20">
      <c r="A20" t="inlineStr">
        <is>
          <t>A4</t>
        </is>
      </c>
      <c r="B20" t="inlineStr">
        <is>
          <t>AI acts automatically; humans can intervene after the fact; errors are costly to reverse</t>
        </is>
      </c>
      <c r="C20" t="n">
        <v>3</v>
      </c>
      <c r="D20" t="inlineStr">
        <is>
          <t>High</t>
        </is>
      </c>
      <c r="E20" t="inlineStr">
        <is>
          <t>Limited oversight - requires guardrails, limits, monitoring and rapid rollback.</t>
        </is>
      </c>
      <c r="F20" t="inlineStr">
        <is>
          <t>Risk level 3 of 4</t>
        </is>
      </c>
    </row>
    <row r="21">
      <c r="A21" t="inlineStr">
        <is>
          <t>A4</t>
        </is>
      </c>
      <c r="B21" t="inlineStr">
        <is>
          <t>AI acts autonomously with no practical real-time intervention; outcomes may be irreversible</t>
        </is>
      </c>
      <c r="C21" t="n">
        <v>4</v>
      </c>
      <c r="D21" t="inlineStr">
        <is>
          <t>Very high</t>
        </is>
      </c>
      <c r="E21" t="inlineStr">
        <is>
          <t>Very high risk: strongest governance attention required before operation.</t>
        </is>
      </c>
      <c r="F21" t="inlineStr">
        <is>
          <t>Risk level 4 of 4</t>
        </is>
      </c>
    </row>
    <row r="22">
      <c r="A22" t="inlineStr">
        <is>
          <t>Q5</t>
        </is>
      </c>
      <c r="B22" t="inlineStr">
        <is>
          <t>No defined AI governance; decisions are made ad hoc by individual teams</t>
        </is>
      </c>
      <c r="C22" t="n">
        <v>0</v>
      </c>
      <c r="D22" t="inlineStr">
        <is>
          <t>Not met</t>
        </is>
      </c>
      <c r="E22" t="inlineStr">
        <is>
          <t>Appoint an executive AI owner and agree who decides on AI use cases; document interim responsibilities.</t>
        </is>
      </c>
      <c r="F22" t="inlineStr">
        <is>
          <t>Level 0 - Not in place</t>
        </is>
      </c>
    </row>
    <row r="23">
      <c r="A23" t="inlineStr">
        <is>
          <t>Q5</t>
        </is>
      </c>
      <c r="B23" t="inlineStr">
        <is>
          <t>Informal oversight by IT or a single function; roles not documented</t>
        </is>
      </c>
      <c r="C23" t="n">
        <v>0.25</v>
      </c>
      <c r="D23" t="inlineStr">
        <is>
          <t>Minimal</t>
        </is>
      </c>
      <c r="E23" t="inlineStr">
        <is>
          <t>Establish an AI committee / centre of excellence with a charter, decision rights and members from business, risk, legal, privacy and IT.</t>
        </is>
      </c>
      <c r="F23" t="inlineStr">
        <is>
          <t>Level 1 - Initial / ad hoc</t>
        </is>
      </c>
    </row>
    <row r="24">
      <c r="A24" t="inlineStr">
        <is>
          <t>Q5</t>
        </is>
      </c>
      <c r="B24" t="inlineStr">
        <is>
          <t>AI committee or sponsor defined on paper; roles and decision rights partly documented</t>
        </is>
      </c>
      <c r="C24" t="n">
        <v>0.5</v>
      </c>
      <c r="D24" t="inlineStr">
        <is>
          <t>Partially met</t>
        </is>
      </c>
      <c r="E24" t="inlineStr">
        <is>
          <t>Assign named business and technical owners to every AI system and publish a RACI across the three lines of defence.</t>
        </is>
      </c>
      <c r="F24" t="inlineStr">
        <is>
          <t>Level 2 - Defined</t>
        </is>
      </c>
    </row>
    <row r="25">
      <c r="A25" t="inlineStr">
        <is>
          <t>Q5</t>
        </is>
      </c>
      <c r="B25" t="inlineStr">
        <is>
          <t>Board / ExCo oversight, AI committee with charter and decision rights, named system owners and a documented RACI across the three lines</t>
        </is>
      </c>
      <c r="C25" t="n">
        <v>0.75</v>
      </c>
      <c r="D25" t="inlineStr">
        <is>
          <t>Largely met</t>
        </is>
      </c>
      <c r="E25" t="inlineStr">
        <is>
          <t>Introduce regular board / ExCo AI reporting and an annual governance-effectiveness review by internal audit.</t>
        </is>
      </c>
      <c r="F25" t="inlineStr">
        <is>
          <t>Level 3 - Implemented</t>
        </is>
      </c>
    </row>
    <row r="26">
      <c r="A26" t="inlineStr">
        <is>
          <t>Q5</t>
        </is>
      </c>
      <c r="B26" t="inlineStr">
        <is>
          <t>Governance operates effectively: regular board reporting, periodic effectiveness review and independent assurance by internal audit</t>
        </is>
      </c>
      <c r="C26" t="n">
        <v>1</v>
      </c>
      <c r="D26" t="inlineStr">
        <is>
          <t>Fully met</t>
        </is>
      </c>
      <c r="E26" t="inlineStr">
        <is>
          <t>Sustain: benchmark governance against ISO/IEC 42001 and refresh roles as AI use evolves.</t>
        </is>
      </c>
      <c r="F26" t="inlineStr">
        <is>
          <t>Level 4 - Optimised</t>
        </is>
      </c>
    </row>
    <row r="27">
      <c r="A27" t="inlineStr">
        <is>
          <t>Q6</t>
        </is>
      </c>
      <c r="B27" t="inlineStr">
        <is>
          <t>No AI policy; applicable AI regulations have not been identified</t>
        </is>
      </c>
      <c r="C27" t="n">
        <v>0</v>
      </c>
      <c r="D27" t="inlineStr">
        <is>
          <t>Not met</t>
        </is>
      </c>
      <c r="E27" t="inlineStr">
        <is>
          <t>Issue an interim AI acceptable-use policy immediately (approved tools, prohibited data, output verification) and identify applicable regulations.</t>
        </is>
      </c>
      <c r="F27" t="inlineStr">
        <is>
          <t>Level 0 - Not in place</t>
        </is>
      </c>
    </row>
    <row r="28">
      <c r="A28" t="inlineStr">
        <is>
          <t>Q6</t>
        </is>
      </c>
      <c r="B28" t="inlineStr">
        <is>
          <t>Informal guidance only (e.g., emails); obligations understood by a few individuals</t>
        </is>
      </c>
      <c r="C28" t="n">
        <v>0.25</v>
      </c>
      <c r="D28" t="inlineStr">
        <is>
          <t>Minimal</t>
        </is>
      </c>
      <c r="E28" t="inlineStr">
        <is>
          <t>Approve a formal AI policy; build an AI obligations register covering Bahrain PDPL, sector rules (e.g., CBB) and extraterritorial regimes (EU AI Act).</t>
        </is>
      </c>
      <c r="F28" t="inlineStr">
        <is>
          <t>Level 1 - Initial / ad hoc</t>
        </is>
      </c>
    </row>
    <row r="29">
      <c r="A29" t="inlineStr">
        <is>
          <t>Q6</t>
        </is>
      </c>
      <c r="B29" t="inlineStr">
        <is>
          <t>AI acceptable-use policy approved; regulatory obligations identified but not mapped to controls</t>
        </is>
      </c>
      <c r="C29" t="n">
        <v>0.5</v>
      </c>
      <c r="D29" t="inlineStr">
        <is>
          <t>Partially met</t>
        </is>
      </c>
      <c r="E29" t="inlineStr">
        <is>
          <t>Map each obligation to controls and owners using the GT AI RCM; require annual staff acknowledgement.</t>
        </is>
      </c>
      <c r="F29" t="inlineStr">
        <is>
          <t>Level 2 - Defined</t>
        </is>
      </c>
    </row>
    <row r="30">
      <c r="A30" t="inlineStr">
        <is>
          <t>Q6</t>
        </is>
      </c>
      <c r="B30" t="inlineStr">
        <is>
          <t>AI policy enforced with staff acknowledgement; obligations register maps regulations to controls and owners</t>
        </is>
      </c>
      <c r="C30" t="n">
        <v>0.75</v>
      </c>
      <c r="D30" t="inlineStr">
        <is>
          <t>Largely met</t>
        </is>
      </c>
      <c r="E30" t="inlineStr">
        <is>
          <t>Establish monthly regulatory horizon scanning and periodic compliance testing with evidence retention.</t>
        </is>
      </c>
      <c r="F30" t="inlineStr">
        <is>
          <t>Level 3 - Implemented</t>
        </is>
      </c>
    </row>
    <row r="31">
      <c r="A31" t="inlineStr">
        <is>
          <t>Q6</t>
        </is>
      </c>
      <c r="B31" t="inlineStr">
        <is>
          <t>Policy and obligations register reviewed regularly with horizon scanning; compliance tested and audit-ready evidence maintained</t>
        </is>
      </c>
      <c r="C31" t="n">
        <v>1</v>
      </c>
      <c r="D31" t="inlineStr">
        <is>
          <t>Fully met</t>
        </is>
      </c>
      <c r="E31" t="inlineStr">
        <is>
          <t>Sustain: keep audit-ready evidence packs and consider ISO/IEC 42001 certification.</t>
        </is>
      </c>
      <c r="F31" t="inlineStr">
        <is>
          <t>Level 4 - Optimised</t>
        </is>
      </c>
    </row>
    <row r="32">
      <c r="A32" t="inlineStr">
        <is>
          <t>Q7</t>
        </is>
      </c>
      <c r="B32" t="inlineStr">
        <is>
          <t>No responsible-AI guardrails or oversight body</t>
        </is>
      </c>
      <c r="C32" t="n">
        <v>0</v>
      </c>
      <c r="D32" t="inlineStr">
        <is>
          <t>Not met</t>
        </is>
      </c>
      <c r="E32" t="inlineStr">
        <is>
          <t>Establish an AI committee / centre of excellence with a charter and decision rights.</t>
        </is>
      </c>
      <c r="F32" t="inlineStr">
        <is>
          <t>Level 0 - Not in place</t>
        </is>
      </c>
    </row>
    <row r="33">
      <c r="A33" t="inlineStr">
        <is>
          <t>Q7</t>
        </is>
      </c>
      <c r="B33" t="inlineStr">
        <is>
          <t>High-level ethical principles published but not operationalised</t>
        </is>
      </c>
      <c r="C33" t="n">
        <v>0.25</v>
      </c>
      <c r="D33" t="inlineStr">
        <is>
          <t>Minimal</t>
        </is>
      </c>
      <c r="E33" t="inlineStr">
        <is>
          <t>Translate ethical principles (GCC AI Ethics Manual, OECD) into practical guardrails: permitted uses, disclosure, human review, bias checks.</t>
        </is>
      </c>
      <c r="F33" t="inlineStr">
        <is>
          <t>Level 1 - Initial / ad hoc</t>
        </is>
      </c>
    </row>
    <row r="34">
      <c r="A34" t="inlineStr">
        <is>
          <t>Q7</t>
        </is>
      </c>
      <c r="B34" t="inlineStr">
        <is>
          <t>AI committee / CoE established; guardrails defined for some areas (e.g., human review of outputs)</t>
        </is>
      </c>
      <c r="C34" t="n">
        <v>0.5</v>
      </c>
      <c r="D34" t="inlineStr">
        <is>
          <t>Partially met</t>
        </is>
      </c>
      <c r="E34" t="inlineStr">
        <is>
          <t>Apply mandatory human-in-charge controls and AI disclosure to all relevant AI; require committee approval for High / Critical uses.</t>
        </is>
      </c>
      <c r="F34" t="inlineStr">
        <is>
          <t>Level 2 - Defined</t>
        </is>
      </c>
    </row>
    <row r="35">
      <c r="A35" t="inlineStr">
        <is>
          <t>Q7</t>
        </is>
      </c>
      <c r="B35" t="inlineStr">
        <is>
          <t>Guardrails for fairness, transparency, disclosure and human-in-charge controls applied to all relevant AI; committee approves high-risk uses</t>
        </is>
      </c>
      <c r="C35" t="n">
        <v>0.75</v>
      </c>
      <c r="D35" t="inlineStr">
        <is>
          <t>Largely met</t>
        </is>
      </c>
      <c r="E35" t="inlineStr">
        <is>
          <t>Test guardrail effectiveness (bias testing, oversight reviews) and provide contest / appeal routes for affected persons.</t>
        </is>
      </c>
      <c r="F35" t="inlineStr">
        <is>
          <t>Level 3 - Implemented</t>
        </is>
      </c>
    </row>
    <row r="36">
      <c r="A36" t="inlineStr">
        <is>
          <t>Q7</t>
        </is>
      </c>
      <c r="B36" t="inlineStr">
        <is>
          <t>Guardrails tested (bias testing, oversight effectiveness); contestability routes for affected persons; lessons fed back into standards</t>
        </is>
      </c>
      <c r="C36" t="n">
        <v>1</v>
      </c>
      <c r="D36" t="inlineStr">
        <is>
          <t>Fully met</t>
        </is>
      </c>
      <c r="E36" t="inlineStr">
        <is>
          <t>Sustain: publish a responsible-AI statement and report guardrail performance to the board.</t>
        </is>
      </c>
      <c r="F36" t="inlineStr">
        <is>
          <t>Level 4 - Optimised</t>
        </is>
      </c>
    </row>
    <row r="37">
      <c r="A37" t="inlineStr">
        <is>
          <t>Q8</t>
        </is>
      </c>
      <c r="B37" t="inlineStr">
        <is>
          <t>No AI incident process or assurance</t>
        </is>
      </c>
      <c r="C37" t="n">
        <v>0</v>
      </c>
      <c r="D37" t="inlineStr">
        <is>
          <t>Not met</t>
        </is>
      </c>
      <c r="E37" t="inlineStr">
        <is>
          <t>Define AI incident categories, severity and escalation within the existing incident process.</t>
        </is>
      </c>
      <c r="F37" t="inlineStr">
        <is>
          <t>Level 0 - Not in place</t>
        </is>
      </c>
    </row>
    <row r="38">
      <c r="A38" t="inlineStr">
        <is>
          <t>Q8</t>
        </is>
      </c>
      <c r="B38" t="inlineStr">
        <is>
          <t>AI issues handled through general IT incident processes; no AI-specific assurance</t>
        </is>
      </c>
      <c r="C38" t="n">
        <v>0.25</v>
      </c>
      <c r="D38" t="inlineStr">
        <is>
          <t>Minimal</t>
        </is>
      </c>
      <c r="E38" t="inlineStr">
        <is>
          <t>Add regulatory notification criteria (PDPL, CBB, EU AI Act Art. 73 where applicable) and AI incident logging.</t>
        </is>
      </c>
      <c r="F38" t="inlineStr">
        <is>
          <t>Level 1 - Initial / ad hoc</t>
        </is>
      </c>
    </row>
    <row r="39">
      <c r="A39" t="inlineStr">
        <is>
          <t>Q8</t>
        </is>
      </c>
      <c r="B39" t="inlineStr">
        <is>
          <t>AI incident categories and escalation defined; ad hoc reviews of AI controls</t>
        </is>
      </c>
      <c r="C39" t="n">
        <v>0.5</v>
      </c>
      <c r="D39" t="inlineStr">
        <is>
          <t>Partially met</t>
        </is>
      </c>
      <c r="E39" t="inlineStr">
        <is>
          <t>Include AI governance in the internal-audit plan and obtain assurance evidence from AI vendors.</t>
        </is>
      </c>
      <c r="F39" t="inlineStr">
        <is>
          <t>Level 2 - Defined</t>
        </is>
      </c>
    </row>
    <row r="40">
      <c r="A40" t="inlineStr">
        <is>
          <t>Q8</t>
        </is>
      </c>
      <c r="B40" t="inlineStr">
        <is>
          <t>AI incident management with regulatory notification criteria; periodic internal audit of AI governance; assurance obtained from AI vendors</t>
        </is>
      </c>
      <c r="C40" t="n">
        <v>0.75</v>
      </c>
      <c r="D40" t="inlineStr">
        <is>
          <t>Largely met</t>
        </is>
      </c>
      <c r="E40" t="inlineStr">
        <is>
          <t>Implement post-incident learning and an ISO/IEC 42001 certification-readiness review.</t>
        </is>
      </c>
      <c r="F40" t="inlineStr">
        <is>
          <t>Level 3 - Implemented</t>
        </is>
      </c>
    </row>
    <row r="41">
      <c r="A41" t="inlineStr">
        <is>
          <t>Q8</t>
        </is>
      </c>
      <c r="B41" t="inlineStr">
        <is>
          <t>Post-incident learning drives improvement; AI management system certified or certification-ready (ISO/IEC 42001); assurance reported to the board</t>
        </is>
      </c>
      <c r="C41" t="n">
        <v>1</v>
      </c>
      <c r="D41" t="inlineStr">
        <is>
          <t>Fully met</t>
        </is>
      </c>
      <c r="E41" t="inlineStr">
        <is>
          <t>Sustain: maintain certification and report AI assurance results to the board annually.</t>
        </is>
      </c>
      <c r="F41" t="inlineStr">
        <is>
          <t>Level 4 - Optimised</t>
        </is>
      </c>
    </row>
    <row r="42">
      <c r="A42" t="inlineStr">
        <is>
          <t>Q9</t>
        </is>
      </c>
      <c r="B42" t="inlineStr">
        <is>
          <t>AI risks are not identified or managed</t>
        </is>
      </c>
      <c r="C42" t="n">
        <v>0</v>
      </c>
      <c r="D42" t="inlineStr">
        <is>
          <t>Not met</t>
        </is>
      </c>
      <c r="E42" t="inlineStr">
        <is>
          <t>Adopt an AI risk management framework (e.g., GT AI Risk Assessment Framework) with a risk taxonomy and scoring scales.</t>
        </is>
      </c>
      <c r="F42" t="inlineStr">
        <is>
          <t>Level 0 - Not in place</t>
        </is>
      </c>
    </row>
    <row r="43">
      <c r="A43" t="inlineStr">
        <is>
          <t>Q9</t>
        </is>
      </c>
      <c r="B43" t="inlineStr">
        <is>
          <t>AI risks considered informally within general IT or project risk</t>
        </is>
      </c>
      <c r="C43" t="n">
        <v>0.25</v>
      </c>
      <c r="D43" t="inlineStr">
        <is>
          <t>Minimal</t>
        </is>
      </c>
      <c r="E43" t="inlineStr">
        <is>
          <t>Formalise the methodology, approve it at executive level and pilot it on current AI initiatives.</t>
        </is>
      </c>
      <c r="F43" t="inlineStr">
        <is>
          <t>Level 1 - Initial / ad hoc</t>
        </is>
      </c>
    </row>
    <row r="44">
      <c r="A44" t="inlineStr">
        <is>
          <t>Q9</t>
        </is>
      </c>
      <c r="B44" t="inlineStr">
        <is>
          <t>AI risk methodology drafted (taxonomy, scales) and applied to some AI initiatives</t>
        </is>
      </c>
      <c r="C44" t="n">
        <v>0.5</v>
      </c>
      <c r="D44" t="inlineStr">
        <is>
          <t>Partially met</t>
        </is>
      </c>
      <c r="E44" t="inlineStr">
        <is>
          <t>Apply the framework to every AI use case, record results in an AI risk register and integrate it with enterprise risk management.</t>
        </is>
      </c>
      <c r="F44" t="inlineStr">
        <is>
          <t>Level 2 - Defined</t>
        </is>
      </c>
    </row>
    <row r="45">
      <c r="A45" t="inlineStr">
        <is>
          <t>Q9</t>
        </is>
      </c>
      <c r="B45" t="inlineStr">
        <is>
          <t>Approved AI risk framework aligned to ISO/IEC 23894 / NIST AI RMF, applied to all AI use cases and integrated with the enterprise risk register</t>
        </is>
      </c>
      <c r="C45" t="n">
        <v>0.75</v>
      </c>
      <c r="D45" t="inlineStr">
        <is>
          <t>Largely met</t>
        </is>
      </c>
      <c r="E45" t="inlineStr">
        <is>
          <t>Aggregate AI risk across the portfolio, review the framework annually and test the effectiveness of treatments.</t>
        </is>
      </c>
      <c r="F45" t="inlineStr">
        <is>
          <t>Level 3 - Implemented</t>
        </is>
      </c>
    </row>
    <row r="46">
      <c r="A46" t="inlineStr">
        <is>
          <t>Q9</t>
        </is>
      </c>
      <c r="B46" t="inlineStr">
        <is>
          <t>Framework reviewed annually; AI risk aggregated across the portfolio and used in decisions; treatment effectiveness tested</t>
        </is>
      </c>
      <c r="C46" t="n">
        <v>1</v>
      </c>
      <c r="D46" t="inlineStr">
        <is>
          <t>Fully met</t>
        </is>
      </c>
      <c r="E46" t="inlineStr">
        <is>
          <t>Sustain: align with ISO/IEC 42001 clause 6.1 and refresh the taxonomy for new threats (e.g., agentic AI).</t>
        </is>
      </c>
      <c r="F46" t="inlineStr">
        <is>
          <t>Level 4 - Optimised</t>
        </is>
      </c>
    </row>
    <row r="47">
      <c r="A47" t="inlineStr">
        <is>
          <t>Q10</t>
        </is>
      </c>
      <c r="B47" t="inlineStr">
        <is>
          <t>No AI risk appetite or risk indicators</t>
        </is>
      </c>
      <c r="C47" t="n">
        <v>0</v>
      </c>
      <c r="D47" t="inlineStr">
        <is>
          <t>Not met</t>
        </is>
      </c>
      <c r="E47" t="inlineStr">
        <is>
          <t>Define the AI risk categories that matter most (e.g., client data, compliance, output quality) and agree an initial position.</t>
        </is>
      </c>
      <c r="F47" t="inlineStr">
        <is>
          <t>Level 0 - Not in place</t>
        </is>
      </c>
    </row>
    <row r="48">
      <c r="A48" t="inlineStr">
        <is>
          <t>Q10</t>
        </is>
      </c>
      <c r="B48" t="inlineStr">
        <is>
          <t>Enterprise risk appetite exists but does not address AI</t>
        </is>
      </c>
      <c r="C48" t="n">
        <v>0.25</v>
      </c>
      <c r="D48" t="inlineStr">
        <is>
          <t>Minimal</t>
        </is>
      </c>
      <c r="E48" t="inlineStr">
        <is>
          <t>Draft an AI risk appetite statement with measurable tolerances and obtain board approval.</t>
        </is>
      </c>
      <c r="F48" t="inlineStr">
        <is>
          <t>Level 1 - Initial / ad hoc</t>
        </is>
      </c>
    </row>
    <row r="49">
      <c r="A49" t="inlineStr">
        <is>
          <t>Q10</t>
        </is>
      </c>
      <c r="B49" t="inlineStr">
        <is>
          <t>AI risk appetite drafted; a few indicators tracked informally</t>
        </is>
      </c>
      <c r="C49" t="n">
        <v>0.5</v>
      </c>
      <c r="D49" t="inlineStr">
        <is>
          <t>Partially met</t>
        </is>
      </c>
      <c r="E49" t="inlineStr">
        <is>
          <t>Define KRIs with thresholds and escalation for each risk category and report them to the AI committee quarterly.</t>
        </is>
      </c>
      <c r="F49" t="inlineStr">
        <is>
          <t>Level 2 - Defined</t>
        </is>
      </c>
    </row>
    <row r="50">
      <c r="A50" t="inlineStr">
        <is>
          <t>Q10</t>
        </is>
      </c>
      <c r="B50" t="inlineStr">
        <is>
          <t>Board-approved AI risk appetite with tolerances; KRIs with thresholds monitored and reported at least quarterly</t>
        </is>
      </c>
      <c r="C50" t="n">
        <v>0.75</v>
      </c>
      <c r="D50" t="inlineStr">
        <is>
          <t>Largely met</t>
        </is>
      </c>
      <c r="E50" t="inlineStr">
        <is>
          <t>Automate KRI collection and define mandatory responses (e.g., suspend, human review, rollback) when thresholds are breached.</t>
        </is>
      </c>
      <c r="F50" t="inlineStr">
        <is>
          <t>Level 3 - Implemented</t>
        </is>
      </c>
    </row>
    <row r="51">
      <c r="A51" t="inlineStr">
        <is>
          <t>Q10</t>
        </is>
      </c>
      <c r="B51" t="inlineStr">
        <is>
          <t>KRIs automated with mandatory responses on breach; appetite reviewed annually and used to steer investment and approvals</t>
        </is>
      </c>
      <c r="C51" t="n">
        <v>1</v>
      </c>
      <c r="D51" t="inlineStr">
        <is>
          <t>Fully met</t>
        </is>
      </c>
      <c r="E51" t="inlineStr">
        <is>
          <t>Sustain: review the appetite annually and use it to steer AI investment and approval decisions.</t>
        </is>
      </c>
      <c r="F51" t="inlineStr">
        <is>
          <t>Level 4 - Optimised</t>
        </is>
      </c>
    </row>
    <row r="52">
      <c r="A52" t="inlineStr">
        <is>
          <t>Q11</t>
        </is>
      </c>
      <c r="B52" t="inlineStr">
        <is>
          <t>No inventory; AI risks are not assessed</t>
        </is>
      </c>
      <c r="C52" t="n">
        <v>0</v>
      </c>
      <c r="D52" t="inlineStr">
        <is>
          <t>Not met</t>
        </is>
      </c>
      <c r="E52" t="inlineStr">
        <is>
          <t>Build an AI register (discover all AI incl. embedded and shadow AI) and assign business and technical owners.</t>
        </is>
      </c>
      <c r="F52" t="inlineStr">
        <is>
          <t>Level 0 - Not in place</t>
        </is>
      </c>
    </row>
    <row r="53">
      <c r="A53" t="inlineStr">
        <is>
          <t>Q11</t>
        </is>
      </c>
      <c r="B53" t="inlineStr">
        <is>
          <t>Partial list of AI tools; risks assessed occasionally through general IT or vendor processes</t>
        </is>
      </c>
      <c r="C53" t="n">
        <v>0.25</v>
      </c>
      <c r="D53" t="inlineStr">
        <is>
          <t>Minimal</t>
        </is>
      </c>
      <c r="E53" t="inlineStr">
        <is>
          <t>Adopt the GT AI Risk Assessment Framework: prohibited-practice screening and inherent-risk tiering for every AI use case.</t>
        </is>
      </c>
      <c r="F53" t="inlineStr">
        <is>
          <t>Level 1 - Initial / ad hoc</t>
        </is>
      </c>
    </row>
    <row r="54">
      <c r="A54" t="inlineStr">
        <is>
          <t>Q11</t>
        </is>
      </c>
      <c r="B54" t="inlineStr">
        <is>
          <t>AI register with owners; risk assessments performed for some AI systems using a documented method</t>
        </is>
      </c>
      <c r="C54" t="n">
        <v>0.5</v>
      </c>
      <c r="D54" t="inlineStr">
        <is>
          <t>Partially met</t>
        </is>
      </c>
      <c r="E54" t="inlineStr">
        <is>
          <t>Extend assessments to all AI systems and third-party AI; set approval authority by risk tier.</t>
        </is>
      </c>
      <c r="F54" t="inlineStr">
        <is>
          <t>Level 2 - Defined</t>
        </is>
      </c>
    </row>
    <row r="55">
      <c r="A55" t="inlineStr">
        <is>
          <t>Q11</t>
        </is>
      </c>
      <c r="B55" t="inlineStr">
        <is>
          <t>Complete AI register; all AI use cases risk-tiered and assessed (incl. third-party AI) with approvals proportionate to risk</t>
        </is>
      </c>
      <c r="C55" t="n">
        <v>0.75</v>
      </c>
      <c r="D55" t="inlineStr">
        <is>
          <t>Largely met</t>
        </is>
      </c>
      <c r="E55" t="inlineStr">
        <is>
          <t>Introduce ISO/IEC 42005-style impact assessments for High / Critical tiers and quarterly register reconciliation.</t>
        </is>
      </c>
      <c r="F55" t="inlineStr">
        <is>
          <t>Level 3 - Implemented</t>
        </is>
      </c>
    </row>
    <row r="56">
      <c r="A56" t="inlineStr">
        <is>
          <t>Q11</t>
        </is>
      </c>
      <c r="B56" t="inlineStr">
        <is>
          <t>Register reconciled quarterly; impact assessments (ISO/IEC 42005 / FRIA) for high-risk uses; re-assessment on change with KRIs monitored</t>
        </is>
      </c>
      <c r="C56" t="n">
        <v>1</v>
      </c>
      <c r="D56" t="inlineStr">
        <is>
          <t>Fully met</t>
        </is>
      </c>
      <c r="E56" t="inlineStr">
        <is>
          <t>Sustain: automate KRI monitoring and trigger-based re-assessment.</t>
        </is>
      </c>
      <c r="F56" t="inlineStr">
        <is>
          <t>Level 4 - Optimised</t>
        </is>
      </c>
    </row>
    <row r="57">
      <c r="A57" t="inlineStr">
        <is>
          <t>Q12</t>
        </is>
      </c>
      <c r="B57" t="inlineStr">
        <is>
          <t>AI vendors and AI features in software are not assessed</t>
        </is>
      </c>
      <c r="C57" t="n">
        <v>0</v>
      </c>
      <c r="D57" t="inlineStr">
        <is>
          <t>Not met</t>
        </is>
      </c>
      <c r="E57" t="inlineStr">
        <is>
          <t>Identify all AI vendors and AI features in existing software; stop use of unvetted tools with confidential data.</t>
        </is>
      </c>
      <c r="F57" t="inlineStr">
        <is>
          <t>Level 0 - Not in place</t>
        </is>
      </c>
    </row>
    <row r="58">
      <c r="A58" t="inlineStr">
        <is>
          <t>Q12</t>
        </is>
      </c>
      <c r="B58" t="inlineStr">
        <is>
          <t>Standard IT procurement only; AI-specific risks not considered</t>
        </is>
      </c>
      <c r="C58" t="n">
        <v>0.25</v>
      </c>
      <c r="D58" t="inlineStr">
        <is>
          <t>Minimal</t>
        </is>
      </c>
      <c r="E58" t="inlineStr">
        <is>
          <t>Add AI-specific questions to vendor due diligence (data use, hosting, model changes, security, certifications).</t>
        </is>
      </c>
      <c r="F58" t="inlineStr">
        <is>
          <t>Level 1 - Initial / ad hoc</t>
        </is>
      </c>
    </row>
    <row r="59">
      <c r="A59" t="inlineStr">
        <is>
          <t>Q12</t>
        </is>
      </c>
      <c r="B59" t="inlineStr">
        <is>
          <t>AI questions added to vendor due diligence for some purchases; contract terms vary</t>
        </is>
      </c>
      <c r="C59" t="n">
        <v>0.5</v>
      </c>
      <c r="D59" t="inlineStr">
        <is>
          <t>Partially met</t>
        </is>
      </c>
      <c r="E59" t="inlineStr">
        <is>
          <t>Make AI due diligence mandatory and adopt standard AI contract clauses (no training on client data, residency, audit, incident notice).</t>
        </is>
      </c>
      <c r="F59" t="inlineStr">
        <is>
          <t>Level 2 - Defined</t>
        </is>
      </c>
    </row>
    <row r="60">
      <c r="A60" t="inlineStr">
        <is>
          <t>Q12</t>
        </is>
      </c>
      <c r="B60" t="inlineStr">
        <is>
          <t>Mandatory AI due diligence and standard AI contract clauses for all AI vendors; providers reviewed annually</t>
        </is>
      </c>
      <c r="C60" t="n">
        <v>0.75</v>
      </c>
      <c r="D60" t="inlineStr">
        <is>
          <t>Largely met</t>
        </is>
      </c>
      <c r="E60" t="inlineStr">
        <is>
          <t>Monitor AI vendors continuously, maintain an AI bill of materials and define exit plans for critical providers.</t>
        </is>
      </c>
      <c r="F60" t="inlineStr">
        <is>
          <t>Level 3 - Implemented</t>
        </is>
      </c>
    </row>
    <row r="61">
      <c r="A61" t="inlineStr">
        <is>
          <t>Q12</t>
        </is>
      </c>
      <c r="B61" t="inlineStr">
        <is>
          <t>Continuous monitoring of AI vendors and model changes; AI bill of materials maintained; exit plans for critical providers</t>
        </is>
      </c>
      <c r="C61" t="n">
        <v>1</v>
      </c>
      <c r="D61" t="inlineStr">
        <is>
          <t>Fully met</t>
        </is>
      </c>
      <c r="E61" t="inlineStr">
        <is>
          <t>Sustain: re-assess providers on material model or ownership changes and share findings with procurement.</t>
        </is>
      </c>
      <c r="F61" t="inlineStr">
        <is>
          <t>Level 4 - Optimised</t>
        </is>
      </c>
    </row>
    <row r="62">
      <c r="A62" t="inlineStr">
        <is>
          <t>Q13</t>
        </is>
      </c>
      <c r="B62" t="inlineStr">
        <is>
          <t>AI systems are not specifically considered in security controls</t>
        </is>
      </c>
      <c r="C62" t="n">
        <v>0</v>
      </c>
      <c r="D62" t="inlineStr">
        <is>
          <t>Not met</t>
        </is>
      </c>
      <c r="E62" t="inlineStr">
        <is>
          <t>Perform AI threat modelling (OWASP LLM Top 10) on existing AI systems and close critical exposures.</t>
        </is>
      </c>
      <c r="F62" t="inlineStr">
        <is>
          <t>Level 0 - Not in place</t>
        </is>
      </c>
    </row>
    <row r="63">
      <c r="A63" t="inlineStr">
        <is>
          <t>Q13</t>
        </is>
      </c>
      <c r="B63" t="inlineStr">
        <is>
          <t>Standard IT security controls apply; no AI-specific threat assessment</t>
        </is>
      </c>
      <c r="C63" t="n">
        <v>0.25</v>
      </c>
      <c r="D63" t="inlineStr">
        <is>
          <t>Minimal</t>
        </is>
      </c>
      <c r="E63" t="inlineStr">
        <is>
          <t>Extend secure-development and access-management standards to AI, including non-human (agent) identities.</t>
        </is>
      </c>
      <c r="F63" t="inlineStr">
        <is>
          <t>Level 1 - Initial / ad hoc</t>
        </is>
      </c>
    </row>
    <row r="64">
      <c r="A64" t="inlineStr">
        <is>
          <t>Q13</t>
        </is>
      </c>
      <c r="B64" t="inlineStr">
        <is>
          <t>AI-specific threats (e.g., prompt injection, data leakage) assessed for some systems; access controls and logging in place</t>
        </is>
      </c>
      <c r="C64" t="n">
        <v>0.5</v>
      </c>
      <c r="D64" t="inlineStr">
        <is>
          <t>Partially met</t>
        </is>
      </c>
      <c r="E64" t="inlineStr">
        <is>
          <t>Introduce AI red teaming before release, runtime guardrails (input / output filtering) and audit logging.</t>
        </is>
      </c>
      <c r="F64" t="inlineStr">
        <is>
          <t>Level 2 - Defined</t>
        </is>
      </c>
    </row>
    <row r="65">
      <c r="A65" t="inlineStr">
        <is>
          <t>Q13</t>
        </is>
      </c>
      <c r="B65" t="inlineStr">
        <is>
          <t>Secure AI development lifecycle; least privilege for users, systems and agents; sandboxed tool execution; AI red teaming before release; runtime guardrails and audit logging</t>
        </is>
      </c>
      <c r="C65" t="n">
        <v>0.75</v>
      </c>
      <c r="D65" t="inlineStr">
        <is>
          <t>Largely met</t>
        </is>
      </c>
      <c r="E65" t="inlineStr">
        <is>
          <t>Add AI supply-chain controls (model scanning, AI-BOM) and continuous adversarial testing integrated with the SOC.</t>
        </is>
      </c>
      <c r="F65" t="inlineStr">
        <is>
          <t>Level 3 - Implemented</t>
        </is>
      </c>
    </row>
    <row r="66">
      <c r="A66" t="inlineStr">
        <is>
          <t>Q13</t>
        </is>
      </c>
      <c r="B66" t="inlineStr">
        <is>
          <t>Continuous adversarial testing, AI supply-chain assurance (model scanning, AI-BOM) and forensic-ready logging integrated with the SOC</t>
        </is>
      </c>
      <c r="C66" t="n">
        <v>1</v>
      </c>
      <c r="D66" t="inlineStr">
        <is>
          <t>Fully met</t>
        </is>
      </c>
      <c r="E66" t="inlineStr">
        <is>
          <t>Sustain: track AI security KRIs and re-test after every material model or provider change.</t>
        </is>
      </c>
      <c r="F66" t="inlineStr">
        <is>
          <t>Level 4 - Optimised</t>
        </is>
      </c>
    </row>
    <row r="67">
      <c r="A67" t="inlineStr">
        <is>
          <t>Q14</t>
        </is>
      </c>
      <c r="B67" t="inlineStr">
        <is>
          <t>AI-enabled threats not considered</t>
        </is>
      </c>
      <c r="C67" t="n">
        <v>0</v>
      </c>
      <c r="D67" t="inlineStr">
        <is>
          <t>Not met</t>
        </is>
      </c>
      <c r="E67" t="inlineStr">
        <is>
          <t>Introduce mandatory call-back / out-of-band verification for payments and sensitive requests.</t>
        </is>
      </c>
      <c r="F67" t="inlineStr">
        <is>
          <t>Level 0 - Not in place</t>
        </is>
      </c>
    </row>
    <row r="68">
      <c r="A68" t="inlineStr">
        <is>
          <t>Q14</t>
        </is>
      </c>
      <c r="B68" t="inlineStr">
        <is>
          <t>General awareness only; no specific controls</t>
        </is>
      </c>
      <c r="C68" t="n">
        <v>0.25</v>
      </c>
      <c r="D68" t="inlineStr">
        <is>
          <t>Minimal</t>
        </is>
      </c>
      <c r="E68" t="inlineStr">
        <is>
          <t>Add AI-enabled attack scenarios to threat intelligence, awareness and phishing simulations.</t>
        </is>
      </c>
      <c r="F68" t="inlineStr">
        <is>
          <t>Level 1 - Initial / ad hoc</t>
        </is>
      </c>
    </row>
    <row r="69">
      <c r="A69" t="inlineStr">
        <is>
          <t>Q14</t>
        </is>
      </c>
      <c r="B69" t="inlineStr">
        <is>
          <t>Threat intelligence covers AI-enabled attacks; out-of-band verification for some high-risk requests</t>
        </is>
      </c>
      <c r="C69" t="n">
        <v>0.5</v>
      </c>
      <c r="D69" t="inlineStr">
        <is>
          <t>Partially met</t>
        </is>
      </c>
      <c r="E69" t="inlineStr">
        <is>
          <t>Deploy behaviour-based detection and exercise AI incident playbooks (deepfake fraud, agent compromise).</t>
        </is>
      </c>
      <c r="F69" t="inlineStr">
        <is>
          <t>Level 2 - Defined</t>
        </is>
      </c>
    </row>
    <row r="70">
      <c r="A70" t="inlineStr">
        <is>
          <t>Q14</t>
        </is>
      </c>
      <c r="B70" t="inlineStr">
        <is>
          <t>Deepfake-resilient verification for payments and sensitive requests; behaviour-based detection; AI incident playbooks exercised</t>
        </is>
      </c>
      <c r="C70" t="n">
        <v>0.75</v>
      </c>
      <c r="D70" t="inlineStr">
        <is>
          <t>Largely met</t>
        </is>
      </c>
      <c r="E70" t="inlineStr">
        <is>
          <t>Adopt continuous exposure management and AI-specific red teaming; reduce patch cycles to days.</t>
        </is>
      </c>
      <c r="F70" t="inlineStr">
        <is>
          <t>Level 3 - Implemented</t>
        </is>
      </c>
    </row>
    <row r="71">
      <c r="A71" t="inlineStr">
        <is>
          <t>Q14</t>
        </is>
      </c>
      <c r="B71" t="inlineStr">
        <is>
          <t>Continuous exposure management and AI-specific red teaming; automated response at machine speed; critical vulnerabilities remediated in days</t>
        </is>
      </c>
      <c r="C71" t="n">
        <v>1</v>
      </c>
      <c r="D71" t="inlineStr">
        <is>
          <t>Fully met</t>
        </is>
      </c>
      <c r="E71" t="inlineStr">
        <is>
          <t>Sustain: share AI threat intelligence with sector peers and national CERT.</t>
        </is>
      </c>
      <c r="F71" t="inlineStr">
        <is>
          <t>Level 4 - Optimised</t>
        </is>
      </c>
    </row>
    <row r="72">
      <c r="A72" t="inlineStr">
        <is>
          <t>Q15</t>
        </is>
      </c>
      <c r="B72" t="inlineStr">
        <is>
          <t>No AI training provided</t>
        </is>
      </c>
      <c r="C72" t="n">
        <v>0</v>
      </c>
      <c r="D72" t="inlineStr">
        <is>
          <t>Not met</t>
        </is>
      </c>
      <c r="E72" t="inlineStr">
        <is>
          <t>Launch baseline AI literacy (safe use, limitations, data handling, verification) for all staff.</t>
        </is>
      </c>
      <c r="F72" t="inlineStr">
        <is>
          <t>Level 0 - Not in place</t>
        </is>
      </c>
    </row>
    <row r="73">
      <c r="A73" t="inlineStr">
        <is>
          <t>Q15</t>
        </is>
      </c>
      <c r="B73" t="inlineStr">
        <is>
          <t>Ad hoc awareness sessions or self-learning only</t>
        </is>
      </c>
      <c r="C73" t="n">
        <v>0.25</v>
      </c>
      <c r="D73" t="inlineStr">
        <is>
          <t>Minimal</t>
        </is>
      </c>
      <c r="E73" t="inlineStr">
        <is>
          <t>Make AI literacy mandatory before AI tool access and track completion.</t>
        </is>
      </c>
      <c r="F73" t="inlineStr">
        <is>
          <t>Level 1 - Initial / ad hoc</t>
        </is>
      </c>
    </row>
    <row r="74">
      <c r="A74" t="inlineStr">
        <is>
          <t>Q15</t>
        </is>
      </c>
      <c r="B74" t="inlineStr">
        <is>
          <t>Baseline AI literacy training available to all staff; limited role-based training</t>
        </is>
      </c>
      <c r="C74" t="n">
        <v>0.5</v>
      </c>
      <c r="D74" t="inlineStr">
        <is>
          <t>Partially met</t>
        </is>
      </c>
      <c r="E74" t="inlineStr">
        <is>
          <t>Add role-based pathways (developers, oversight staff, leaders, risk &amp; audit) and hands-on labs.</t>
        </is>
      </c>
      <c r="F74" t="inlineStr">
        <is>
          <t>Level 2 - Defined</t>
        </is>
      </c>
    </row>
    <row r="75">
      <c r="A75" t="inlineStr">
        <is>
          <t>Q15</t>
        </is>
      </c>
      <c r="B75" t="inlineStr">
        <is>
          <t>Mandatory AI literacy before tool access; role-based pathways for developers, oversight staff and leaders; scenario-based security awareness</t>
        </is>
      </c>
      <c r="C75" t="n">
        <v>0.75</v>
      </c>
      <c r="D75" t="inlineStr">
        <is>
          <t>Largely met</t>
        </is>
      </c>
      <c r="E75" t="inlineStr">
        <is>
          <t>Measure competence, refresh annually, and build an AI champions network and workforce plan.</t>
        </is>
      </c>
      <c r="F75" t="inlineStr">
        <is>
          <t>Level 3 - Implemented</t>
        </is>
      </c>
    </row>
    <row r="76">
      <c r="A76" t="inlineStr">
        <is>
          <t>Q15</t>
        </is>
      </c>
      <c r="B76" t="inlineStr">
        <is>
          <t>Competence measured and refreshed annually; workforce plan addresses future AI skills and job redesign; active AI champions network</t>
        </is>
      </c>
      <c r="C76" t="n">
        <v>1</v>
      </c>
      <c r="D76" t="inlineStr">
        <is>
          <t>Fully met</t>
        </is>
      </c>
      <c r="E76" t="inlineStr">
        <is>
          <t>Sustain: integrate AI capability into performance frameworks and succession planning.</t>
        </is>
      </c>
      <c r="F76" t="inlineStr">
        <is>
          <t>Level 4 - Optimised</t>
        </is>
      </c>
    </row>
    <row r="77">
      <c r="A77" t="inlineStr">
        <is>
          <t>Q16</t>
        </is>
      </c>
      <c r="B77" t="inlineStr">
        <is>
          <t>No AI strategy or executive owner; AI adoption is unplanned</t>
        </is>
      </c>
      <c r="C77" t="n">
        <v>0</v>
      </c>
      <c r="D77" t="inlineStr">
        <is>
          <t>Not met</t>
        </is>
      </c>
      <c r="E77" t="inlineStr">
        <is>
          <t>Appoint an executive AI sponsor and commission an AI strategy (situational / SWOT analysis, ambition, priority domains).</t>
        </is>
      </c>
      <c r="F77" t="inlineStr">
        <is>
          <t>Level 0 - Not in place</t>
        </is>
      </c>
    </row>
    <row r="78">
      <c r="A78" t="inlineStr">
        <is>
          <t>Q16</t>
        </is>
      </c>
      <c r="B78" t="inlineStr">
        <is>
          <t>Informal leadership interest; no documented strategy</t>
        </is>
      </c>
      <c r="C78" t="n">
        <v>0.25</v>
      </c>
      <c r="D78" t="inlineStr">
        <is>
          <t>Minimal</t>
        </is>
      </c>
      <c r="E78" t="inlineStr">
        <is>
          <t>Formalise leadership intent into a documented AI strategy approved by the executive committee.</t>
        </is>
      </c>
      <c r="F78" t="inlineStr">
        <is>
          <t>Level 1 - Initial / ad hoc</t>
        </is>
      </c>
    </row>
    <row r="79">
      <c r="A79" t="inlineStr">
        <is>
          <t>Q16</t>
        </is>
      </c>
      <c r="B79" t="inlineStr">
        <is>
          <t>Executive sponsor named and AI strategy drafted, but not linked to business objectives or budget</t>
        </is>
      </c>
      <c r="C79" t="n">
        <v>0.5</v>
      </c>
      <c r="D79" t="inlineStr">
        <is>
          <t>Partially met</t>
        </is>
      </c>
      <c r="E79" t="inlineStr">
        <is>
          <t>Link the strategy to business objectives and budget; define experimentation ('sandbox') boundaries and communicate them.</t>
        </is>
      </c>
      <c r="F79" t="inlineStr">
        <is>
          <t>Level 2 - Defined</t>
        </is>
      </c>
    </row>
    <row r="80">
      <c r="A80" t="inlineStr">
        <is>
          <t>Q16</t>
        </is>
      </c>
      <c r="B80" t="inlineStr">
        <is>
          <t>Approved AI strategy with executive ownership, priorities, budget and experimentation boundaries communicated to staff</t>
        </is>
      </c>
      <c r="C80" t="n">
        <v>0.75</v>
      </c>
      <c r="D80" t="inlineStr">
        <is>
          <t>Largely met</t>
        </is>
      </c>
      <c r="E80" t="inlineStr">
        <is>
          <t>Track the strategy through KPIs and introduce an annual board-level review.</t>
        </is>
      </c>
      <c r="F80" t="inlineStr">
        <is>
          <t>Level 3 - Implemented</t>
        </is>
      </c>
    </row>
    <row r="81">
      <c r="A81" t="inlineStr">
        <is>
          <t>Q16</t>
        </is>
      </c>
      <c r="B81" t="inlineStr">
        <is>
          <t>Strategy reviewed at least annually by the board, linked to business strategy and tracked through KPIs</t>
        </is>
      </c>
      <c r="C81" t="n">
        <v>1</v>
      </c>
      <c r="D81" t="inlineStr">
        <is>
          <t>Fully met</t>
        </is>
      </c>
      <c r="E81" t="inlineStr">
        <is>
          <t>Sustain: benchmark annually against peers and refresh the strategy as AI capabilities and regulation evolve.</t>
        </is>
      </c>
      <c r="F81" t="inlineStr">
        <is>
          <t>Level 4 - Optimised</t>
        </is>
      </c>
    </row>
    <row r="82">
      <c r="A82" t="inlineStr">
        <is>
          <t>Q17</t>
        </is>
      </c>
      <c r="B82" t="inlineStr">
        <is>
          <t>No process - AI initiatives start ad hoc and value is not tracked</t>
        </is>
      </c>
      <c r="C82" t="n">
        <v>0</v>
      </c>
      <c r="D82" t="inlineStr">
        <is>
          <t>Not met</t>
        </is>
      </c>
      <c r="E82" t="inlineStr">
        <is>
          <t>Create an AI use-case intake and approval process; build an initial prioritised backlog.</t>
        </is>
      </c>
      <c r="F82" t="inlineStr">
        <is>
          <t>Level 0 - Not in place</t>
        </is>
      </c>
    </row>
    <row r="83">
      <c r="A83" t="inlineStr">
        <is>
          <t>Q17</t>
        </is>
      </c>
      <c r="B83" t="inlineStr">
        <is>
          <t>Some use cases discussed informally; business cases are rare</t>
        </is>
      </c>
      <c r="C83" t="n">
        <v>0.25</v>
      </c>
      <c r="D83" t="inlineStr">
        <is>
          <t>Minimal</t>
        </is>
      </c>
      <c r="E83" t="inlineStr">
        <is>
          <t>Introduce a standard business-case template with value, feasibility, data-readiness and risk scoring.</t>
        </is>
      </c>
      <c r="F83" t="inlineStr">
        <is>
          <t>Level 1 - Initial / ad hoc</t>
        </is>
      </c>
    </row>
    <row r="84">
      <c r="A84" t="inlineStr">
        <is>
          <t>Q17</t>
        </is>
      </c>
      <c r="B84" t="inlineStr">
        <is>
          <t>Use-case intake exists and initiatives are prioritised, but benefits are not systematically tracked</t>
        </is>
      </c>
      <c r="C84" t="n">
        <v>0.5</v>
      </c>
      <c r="D84" t="inlineStr">
        <is>
          <t>Partially met</t>
        </is>
      </c>
      <c r="E84" t="inlineStr">
        <is>
          <t>Define benefit KPIs (financial and non-financial) at approval and assign benefit owners.</t>
        </is>
      </c>
      <c r="F84" t="inlineStr">
        <is>
          <t>Level 2 - Defined</t>
        </is>
      </c>
    </row>
    <row r="85">
      <c r="A85" t="inlineStr">
        <is>
          <t>Q17</t>
        </is>
      </c>
      <c r="B85" t="inlineStr">
        <is>
          <t>Structured intake and prioritisation by value, feasibility, data readiness and risk; KPIs tracked for major initiatives</t>
        </is>
      </c>
      <c r="C85" t="n">
        <v>0.75</v>
      </c>
      <c r="D85" t="inlineStr">
        <is>
          <t>Largely met</t>
        </is>
      </c>
      <c r="E85" t="inlineStr">
        <is>
          <t>Run quarterly portfolio reviews with continue / pivot / stop decisions; convert discovered shadow AI into governed use cases.</t>
        </is>
      </c>
      <c r="F85" t="inlineStr">
        <is>
          <t>Level 3 - Implemented</t>
        </is>
      </c>
    </row>
    <row r="86">
      <c r="A86" t="inlineStr">
        <is>
          <t>Q17</t>
        </is>
      </c>
      <c r="B86" t="inlineStr">
        <is>
          <t>Portfolio managed as a whole with quarterly value / risk reviews, stop-or-scale decisions, and shadow-AI demand routed into the governed pipeline</t>
        </is>
      </c>
      <c r="C86" t="n">
        <v>1</v>
      </c>
      <c r="D86" t="inlineStr">
        <is>
          <t>Fully met</t>
        </is>
      </c>
      <c r="E86" t="inlineStr">
        <is>
          <t>Sustain: publish realised value to leadership and reinvest in proven use cases.</t>
        </is>
      </c>
      <c r="F86" t="inlineStr">
        <is>
          <t>Level 4 - Optimised</t>
        </is>
      </c>
    </row>
    <row r="87">
      <c r="A87" t="inlineStr">
        <is>
          <t>Q18</t>
        </is>
      </c>
      <c r="B87" t="inlineStr">
        <is>
          <t>Data used by AI is not classified or controlled; privacy requirements not considered</t>
        </is>
      </c>
      <c r="C87" t="n">
        <v>0</v>
      </c>
      <c r="D87" t="inlineStr">
        <is>
          <t>Not met</t>
        </is>
      </c>
      <c r="E87" t="inlineStr">
        <is>
          <t>Prohibit confidential / personal data in unapproved AI tools and apply data classification to AI use immediately.</t>
        </is>
      </c>
      <c r="F87" t="inlineStr">
        <is>
          <t>Level 0 - Not in place</t>
        </is>
      </c>
    </row>
    <row r="88">
      <c r="A88" t="inlineStr">
        <is>
          <t>Q18</t>
        </is>
      </c>
      <c r="B88" t="inlineStr">
        <is>
          <t>Data classification policy exists but is not applied to AI; privacy reviewed case by case</t>
        </is>
      </c>
      <c r="C88" t="n">
        <v>0.25</v>
      </c>
      <c r="D88" t="inlineStr">
        <is>
          <t>Minimal</t>
        </is>
      </c>
      <c r="E88" t="inlineStr">
        <is>
          <t>Embed DPIAs for AI processing personal data and enforce classification-based handling rules (DLP).</t>
        </is>
      </c>
      <c r="F88" t="inlineStr">
        <is>
          <t>Level 1 - Initial / ad hoc</t>
        </is>
      </c>
    </row>
    <row r="89">
      <c r="A89" t="inlineStr">
        <is>
          <t>Q18</t>
        </is>
      </c>
      <c r="B89" t="inlineStr">
        <is>
          <t>Classification and handling rules apply to AI; DPIAs performed for some AI using personal data</t>
        </is>
      </c>
      <c r="C89" t="n">
        <v>0.5</v>
      </c>
      <c r="D89" t="inlineStr">
        <is>
          <t>Partially met</t>
        </is>
      </c>
      <c r="E89" t="inlineStr">
        <is>
          <t>Require data-readiness assessments before approving use cases; implement minimisation, anonymisation and prompt redaction.</t>
        </is>
      </c>
      <c r="F89" t="inlineStr">
        <is>
          <t>Level 2 - Defined</t>
        </is>
      </c>
    </row>
    <row r="90">
      <c r="A90" t="inlineStr">
        <is>
          <t>Q18</t>
        </is>
      </c>
      <c r="B90" t="inlineStr">
        <is>
          <t>Data readiness assessed before approval; lineage and quality monitored; minimisation, anonymisation and prompt redaction applied; DPIAs standard</t>
        </is>
      </c>
      <c r="C90" t="n">
        <v>0.75</v>
      </c>
      <c r="D90" t="inlineStr">
        <is>
          <t>Largely met</t>
        </is>
      </c>
      <c r="E90" t="inlineStr">
        <is>
          <t>Automate data-quality and lineage monitoring; operationalise data-subject rights and transfer assessments for AI.</t>
        </is>
      </c>
      <c r="F90" t="inlineStr">
        <is>
          <t>Level 3 - Implemented</t>
        </is>
      </c>
    </row>
    <row r="91">
      <c r="A91" t="inlineStr">
        <is>
          <t>Q18</t>
        </is>
      </c>
      <c r="B91" t="inlineStr">
        <is>
          <t>Automated quality, lineage and privacy controls across AI pipelines; data-subject rights and cross-border transfers handled for AI systems</t>
        </is>
      </c>
      <c r="C91" t="n">
        <v>1</v>
      </c>
      <c r="D91" t="inlineStr">
        <is>
          <t>Fully met</t>
        </is>
      </c>
      <c r="E91" t="inlineStr">
        <is>
          <t>Sustain: continuous data-quality KPIs and periodic privacy audits of AI systems.</t>
        </is>
      </c>
      <c r="F91" t="inlineStr">
        <is>
          <t>Level 4 - Optimised</t>
        </is>
      </c>
    </row>
    <row r="92">
      <c r="A92" t="inlineStr">
        <is>
          <t>Q19</t>
        </is>
      </c>
      <c r="B92" t="inlineStr">
        <is>
          <t>No architectural standards; AI solutions built or bought in isolation</t>
        </is>
      </c>
      <c r="C92" t="n">
        <v>0</v>
      </c>
      <c r="D92" t="inlineStr">
        <is>
          <t>Not met</t>
        </is>
      </c>
      <c r="E92" t="inlineStr">
        <is>
          <t>Define approved AI platforms and a minimum architecture standard (identity, data, logging) for all AI solutions.</t>
        </is>
      </c>
      <c r="F92" t="inlineStr">
        <is>
          <t>Level 0 - Not in place</t>
        </is>
      </c>
    </row>
    <row r="93">
      <c r="A93" t="inlineStr">
        <is>
          <t>Q19</t>
        </is>
      </c>
      <c r="B93" t="inlineStr">
        <is>
          <t>Some technical guidance exists; monitoring limited to availability</t>
        </is>
      </c>
      <c r="C93" t="n">
        <v>0.25</v>
      </c>
      <c r="D93" t="inlineStr">
        <is>
          <t>Minimal</t>
        </is>
      </c>
      <c r="E93" t="inlineStr">
        <is>
          <t>Develop an enterprise AI reference architecture covering data, models, agents, integration and security.</t>
        </is>
      </c>
      <c r="F93" t="inlineStr">
        <is>
          <t>Level 1 - Initial / ad hoc</t>
        </is>
      </c>
    </row>
    <row r="94">
      <c r="A94" t="inlineStr">
        <is>
          <t>Q19</t>
        </is>
      </c>
      <c r="B94" t="inlineStr">
        <is>
          <t>Reference architecture drafted; approved platforms and integration patterns for most AI; basic performance monitoring</t>
        </is>
      </c>
      <c r="C94" t="n">
        <v>0.5</v>
      </c>
      <c r="D94" t="inlineStr">
        <is>
          <t>Partially met</t>
        </is>
      </c>
      <c r="E94" t="inlineStr">
        <is>
          <t>Centralise API / access control for AI, define agent execution authority and implement drift / performance monitoring with thresholds.</t>
        </is>
      </c>
      <c r="F94" t="inlineStr">
        <is>
          <t>Level 2 - Defined</t>
        </is>
      </c>
    </row>
    <row r="95">
      <c r="A95" t="inlineStr">
        <is>
          <t>Q19</t>
        </is>
      </c>
      <c r="B95" t="inlineStr">
        <is>
          <t>Reference architecture adopted (data, models, agents, security); agent actions via a policy-enforcement gateway; performance, drift and bias monitored with thresholds; kill switches; cost governed</t>
        </is>
      </c>
      <c r="C95" t="n">
        <v>0.75</v>
      </c>
      <c r="D95" t="inlineStr">
        <is>
          <t>Largely met</t>
        </is>
      </c>
      <c r="E95" t="inlineStr">
        <is>
          <t>Implement KRI-based observability with automated responses and a governed pathway from citizen development to production.</t>
        </is>
      </c>
      <c r="F95" t="inlineStr">
        <is>
          <t>Level 3 - Implemented</t>
        </is>
      </c>
    </row>
    <row r="96">
      <c r="A96" t="inlineStr">
        <is>
          <t>Q19</t>
        </is>
      </c>
      <c r="B96" t="inlineStr">
        <is>
          <t>Full observability with KRIs and automated responses; governed path from citizen-developed AI to production; platform and vendor dependencies actively managed</t>
        </is>
      </c>
      <c r="C96" t="n">
        <v>1</v>
      </c>
      <c r="D96" t="inlineStr">
        <is>
          <t>Fully met</t>
        </is>
      </c>
      <c r="E96" t="inlineStr">
        <is>
          <t>Sustain: review architecture annually against emerging AI capabilities and vendor landscape.</t>
        </is>
      </c>
      <c r="F96" t="inlineStr">
        <is>
          <t>Level 4 - Optimised</t>
        </is>
      </c>
    </row>
    <row r="97">
      <c r="A97" t="inlineStr">
        <is>
          <t>Q20</t>
        </is>
      </c>
      <c r="B97" t="inlineStr">
        <is>
          <t>Models are not validated or inventoried</t>
        </is>
      </c>
      <c r="C97" t="n">
        <v>0</v>
      </c>
      <c r="D97" t="inlineStr">
        <is>
          <t>Not met</t>
        </is>
      </c>
      <c r="E97" t="inlineStr">
        <is>
          <t>Create an inventory of AI / ML models and identify those that drive material decisions.</t>
        </is>
      </c>
      <c r="F97" t="inlineStr">
        <is>
          <t>Level 0 - Not in place</t>
        </is>
      </c>
    </row>
    <row r="98">
      <c r="A98" t="inlineStr">
        <is>
          <t>Q20</t>
        </is>
      </c>
      <c r="B98" t="inlineStr">
        <is>
          <t>Developers test their own models; no independent review</t>
        </is>
      </c>
      <c r="C98" t="n">
        <v>0.25</v>
      </c>
      <c r="D98" t="inlineStr">
        <is>
          <t>Minimal</t>
        </is>
      </c>
      <c r="E98" t="inlineStr">
        <is>
          <t>Introduce a model risk policy and require independent review (separate from developers) for material models.</t>
        </is>
      </c>
      <c r="F98" t="inlineStr">
        <is>
          <t>Level 1 - Initial / ad hoc</t>
        </is>
      </c>
    </row>
    <row r="99">
      <c r="A99" t="inlineStr">
        <is>
          <t>Q20</t>
        </is>
      </c>
      <c r="B99" t="inlineStr">
        <is>
          <t>Model inventory exists; validation performed for some material models</t>
        </is>
      </c>
      <c r="C99" t="n">
        <v>0.5</v>
      </c>
      <c r="D99" t="inlineStr">
        <is>
          <t>Partially met</t>
        </is>
      </c>
      <c r="E99" t="inlineStr">
        <is>
          <t>Validate all material models before use and on a risk-based cycle; document thresholds, limitations and conditions of use.</t>
        </is>
      </c>
      <c r="F99" t="inlineStr">
        <is>
          <t>Level 2 - Defined</t>
        </is>
      </c>
    </row>
    <row r="100">
      <c r="A100" t="inlineStr">
        <is>
          <t>Q20</t>
        </is>
      </c>
      <c r="B100" t="inlineStr">
        <is>
          <t>Independent validation before use and on a risk-based cycle; performance thresholds and limitations documented</t>
        </is>
      </c>
      <c r="C100" t="n">
        <v>0.75</v>
      </c>
      <c r="D100" t="inlineStr">
        <is>
          <t>Largely met</t>
        </is>
      </c>
      <c r="E100" t="inlineStr">
        <is>
          <t>Monitor model performance continuously and track validation findings to closure.</t>
        </is>
      </c>
      <c r="F100" t="inlineStr">
        <is>
          <t>Level 3 - Implemented</t>
        </is>
      </c>
    </row>
    <row r="101">
      <c r="A101" t="inlineStr">
        <is>
          <t>Q20</t>
        </is>
      </c>
      <c r="B101" t="inlineStr">
        <is>
          <t>Model risk management aligned to SR 11-7 / PRA SS1/23 principles, with continuous monitoring and findings tracked to closure</t>
        </is>
      </c>
      <c r="C101" t="n">
        <v>1</v>
      </c>
      <c r="D101" t="inlineStr">
        <is>
          <t>Fully met</t>
        </is>
      </c>
      <c r="E101" t="inlineStr">
        <is>
          <t>Sustain: align with SR 11-7 / PRA SS1/23 principles and report model risk to the risk committee.</t>
        </is>
      </c>
      <c r="F101" t="inlineStr">
        <is>
          <t>Level 4 - Optimised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19"/>
  <sheetViews>
    <sheetView workbookViewId="0">
      <selection activeCell="A1" sqref="A1"/>
    </sheetView>
  </sheetViews>
  <sheetFormatPr baseColWidth="8" defaultRowHeight="15"/>
  <sheetData>
    <row r="1">
      <c r="A1" t="inlineStr">
        <is>
          <t>Per-question calculations</t>
        </is>
      </c>
    </row>
    <row r="20">
      <c r="A20" t="inlineStr">
        <is>
          <t>Answered</t>
        </is>
      </c>
      <c r="B20">
        <f>SUM(D200:D219)</f>
        <v>20</v>
      </c>
    </row>
    <row r="21">
      <c r="A21" t="inlineStr">
        <is>
          <t>Complete</t>
        </is>
      </c>
      <c r="B21">
        <f>IF(B20=20,1,0)</f>
        <v>1</v>
      </c>
    </row>
    <row r="25">
      <c r="A25" t="inlineStr">
        <is>
          <t>Inherent risk</t>
        </is>
      </c>
    </row>
    <row r="26">
      <c r="A26" t="inlineStr">
        <is>
          <t>A1</t>
        </is>
      </c>
      <c r="B26">
        <f>IF(E200="","",E200)</f>
        <v>2</v>
      </c>
      <c r="C26" t="n">
        <v>2</v>
      </c>
    </row>
    <row r="27">
      <c r="A27" t="inlineStr">
        <is>
          <t>A2</t>
        </is>
      </c>
      <c r="B27">
        <f>IF(E201="","",E201)</f>
        <v>2</v>
      </c>
      <c r="C27" t="n">
        <v>3</v>
      </c>
    </row>
    <row r="28">
      <c r="A28" t="inlineStr">
        <is>
          <t>A3</t>
        </is>
      </c>
      <c r="B28">
        <f>IF(E202="","",E202)</f>
        <v>2</v>
      </c>
      <c r="C28" t="n">
        <v>2</v>
      </c>
    </row>
    <row r="29">
      <c r="A29" t="inlineStr">
        <is>
          <t>A4</t>
        </is>
      </c>
      <c r="B29">
        <f>IF(E203="","",E203)</f>
        <v>1</v>
      </c>
      <c r="C29" t="n">
        <v>3</v>
      </c>
    </row>
    <row r="30">
      <c r="A30" t="inlineStr">
        <is>
          <t>Inherent %</t>
        </is>
      </c>
      <c r="C30">
        <f>IF(COUNT(B26:B29)&lt;4,"",SUMPRODUCT(B26:B29,C26:C29)/(4*SUM(C26:C29)))</f>
        <v>0.425</v>
      </c>
    </row>
    <row r="31">
      <c r="A31" t="inlineStr">
        <is>
          <t>Score tier</t>
        </is>
      </c>
      <c r="C31" t="str">
        <f>IF(C30="","",IF(C30&gt;=0.75,"Critical",IF(C30&gt;=0.5,"High",IF(C30&gt;=0.25,"Medium","Low"))))</f>
        <v>Medium</v>
      </c>
    </row>
    <row r="32">
      <c r="A32" t="inlineStr">
        <is>
          <t>Final tier</t>
        </is>
      </c>
      <c r="C32" t="str">
        <f>IF(C31="","",IF(AND(B27=4,B29&gt;=3),"Critical",IF(AND(B27=4,OR(C31="Low",C31="Medium")),"High",IF(AND(B28=4,C31="Low"),"Medium",C31))))</f>
        <v>Medium</v>
      </c>
    </row>
    <row r="33">
      <c r="A33" t="inlineStr">
        <is>
          <t>Override note</t>
        </is>
      </c>
      <c r="C33" t="str">
        <f>IF(C31="","",IF(AND(B27=4,B29&gt;=3),"Override: significant-effect decisions with limited oversight -&gt; Critical",IF(AND(B27=4,OR(C31="Low",C31="Medium")),"Override: significant-effect decisions -&gt; minimum High",IF(AND(B28=4,C31="Low"),"Override: sensitive data -&gt; minimum Medium","No override applied"))))</f>
        <v>No override applied</v>
      </c>
    </row>
    <row r="36">
      <c r="A36" t="inlineStr">
        <is>
          <t>Pillar</t>
        </is>
      </c>
      <c r="B36" t="inlineStr">
        <is>
          <t>Score</t>
        </is>
      </c>
      <c r="C36" t="inlineStr">
        <is>
          <t>Maturity</t>
        </is>
      </c>
      <c r="D36" t="inlineStr">
        <is>
          <t>Target</t>
        </is>
      </c>
      <c r="E36" t="inlineStr">
        <is>
          <t>Risk statement</t>
        </is>
      </c>
      <c r="F36" t="inlineStr">
        <is>
          <t>Service</t>
        </is>
      </c>
      <c r="G36" t="inlineStr">
        <is>
          <t>Service priority</t>
        </is>
      </c>
      <c r="H36" t="inlineStr">
        <is>
          <t>Label</t>
        </is>
      </c>
    </row>
    <row r="37">
      <c r="A37" t="inlineStr">
        <is>
          <t>AI Governance</t>
        </is>
      </c>
      <c r="B37">
        <f>IFERROR(AVERAGEIF($C$204:$C$219,A37,$E$204:$E$219),"")</f>
        <v>0.625</v>
      </c>
      <c r="C37" t="str">
        <f>IF(B37="","",IF(B37&gt;=0.9,"Adaptive",IF(B37&gt;=0.7,"Repeatable",IF(B37&gt;=0.5,"Informed","Partial"))))</f>
        <v>Informed</v>
      </c>
      <c r="D37" t="n">
        <v>0.7</v>
      </c>
      <c r="E37" t="inlineStr">
        <is>
          <t>Without clear accountability, policy, oversight and assurance, AI is adopted inconsistently, misused and breaches regulation without anyone noticing or answering for it.</t>
        </is>
      </c>
      <c r="H37" t="inlineStr">
        <is>
          <t>Governance</t>
        </is>
      </c>
      <c r="I37">
        <f>IF(B37="",0,B37*100)</f>
        <v>62.5</v>
      </c>
      <c r="J37" t="n">
        <v>70</v>
      </c>
    </row>
    <row r="38">
      <c r="A38" t="inlineStr">
        <is>
          <t>AI Risk &amp; Security</t>
        </is>
      </c>
      <c r="B38">
        <f>IFERROR(AVERAGEIF($C$204:$C$219,A38,$E$204:$E$219),"")</f>
        <v>0.5</v>
      </c>
      <c r="C38" t="str">
        <f>IF(B38="","",IF(B38&gt;=0.9,"Adaptive",IF(B38&gt;=0.7,"Repeatable",IF(B38&gt;=0.5,"Informed","Partial"))))</f>
        <v>Informed</v>
      </c>
      <c r="D38" t="n">
        <v>0.7</v>
      </c>
      <c r="E38" t="inlineStr">
        <is>
          <t>Without an AI risk framework, risk appetite, impact assessments, third-party controls and AI security, the organisation is exposed to unmanaged AI risk, prompt injection, data leakage, model compromise and deepfake-enabled fraud.</t>
        </is>
      </c>
      <c r="H38" t="inlineStr">
        <is>
          <t>Risk &amp; Security</t>
        </is>
      </c>
      <c r="I38">
        <f>IF(B38="",0,B38*100)</f>
        <v>50</v>
      </c>
      <c r="J38" t="n">
        <v>70</v>
      </c>
    </row>
    <row r="39">
      <c r="A39" t="inlineStr">
        <is>
          <t>Training &amp; Awareness</t>
        </is>
      </c>
      <c r="B39">
        <f>IFERROR(AVERAGEIF($C$204:$C$219,A39,$E$204:$E$219),"")</f>
        <v>0.75</v>
      </c>
      <c r="C39" t="str">
        <f>IF(B39="","",IF(B39&gt;=0.9,"Adaptive",IF(B39&gt;=0.7,"Repeatable",IF(B39&gt;=0.5,"Informed","Partial"))))</f>
        <v>Repeatable</v>
      </c>
      <c r="D39" t="n">
        <v>0.7</v>
      </c>
      <c r="E39" t="inlineStr">
        <is>
          <t>Low AI literacy and awareness increase unsafe use of AI tools, unchecked or biased outputs and susceptibility to AI-enabled phishing and deepfakes.</t>
        </is>
      </c>
      <c r="H39" t="inlineStr">
        <is>
          <t>Training</t>
        </is>
      </c>
      <c r="I39">
        <f>IF(B39="",0,B39*100)</f>
        <v>75</v>
      </c>
      <c r="J39" t="n">
        <v>70</v>
      </c>
    </row>
    <row r="40">
      <c r="A40" t="inlineStr">
        <is>
          <t>Strategy &amp; Value</t>
        </is>
      </c>
      <c r="B40">
        <f>IFERROR(AVERAGEIF($C$204:$C$219,A40,$E$204:$E$219),"")</f>
        <v>0.5</v>
      </c>
      <c r="C40" t="str">
        <f>IF(B40="","",IF(B40&gt;=0.9,"Adaptive",IF(B40&gt;=0.7,"Repeatable",IF(B40&gt;=0.5,"Informed","Partial"))))</f>
        <v>Informed</v>
      </c>
      <c r="D40" t="n">
        <v>0.7</v>
      </c>
      <c r="E40" t="inlineStr">
        <is>
          <t>Without clear direction, ownership and value tracking, AI adoption is fragmented, duplicated and hard to justify.</t>
        </is>
      </c>
      <c r="H40" t="inlineStr">
        <is>
          <t>Strategy</t>
        </is>
      </c>
      <c r="I40">
        <f>IF(B40="",0,B40*100)</f>
        <v>50</v>
      </c>
      <c r="J40" t="n">
        <v>70</v>
      </c>
    </row>
    <row r="41">
      <c r="A41" t="inlineStr">
        <is>
          <t>Data &amp; Technology</t>
        </is>
      </c>
      <c r="B41">
        <f>IFERROR(AVERAGEIF($C$204:$C$219,A41,$E$204:$E$219),"")</f>
        <v>0.583333333333333</v>
      </c>
      <c r="C41" t="str">
        <f>IF(B41="","",IF(B41&gt;=0.9,"Adaptive",IF(B41&gt;=0.7,"Repeatable",IF(B41&gt;=0.5,"Informed","Partial"))))</f>
        <v>Informed</v>
      </c>
      <c r="D41" t="n">
        <v>0.7</v>
      </c>
      <c r="E41" t="inlineStr">
        <is>
          <t>Weak data governance, architecture and model validation lead to inaccurate or biased outputs, privacy breaches, undetected drift and unsustainable costs.</t>
        </is>
      </c>
      <c r="H41" t="inlineStr">
        <is>
          <t>Data &amp; Tech</t>
        </is>
      </c>
      <c r="I41">
        <f>IF(B41="",0,B41*100)</f>
        <v>58.3333333333333</v>
      </c>
      <c r="J41" t="n">
        <v>70</v>
      </c>
    </row>
    <row r="45">
      <c r="A45" t="inlineStr">
        <is>
          <t>Overall readiness</t>
        </is>
      </c>
      <c r="B45">
        <f>IF(COUNT(B37:B41)=0,"",AVERAGE(B37:B41))</f>
        <v>0.591666666666667</v>
      </c>
    </row>
    <row r="46">
      <c r="A46" t="inlineStr">
        <is>
          <t>Maturity</t>
        </is>
      </c>
      <c r="B46" t="str">
        <f>IF(B45="","",IF(B45&gt;=0.9,"Adaptive",IF(B45&gt;=0.7,"Repeatable",IF(B45&gt;=0.5,"Informed","Partial"))))</f>
        <v>Informed</v>
      </c>
    </row>
    <row r="47">
      <c r="A47" t="inlineStr">
        <is>
          <t>Strongest pillar</t>
        </is>
      </c>
      <c r="B47" t="str">
        <f>IFERROR(INDEX(A37:A41,MATCH(MAX(B37:B41),B37:B41,0)),"")</f>
        <v>Training &amp; Awareness</v>
      </c>
      <c r="C47">
        <f>IFERROR(MAX(B37:B41),"")</f>
        <v>0.75</v>
      </c>
    </row>
    <row r="48">
      <c r="A48" t="inlineStr">
        <is>
          <t>Weakest pillar</t>
        </is>
      </c>
      <c r="B48" t="str">
        <f>IFERROR(INDEX(A37:A41,MATCH(MIN(B37:B41),B37:B41,0)),"")</f>
        <v>AI Risk &amp; Security</v>
      </c>
      <c r="C48">
        <f>IFERROR(MIN(B37:B41),"")</f>
        <v>0.5</v>
      </c>
    </row>
    <row r="51">
      <c r="A51" t="inlineStr">
        <is>
          <t>Exposure matrix</t>
        </is>
      </c>
      <c r="B51" t="inlineStr">
        <is>
          <t>Adaptive</t>
        </is>
      </c>
      <c r="C51" t="inlineStr">
        <is>
          <t>Repeatable</t>
        </is>
      </c>
      <c r="D51" t="inlineStr">
        <is>
          <t>Informed</t>
        </is>
      </c>
      <c r="E51" t="inlineStr">
        <is>
          <t>Partial</t>
        </is>
      </c>
    </row>
    <row r="52">
      <c r="A52" t="inlineStr">
        <is>
          <t>Low</t>
        </is>
      </c>
      <c r="B52" t="inlineStr">
        <is>
          <t>Low</t>
        </is>
      </c>
      <c r="C52" t="inlineStr">
        <is>
          <t>Low</t>
        </is>
      </c>
      <c r="D52" t="inlineStr">
        <is>
          <t>Moderate</t>
        </is>
      </c>
      <c r="E52" t="inlineStr">
        <is>
          <t>Moderate</t>
        </is>
      </c>
    </row>
    <row r="53">
      <c r="A53" t="inlineStr">
        <is>
          <t>Medium</t>
        </is>
      </c>
      <c r="B53" t="inlineStr">
        <is>
          <t>Low</t>
        </is>
      </c>
      <c r="C53" t="inlineStr">
        <is>
          <t>Moderate</t>
        </is>
      </c>
      <c r="D53" t="inlineStr">
        <is>
          <t>Moderate</t>
        </is>
      </c>
      <c r="E53" t="inlineStr">
        <is>
          <t>High</t>
        </is>
      </c>
    </row>
    <row r="54">
      <c r="A54" t="inlineStr">
        <is>
          <t>High</t>
        </is>
      </c>
      <c r="B54" t="inlineStr">
        <is>
          <t>Moderate</t>
        </is>
      </c>
      <c r="C54" t="inlineStr">
        <is>
          <t>Moderate</t>
        </is>
      </c>
      <c r="D54" t="inlineStr">
        <is>
          <t>High</t>
        </is>
      </c>
      <c r="E54" t="inlineStr">
        <is>
          <t>Critical</t>
        </is>
      </c>
    </row>
    <row r="55">
      <c r="A55" t="inlineStr">
        <is>
          <t>Critical</t>
        </is>
      </c>
      <c r="B55" t="inlineStr">
        <is>
          <t>Moderate</t>
        </is>
      </c>
      <c r="C55" t="inlineStr">
        <is>
          <t>High</t>
        </is>
      </c>
      <c r="D55" t="inlineStr">
        <is>
          <t>Critical</t>
        </is>
      </c>
      <c r="E55" t="inlineStr">
        <is>
          <t>Critical</t>
        </is>
      </c>
    </row>
    <row r="57">
      <c r="A57" t="inlineStr">
        <is>
          <t>Exposure</t>
        </is>
      </c>
      <c r="B57" t="str">
        <f>IFERROR(INDEX($B$52:$E$55,MATCH(C32,$A$52:$A$55,0),MATCH(B46,$B$51:$E$51,0)),"")</f>
        <v>Moderate</v>
      </c>
    </row>
    <row r="58">
      <c r="A58" t="inlineStr">
        <is>
          <t>Pathway</t>
        </is>
      </c>
      <c r="B58" t="str">
        <f>IFERROR(VLOOKUP(B57,$A$60:$C$63,2,FALSE),"")</f>
        <v>PROCEED WITH CONDITIONS</v>
      </c>
      <c r="C58" t="str">
        <f>IFERROR(VLOOKUP(B57,$A$60:$C$63,3,FALSE),"")</f>
        <v>Continue AI adoption, but address the identified gaps through a time-bound remediation plan (within 90 days for priority items). Obtain SME review (risk, privacy, security) for new AI use cases.</v>
      </c>
    </row>
    <row r="60">
      <c r="A60" t="inlineStr">
        <is>
          <t>Low</t>
        </is>
      </c>
      <c r="B60" t="inlineStr">
        <is>
          <t>PROCEED - SELF-MANAGED</t>
        </is>
      </c>
      <c r="C60" t="inlineStr">
        <is>
          <t>AI capability is broadly commensurate with the organisation's AI risk profile. Maintain controls, keep the AI register current and reassess annually or on material change.</t>
        </is>
      </c>
    </row>
    <row r="61">
      <c r="A61" t="inlineStr">
        <is>
          <t>Moderate</t>
        </is>
      </c>
      <c r="B61" t="inlineStr">
        <is>
          <t>PROCEED WITH CONDITIONS</t>
        </is>
      </c>
      <c r="C61" t="inlineStr">
        <is>
          <t>Continue AI adoption, but address the identified gaps through a time-bound remediation plan (within 90 days for priority items). Obtain SME review (risk, privacy, security) for new AI use cases.</t>
        </is>
      </c>
    </row>
    <row r="62">
      <c r="A62" t="inlineStr">
        <is>
          <t>High</t>
        </is>
      </c>
      <c r="B62" t="inlineStr">
        <is>
          <t>REMEDIATE BEFORE SCALING</t>
        </is>
      </c>
      <c r="C62" t="inlineStr">
        <is>
          <t>Readiness is insufficient for the organisation's AI risk profile. Limit AI to lower-risk uses until priority gaps are closed; place AI adoption under AI committee / executive oversight.</t>
        </is>
      </c>
    </row>
    <row r="63">
      <c r="A63" t="inlineStr">
        <is>
          <t>Critical</t>
        </is>
      </c>
      <c r="B63" t="inlineStr">
        <is>
          <t>PAUSE HIGH-IMPACT AI &amp; ESCALATE</t>
        </is>
      </c>
      <c r="C63" t="inlineStr">
        <is>
          <t>Significant AI exposure with immature controls. Escalate to the board / executive committee; do not deploy or expand high-impact AI until critical controls are in place.</t>
        </is>
      </c>
    </row>
    <row r="66">
      <c r="A66" t="inlineStr">
        <is>
          <t>Partial</t>
        </is>
      </c>
      <c r="B66" t="inlineStr">
        <is>
          <t>Foundational capabilities are missing or ad hoc; AI risk is largely unmanaged.</t>
        </is>
      </c>
    </row>
    <row r="67">
      <c r="A67" t="inlineStr">
        <is>
          <t>Informed</t>
        </is>
      </c>
      <c r="B67" t="inlineStr">
        <is>
          <t>Awareness and some defined practices exist, but they are not consistently implemented.</t>
        </is>
      </c>
    </row>
    <row r="68">
      <c r="A68" t="inlineStr">
        <is>
          <t>Repeatable</t>
        </is>
      </c>
      <c r="B68" t="inlineStr">
        <is>
          <t>Practices are defined and consistently applied across most of the organisation.</t>
        </is>
      </c>
    </row>
    <row r="69">
      <c r="A69" t="inlineStr">
        <is>
          <t>Adaptive</t>
        </is>
      </c>
      <c r="B69" t="inlineStr">
        <is>
          <t>Practices are optimised, measured and continuously improved.</t>
        </is>
      </c>
    </row>
    <row r="70">
      <c r="A70" t="inlineStr">
        <is>
          <t>Maturity description</t>
        </is>
      </c>
      <c r="B70" t="str">
        <f>IFERROR(VLOOKUP(B46,$A$66:$B$69,2,FALSE),"")</f>
        <v>Awareness and some defined practices exist, but they are not consistently implemented.</v>
      </c>
    </row>
    <row r="72">
      <c r="A72" t="inlineStr">
        <is>
          <t>Narrative</t>
        </is>
      </c>
      <c r="B72" t="str">
        <f>IF(B21=0,"The assessment is incomplete ("&amp;B20&amp;" of 20 questions answered). Complete all questions in the Assessment sheet to generate the executive summary.","Based on the responses provided, "&amp;IF('1. Profile'!$C$4="","the organisation",'1. Profile'!$C$4)&amp;" has an overall AI readiness score of "&amp;TEXT(B45,"0%")&amp;", corresponding to the "&amp;CHAR(39)&amp;B46&amp;CHAR(39)&amp;" maturity level: "&amp;LOWER(LEFT(B70,1))&amp;MID(B70,2,300)&amp;" Its AI use profile indicates a "&amp;UPPER(C32)&amp;" inherent risk tier ("&amp;TEXT(C30,"0%")&amp;" of maximum inherent risk), resulting in an overall AI risk exposure rating of "&amp;UPPER(B57)&amp;". The strongest area is "&amp;B47&amp;" ("&amp;TEXT(C47,"0%")&amp;") and the area requiring most attention is "&amp;B48&amp;" ("&amp;TEXT(C48,"0%")&amp;"). Recommended pathway: "&amp;B58&amp;". "&amp;C58)</f>
        <v>Based on the responses provided, Grant Thornton Bahrain has an overall AI readiness score of 59%, corresponding to the 'Informed' maturity level: awareness and some defined practices exist, but they are not consistently implemented. Its AI use profile indicates a MEDIUM inherent risk tier (43% of maximum inherent risk), resulting in an overall AI risk exposure rating of MODERATE. The strongest area is Training &amp; Awareness (75%) and the area requiring most attention is AI Risk &amp; Security (50%). Recommended pathway: PROCEED WITH CONDITIONS. Continue AI adoption, but address the identified gaps through a time-bound remediation plan (within 90 days for priority items). Obtain SME review (risk, privacy, security) for new AI use cases.</v>
      </c>
    </row>
    <row r="75">
      <c r="A75" t="inlineStr">
        <is>
          <t>AIAF principle coverage</t>
        </is>
      </c>
    </row>
    <row r="76">
      <c r="A76" t="inlineStr">
        <is>
          <t>Fairness</t>
        </is>
      </c>
      <c r="B76">
        <f>IFERROR(AVERAGE(E206,E217,E219),"")</f>
        <v>0.583333333333333</v>
      </c>
      <c r="C76" t="inlineStr">
        <is>
          <t>Q7, Q18, Q20</t>
        </is>
      </c>
      <c r="D76" t="str">
        <f>IF(B76="","",IF(B76&gt;=0.75,"Well addressed",IF(B76&gt;=0.5,"Partially addressed","Needs attention")))</f>
        <v>Partially addressed</v>
      </c>
    </row>
    <row r="77">
      <c r="A77" t="inlineStr">
        <is>
          <t>Privacy &amp; Security</t>
        </is>
      </c>
      <c r="B77">
        <f>IFERROR(AVERAGE(E205,E211,E212,E213,E217),"")</f>
        <v>0.65</v>
      </c>
      <c r="C77" t="inlineStr">
        <is>
          <t>Q6, Q12, Q13, Q14, Q18</t>
        </is>
      </c>
      <c r="D77" t="str">
        <f>IF(B77="","",IF(B77&gt;=0.75,"Well addressed",IF(B77&gt;=0.5,"Partially addressed","Needs attention")))</f>
        <v>Partially addressed</v>
      </c>
    </row>
    <row r="78">
      <c r="A78" t="inlineStr">
        <is>
          <t>Transparency &amp; Explainability</t>
        </is>
      </c>
      <c r="B78">
        <f>IFERROR(AVERAGE(E206,E207),"")</f>
        <v>0.625</v>
      </c>
      <c r="C78" t="inlineStr">
        <is>
          <t>Q7, Q8</t>
        </is>
      </c>
      <c r="D78" t="str">
        <f>IF(B78="","",IF(B78&gt;=0.75,"Well addressed",IF(B78&gt;=0.5,"Partially addressed","Needs attention")))</f>
        <v>Partially addressed</v>
      </c>
    </row>
    <row r="79">
      <c r="A79" t="inlineStr">
        <is>
          <t>Accountability</t>
        </is>
      </c>
      <c r="B79">
        <f>IFERROR(AVERAGE(E204,E205,E207,E208,E209,E210,E211,E215),"")</f>
        <v>0.53125</v>
      </c>
      <c r="C79" t="inlineStr">
        <is>
          <t>Q5, Q6, Q8, Q9, Q10, Q11, Q12, Q16</t>
        </is>
      </c>
      <c r="D79" t="str">
        <f>IF(B79="","",IF(B79&gt;=0.75,"Well addressed",IF(B79&gt;=0.5,"Partially addressed","Needs attention")))</f>
        <v>Partially addressed</v>
      </c>
    </row>
    <row r="80">
      <c r="A80" t="inlineStr">
        <is>
          <t>Human, Social &amp; Environmental Wellbeing</t>
        </is>
      </c>
      <c r="B80">
        <f>IFERROR(AVERAGE(E210,E216),"")</f>
        <v>0.5</v>
      </c>
      <c r="C80" t="inlineStr">
        <is>
          <t>Q11, Q17</t>
        </is>
      </c>
      <c r="D80" t="str">
        <f>IF(B80="","",IF(B80&gt;=0.75,"Well addressed",IF(B80&gt;=0.5,"Partially addressed","Needs attention")))</f>
        <v>Partially addressed</v>
      </c>
    </row>
    <row r="81">
      <c r="A81" t="inlineStr">
        <is>
          <t>Human-Centred Values</t>
        </is>
      </c>
      <c r="B81">
        <f>IFERROR(AVERAGE(E206,E214),"")</f>
        <v>0.625</v>
      </c>
      <c r="C81" t="inlineStr">
        <is>
          <t>Q7, Q15</t>
        </is>
      </c>
      <c r="D81" t="str">
        <f>IF(B81="","",IF(B81&gt;=0.75,"Well addressed",IF(B81&gt;=0.5,"Partially addressed","Needs attention")))</f>
        <v>Partially addressed</v>
      </c>
    </row>
    <row r="82">
      <c r="A82" t="inlineStr">
        <is>
          <t>Reliability &amp; Safety</t>
        </is>
      </c>
      <c r="B82">
        <f>IFERROR(AVERAGE(E207,E208,E212,E218,E219),"")</f>
        <v>0.5</v>
      </c>
      <c r="C82" t="inlineStr">
        <is>
          <t>Q8, Q9, Q13, Q19, Q20</t>
        </is>
      </c>
      <c r="D82" t="str">
        <f>IF(B82="","",IF(B82&gt;=0.75,"Well addressed",IF(B82&gt;=0.5,"Partially addressed","Needs attention")))</f>
        <v>Partially addressed</v>
      </c>
    </row>
    <row r="83">
      <c r="A83" t="inlineStr">
        <is>
          <t>Contestability</t>
        </is>
      </c>
      <c r="B83">
        <f>IFERROR(AVERAGE(E206,E207),"")</f>
        <v>0.625</v>
      </c>
      <c r="C83" t="inlineStr">
        <is>
          <t>Q7, Q8</t>
        </is>
      </c>
      <c r="D83" t="str">
        <f>IF(B83="","",IF(B83&gt;=0.75,"Well addressed",IF(B83&gt;=0.5,"Partially addressed","Needs attention")))</f>
        <v>Partially addressed</v>
      </c>
    </row>
    <row r="86">
      <c r="A86" t="inlineStr">
        <is>
          <t>Rank</t>
        </is>
      </c>
      <c r="B86" t="inlineStr">
        <is>
          <t>Priority row</t>
        </is>
      </c>
      <c r="C86" t="inlineStr">
        <is>
          <t>Roadmap row</t>
        </is>
      </c>
    </row>
    <row r="87">
      <c r="A87" t="n">
        <v>1</v>
      </c>
      <c r="B87">
        <f>IFERROR(IF(LARGE($H$204:$H$219,A87)&lt;0.5,"",MATCH(LARGE($H$204:$H$219,A87),$H$204:$H$219,0)+203),"")</f>
        <v>208</v>
      </c>
      <c r="C87">
        <f>IFERROR(IF(LARGE($K$204:$K$219,A87)&lt;1000,"",IF(INDEX($J$204:$J$219,MATCH(LARGE($K$204:$K$219,A87),$K$204:$K$219,0))&lt;2,"",MATCH(LARGE($K$204:$K$219,A87),$K$204:$K$219,0)+203)),"")</f>
        <v>208</v>
      </c>
    </row>
    <row r="88">
      <c r="A88" t="n">
        <v>2</v>
      </c>
      <c r="B88">
        <f>IFERROR(IF(LARGE($H$204:$H$219,A88)&lt;0.5,"",MATCH(LARGE($H$204:$H$219,A88),$H$204:$H$219,0)+203),"")</f>
        <v>204</v>
      </c>
      <c r="C88">
        <f>IFERROR(IF(LARGE($K$204:$K$219,A88)&lt;1000,"",IF(INDEX($J$204:$J$219,MATCH(LARGE($K$204:$K$219,A88),$K$204:$K$219,0))&lt;2,"",MATCH(LARGE($K$204:$K$219,A88),$K$204:$K$219,0)+203)),"")</f>
        <v>204</v>
      </c>
    </row>
    <row r="89">
      <c r="A89" t="n">
        <v>3</v>
      </c>
      <c r="B89">
        <f>IFERROR(IF(LARGE($H$204:$H$219,A89)&lt;0.5,"",MATCH(LARGE($H$204:$H$219,A89),$H$204:$H$219,0)+203),"")</f>
        <v>209</v>
      </c>
      <c r="C89">
        <f>IFERROR(IF(LARGE($K$204:$K$219,A89)&lt;1000,"",IF(INDEX($J$204:$J$219,MATCH(LARGE($K$204:$K$219,A89),$K$204:$K$219,0))&lt;2,"",MATCH(LARGE($K$204:$K$219,A89),$K$204:$K$219,0)+203)),"")</f>
        <v>209</v>
      </c>
    </row>
    <row r="90">
      <c r="A90" t="n">
        <v>4</v>
      </c>
      <c r="B90">
        <f>IFERROR(IF(LARGE($H$204:$H$219,A90)&lt;0.5,"",MATCH(LARGE($H$204:$H$219,A90),$H$204:$H$219,0)+203),"")</f>
        <v>210</v>
      </c>
      <c r="C90">
        <f>IFERROR(IF(LARGE($K$204:$K$219,A90)&lt;1000,"",IF(INDEX($J$204:$J$219,MATCH(LARGE($K$204:$K$219,A90),$K$204:$K$219,0))&lt;2,"",MATCH(LARGE($K$204:$K$219,A90),$K$204:$K$219,0)+203)),"")</f>
        <v>210</v>
      </c>
    </row>
    <row r="91">
      <c r="A91" t="n">
        <v>5</v>
      </c>
      <c r="B91">
        <f>IFERROR(IF(LARGE($H$204:$H$219,A91)&lt;0.5,"",MATCH(LARGE($H$204:$H$219,A91),$H$204:$H$219,0)+203),"")</f>
        <v>211</v>
      </c>
      <c r="C91">
        <f>IFERROR(IF(LARGE($K$204:$K$219,A91)&lt;1000,"",IF(INDEX($J$204:$J$219,MATCH(LARGE($K$204:$K$219,A91),$K$204:$K$219,0))&lt;2,"",MATCH(LARGE($K$204:$K$219,A91),$K$204:$K$219,0)+203)),"")</f>
        <v>211</v>
      </c>
    </row>
    <row r="92">
      <c r="A92" t="n">
        <v>6</v>
      </c>
      <c r="B92">
        <f>IFERROR(IF(LARGE($H$204:$H$219,A92)&lt;0.5,"",MATCH(LARGE($H$204:$H$219,A92),$H$204:$H$219,0)+203),"")</f>
        <v>212</v>
      </c>
      <c r="C92">
        <f>IFERROR(IF(LARGE($K$204:$K$219,A92)&lt;1000,"",IF(INDEX($J$204:$J$219,MATCH(LARGE($K$204:$K$219,A92),$K$204:$K$219,0))&lt;2,"",MATCH(LARGE($K$204:$K$219,A92),$K$204:$K$219,0)+203)),"")</f>
        <v>212</v>
      </c>
    </row>
    <row r="93">
      <c r="A93" t="n">
        <v>7</v>
      </c>
      <c r="B93">
        <f>IFERROR(IF(LARGE($H$204:$H$219,A93)&lt;0.5,"",MATCH(LARGE($H$204:$H$219,A93),$H$204:$H$219,0)+203),"")</f>
        <v>206</v>
      </c>
      <c r="C93">
        <f>IFERROR(IF(LARGE($K$204:$K$219,A93)&lt;1000,"",IF(INDEX($J$204:$J$219,MATCH(LARGE($K$204:$K$219,A93),$K$204:$K$219,0))&lt;2,"",MATCH(LARGE($K$204:$K$219,A93),$K$204:$K$219,0)+203)),"")</f>
        <v>206</v>
      </c>
    </row>
    <row r="94">
      <c r="A94" t="n">
        <v>8</v>
      </c>
      <c r="B94">
        <f>IFERROR(IF(LARGE($H$204:$H$219,A94)&lt;0.5,"",MATCH(LARGE($H$204:$H$219,A94),$H$204:$H$219,0)+203),"")</f>
        <v>215</v>
      </c>
      <c r="C94">
        <f>IFERROR(IF(LARGE($K$204:$K$219,A94)&lt;1000,"",IF(INDEX($J$204:$J$219,MATCH(LARGE($K$204:$K$219,A94),$K$204:$K$219,0))&lt;2,"",MATCH(LARGE($K$204:$K$219,A94),$K$204:$K$219,0)+203)),"")</f>
        <v>215</v>
      </c>
    </row>
    <row r="95">
      <c r="A95" t="n">
        <v>9</v>
      </c>
      <c r="B95">
        <f>IFERROR(IF(LARGE($H$204:$H$219,A95)&lt;0.5,"",MATCH(LARGE($H$204:$H$219,A95),$H$204:$H$219,0)+203),"")</f>
        <v>216</v>
      </c>
      <c r="C95">
        <f>IFERROR(IF(LARGE($K$204:$K$219,A95)&lt;1000,"",IF(INDEX($J$204:$J$219,MATCH(LARGE($K$204:$K$219,A95),$K$204:$K$219,0))&lt;2,"",MATCH(LARGE($K$204:$K$219,A95),$K$204:$K$219,0)+203)),"")</f>
        <v>216</v>
      </c>
    </row>
    <row r="96">
      <c r="A96" t="n">
        <v>10</v>
      </c>
      <c r="B96">
        <f>IFERROR(IF(LARGE($H$204:$H$219,A96)&lt;0.5,"",MATCH(LARGE($H$204:$H$219,A96),$H$204:$H$219,0)+203),"")</f>
        <v>218</v>
      </c>
      <c r="C96">
        <f>IFERROR(IF(LARGE($K$204:$K$219,A96)&lt;1000,"",IF(INDEX($J$204:$J$219,MATCH(LARGE($K$204:$K$219,A96),$K$204:$K$219,0))&lt;2,"",MATCH(LARGE($K$204:$K$219,A96),$K$204:$K$219,0)+203)),"")</f>
        <v>218</v>
      </c>
    </row>
    <row r="97">
      <c r="A97" t="n">
        <v>11</v>
      </c>
      <c r="B97">
        <f>IFERROR(IF(LARGE($H$204:$H$219,A97)&lt;0.5,"",MATCH(LARGE($H$204:$H$219,A97),$H$204:$H$219,0)+203),"")</f>
        <v>219</v>
      </c>
      <c r="C97">
        <f>IFERROR(IF(LARGE($K$204:$K$219,A97)&lt;1000,"",IF(INDEX($J$204:$J$219,MATCH(LARGE($K$204:$K$219,A97),$K$204:$K$219,0))&lt;2,"",MATCH(LARGE($K$204:$K$219,A97),$K$204:$K$219,0)+203)),"")</f>
        <v>219</v>
      </c>
    </row>
    <row r="98">
      <c r="A98" t="n">
        <v>12</v>
      </c>
      <c r="B98">
        <f>IFERROR(IF(LARGE($H$204:$H$219,A98)&lt;0.5,"",MATCH(LARGE($H$204:$H$219,A98),$H$204:$H$219,0)+203),"")</f>
        <v>205</v>
      </c>
      <c r="C98">
        <f>IFERROR(IF(LARGE($K$204:$K$219,A98)&lt;1000,"",IF(INDEX($J$204:$J$219,MATCH(LARGE($K$204:$K$219,A98),$K$204:$K$219,0))&lt;2,"",MATCH(LARGE($K$204:$K$219,A98),$K$204:$K$219,0)+203)),"")</f>
        <v>205</v>
      </c>
    </row>
    <row r="99">
      <c r="A99" t="n">
        <v>13</v>
      </c>
      <c r="B99">
        <f>IFERROR(IF(LARGE($H$204:$H$219,A99)&lt;0.5,"",MATCH(LARGE($H$204:$H$219,A99),$H$204:$H$219,0)+203),"")</f>
        <v>207</v>
      </c>
      <c r="C99">
        <f>IFERROR(IF(LARGE($K$204:$K$219,A99)&lt;1000,"",IF(INDEX($J$204:$J$219,MATCH(LARGE($K$204:$K$219,A99),$K$204:$K$219,0))&lt;2,"",MATCH(LARGE($K$204:$K$219,A99),$K$204:$K$219,0)+203)),"")</f>
        <v>207</v>
      </c>
    </row>
    <row r="100">
      <c r="A100" t="n">
        <v>14</v>
      </c>
      <c r="B100">
        <f>IFERROR(IF(LARGE($H$204:$H$219,A100)&lt;0.5,"",MATCH(LARGE($H$204:$H$219,A100),$H$204:$H$219,0)+203),"")</f>
        <v>214</v>
      </c>
      <c r="C100">
        <f>IFERROR(IF(LARGE($K$204:$K$219,A100)&lt;1000,"",IF(INDEX($J$204:$J$219,MATCH(LARGE($K$204:$K$219,A100),$K$204:$K$219,0))&lt;2,"",MATCH(LARGE($K$204:$K$219,A100),$K$204:$K$219,0)+203)),"")</f>
        <v>214</v>
      </c>
    </row>
    <row r="101">
      <c r="A101" t="n">
        <v>15</v>
      </c>
      <c r="B101">
        <f>IFERROR(IF(LARGE($H$204:$H$219,A101)&lt;0.5,"",MATCH(LARGE($H$204:$H$219,A101),$H$204:$H$219,0)+203),"")</f>
        <v>217</v>
      </c>
      <c r="C101">
        <f>IFERROR(IF(LARGE($K$204:$K$219,A101)&lt;1000,"",IF(INDEX($J$204:$J$219,MATCH(LARGE($K$204:$K$219,A101),$K$204:$K$219,0))&lt;2,"",MATCH(LARGE($K$204:$K$219,A101),$K$204:$K$219,0)+203)),"")</f>
        <v>217</v>
      </c>
    </row>
    <row r="102">
      <c r="A102" t="n">
        <v>16</v>
      </c>
      <c r="B102">
        <f>IFERROR(IF(LARGE($H$204:$H$219,A102)&lt;0.5,"",MATCH(LARGE($H$204:$H$219,A102),$H$204:$H$219,0)+203),"")</f>
        <v>213</v>
      </c>
      <c r="C102">
        <f>IFERROR(IF(LARGE($K$204:$K$219,A102)&lt;1000,"",IF(INDEX($J$204:$J$219,MATCH(LARGE($K$204:$K$219,A102),$K$204:$K$219,0))&lt;2,"",MATCH(LARGE($K$204:$K$219,A102),$K$204:$K$219,0)+203)),"")</f>
        <v>213</v>
      </c>
    </row>
    <row r="120">
      <c r="A120" t="inlineStr">
        <is>
          <t>AI Governance, Risk &amp; Compliance</t>
        </is>
      </c>
      <c r="B120" t="inlineStr">
        <is>
          <t>AI Governance</t>
        </is>
      </c>
      <c r="C120" t="inlineStr">
        <is>
          <t>AI governance structure, policies and acceptable use, AI register, guardrails and human-oversight standards, RCM-based compliance reviews, ISO/IEC 42001 readiness and internal audit.</t>
        </is>
      </c>
      <c r="D120">
        <f>IFERROR(B37,"")</f>
        <v>0.625</v>
      </c>
      <c r="E120" t="str">
        <f>IF(D120="","",IF(D120&lt;0.5,"Priority",IF(D120&lt;0.7,"Advised",IF(D120&lt;0.9,"Optional","Sustain"))))</f>
        <v>Advised</v>
      </c>
    </row>
    <row r="121">
      <c r="A121" t="inlineStr">
        <is>
          <t>AI Risk &amp; Cyber Resilience</t>
        </is>
      </c>
      <c r="B121" t="inlineStr">
        <is>
          <t>AI Risk &amp; Security</t>
        </is>
      </c>
      <c r="C121" t="inlineStr">
        <is>
          <t>AI risk management framework and risk appetite, use-case risk &amp; impact assessments, third-party AI risk, AI security audits (GT AI Security &amp; Agent Audit Checklist), AI red teaming, deepfake-resilient processes.</t>
        </is>
      </c>
      <c r="D121">
        <f>IFERROR(B38,"")</f>
        <v>0.5</v>
      </c>
      <c r="E121" t="str">
        <f>IF(D121="","",IF(D121&lt;0.5,"Priority",IF(D121&lt;0.7,"Advised",IF(D121&lt;0.9,"Optional","Sustain"))))</f>
        <v>Advised</v>
      </c>
    </row>
    <row r="122">
      <c r="A122" t="inlineStr">
        <is>
          <t>Training &amp; Awareness</t>
        </is>
      </c>
      <c r="B122" t="inlineStr">
        <is>
          <t>Training &amp; Awareness</t>
        </is>
      </c>
      <c r="C122" t="inlineStr">
        <is>
          <t>AI literacy programmes (EU AI Act Art. 4-aligned), role-based pathways, immersive labs, deepfake &amp; AI-phishing simulations, board AI governance sessions.</t>
        </is>
      </c>
      <c r="D122">
        <f>IFERROR(B39,"")</f>
        <v>0.75</v>
      </c>
      <c r="E122" t="str">
        <f>IF(D122="","",IF(D122&lt;0.5,"Priority",IF(D122&lt;0.7,"Advised",IF(D122&lt;0.9,"Optional","Sustain"))))</f>
        <v>Optional</v>
      </c>
    </row>
    <row r="123">
      <c r="A123" t="inlineStr">
        <is>
          <t>AI Strategy &amp; Roadmap</t>
        </is>
      </c>
      <c r="B123" t="inlineStr">
        <is>
          <t>Strategy &amp; Value</t>
        </is>
      </c>
      <c r="C123" t="inlineStr">
        <is>
          <t>AI Opportunity Discovery (where AI and automation fit), AI strategy, use-case prioritisation, value-realisation KPIs and phased roadmap.</t>
        </is>
      </c>
      <c r="D123">
        <f>IFERROR(B40,"")</f>
        <v>0.5</v>
      </c>
      <c r="E123" t="str">
        <f>IF(D123="","",IF(D123&lt;0.5,"Priority",IF(D123&lt;0.7,"Advised",IF(D123&lt;0.9,"Optional","Sustain"))))</f>
        <v>Advised</v>
      </c>
    </row>
    <row r="124">
      <c r="A124" t="inlineStr">
        <is>
          <t>AI-Driven Automation &amp; Data</t>
        </is>
      </c>
      <c r="B124" t="inlineStr">
        <is>
          <t>Data &amp; Technology</t>
        </is>
      </c>
      <c r="C124" t="inlineStr">
        <is>
          <t>Technology evaluation, data readiness, reference architecture, model validation and integration. GT AI apps in preparation: AI-powered BCP tool and AI-powered Financial Statements tool.</t>
        </is>
      </c>
      <c r="D124">
        <f>IFERROR(B41,"")</f>
        <v>0.583333333333333</v>
      </c>
      <c r="E124" t="str">
        <f>IF(D124="","",IF(D124&lt;0.5,"Priority",IF(D124&lt;0.7,"Advised",IF(D124&lt;0.9,"Optional","Sustain"))))</f>
        <v>Advised</v>
      </c>
    </row>
    <row r="170">
      <c r="A170" t="inlineStr">
        <is>
          <t>Adoption stage (from A1)</t>
        </is>
      </c>
      <c r="B170">
        <f>IF(B26="","",CHOOSE(B26+1,1,2,3,4,4))</f>
        <v>3</v>
      </c>
    </row>
    <row r="171">
      <c r="A171" t="inlineStr">
        <is>
          <t>Governance-supported stage</t>
        </is>
      </c>
      <c r="B171">
        <f>IF(B45="","",IF(B45&gt;=0.9,5,IF(B45&gt;=0.7,4,IF(B45&gt;=0.5,3,IF(B45&gt;=0.35,2,1)))))</f>
        <v>3</v>
      </c>
    </row>
    <row r="172">
      <c r="A172" t="inlineStr">
        <is>
          <t>Curve position</t>
        </is>
      </c>
      <c r="B172">
        <f>IF(OR(B170="",B171=""),"",IF(AND(B171=5,B170&gt;=3),5,B170))</f>
        <v>3</v>
      </c>
    </row>
    <row r="173">
      <c r="A173" t="inlineStr">
        <is>
          <t>Position label</t>
        </is>
      </c>
      <c r="B173" t="str">
        <f>IF(B172="","","Stage "&amp;B172&amp;" - "&amp;INDEX($B$176:$B$180,B172))</f>
        <v>Stage 3 - Controlled adoption</v>
      </c>
    </row>
    <row r="174">
      <c r="A174" t="inlineStr">
        <is>
          <t>Curve message</t>
        </is>
      </c>
      <c r="B174" t="str">
        <f>IF(B172="","",IF(B172=5,"The organisation has reached governance maturity: sustain board oversight, independent assurance and continuous improvement as AI use grows.",IF(B170&gt;B171,"Adoption is ahead of governance: AI use is at Stage "&amp;B170&amp;" ("&amp;INDEX($B$176:$B$180,B170)&amp;") but governance currently supports Stage "&amp;B171&amp;" ("&amp;INDEX($B$176:$B$180,B171)&amp;"). Before scaling further, put in place "&amp;INDEX($D$176:$D$180,B170)&amp;", starting with "&amp;B48&amp;".",IF(B170=B171,"Governance is keeping pace with adoption at Stage "&amp;B170&amp;" ("&amp;INDEX($B$176:$B$180,B170)&amp;"). To move to Stage "&amp;(B170+1)&amp;" ("&amp;INDEX($B$176:$B$180,MIN(5,B170+1))&amp;"), put in place "&amp;INDEX($D$176:$D$180,B170+1)&amp;".","Governance foundations are ahead of current adoption (Stage "&amp;B171&amp;" vs Stage "&amp;B170&amp;"): the organisation can expand AI use with confidence. Next focus: "&amp;INDEX($D$176:$D$180,B170+1)&amp;"."))))</f>
        <v>Governance is keeping pace with adoption at Stage 3 (Controlled adoption). To move to Stage 4 (Enterprise enablement), put in place an AI committee, monitoring with KRIs, secure architecture and model validation.</v>
      </c>
    </row>
    <row r="176">
      <c r="A176" t="n">
        <v>1</v>
      </c>
      <c r="B176" t="inlineStr">
        <is>
          <t>Awareness</t>
        </is>
      </c>
      <c r="C176" t="inlineStr">
        <is>
          <t>Exploring AI through pilots and experiments; no approved tools yet</t>
        </is>
      </c>
      <c r="D176" t="inlineStr">
        <is>
          <t>an acceptable-use policy, AI literacy and a ban on confidential data in public AI tools</t>
        </is>
      </c>
    </row>
    <row r="177">
      <c r="A177" t="n">
        <v>2</v>
      </c>
      <c r="B177" t="inlineStr">
        <is>
          <t>Use-case discovery</t>
        </is>
      </c>
      <c r="C177" t="inlineStr">
        <is>
          <t>Early use of AI tools; use cases being identified and tested</t>
        </is>
      </c>
      <c r="D177" t="inlineStr">
        <is>
          <t>an AI inventory, a use-case intake process and a named owner for every AI tool</t>
        </is>
      </c>
    </row>
    <row r="178">
      <c r="A178" t="n">
        <v>3</v>
      </c>
      <c r="B178" t="inlineStr">
        <is>
          <t>Controlled adoption</t>
        </is>
      </c>
      <c r="C178" t="inlineStr">
        <is>
          <t>Approved AI tools in use across teams under defined controls</t>
        </is>
      </c>
      <c r="D178" t="inlineStr">
        <is>
          <t>risk assessment by tier, human oversight and vendor due diligence</t>
        </is>
      </c>
    </row>
    <row r="179">
      <c r="A179" t="n">
        <v>4</v>
      </c>
      <c r="B179" t="inlineStr">
        <is>
          <t>Enterprise enablement</t>
        </is>
      </c>
      <c r="C179" t="inlineStr">
        <is>
          <t>AI embedded in core processes, models or agents at scale</t>
        </is>
      </c>
      <c r="D179" t="inlineStr">
        <is>
          <t>an AI committee, monitoring with KRIs, secure architecture and model validation</t>
        </is>
      </c>
    </row>
    <row r="180">
      <c r="A180" t="n">
        <v>5</v>
      </c>
      <c r="B180" t="inlineStr">
        <is>
          <t>Governance maturity</t>
        </is>
      </c>
      <c r="C180" t="inlineStr">
        <is>
          <t>Oversight, assurance and controls embedded across the AI lifecycle</t>
        </is>
      </c>
      <c r="D180" t="inlineStr">
        <is>
          <t>board oversight, independent assurance and an ISO/IEC 42001-aligned management system</t>
        </is>
      </c>
    </row>
    <row r="199">
      <c r="A199" t="inlineStr">
        <is>
          <t>QID</t>
        </is>
      </c>
      <c r="B199" t="inlineStr">
        <is>
          <t>Topic</t>
        </is>
      </c>
      <c r="C199" t="inlineStr">
        <is>
          <t>Pillar</t>
        </is>
      </c>
      <c r="D199" t="inlineStr">
        <is>
          <t>Answered</t>
        </is>
      </c>
      <c r="E199" t="inlineStr">
        <is>
          <t>Value</t>
        </is>
      </c>
      <c r="F199" t="inlineStr">
        <is>
          <t>Weight/Mult</t>
        </is>
      </c>
      <c r="G199" t="inlineStr">
        <is>
          <t>Gap</t>
        </is>
      </c>
      <c r="H199" t="inlineStr">
        <is>
          <t>Priority</t>
        </is>
      </c>
      <c r="I199" t="inlineStr">
        <is>
          <t>Horizon</t>
        </is>
      </c>
      <c r="J199" t="inlineStr">
        <is>
          <t>Horizon rank</t>
        </is>
      </c>
      <c r="K199" t="inlineStr">
        <is>
          <t>Sort key</t>
        </is>
      </c>
      <c r="L199" t="inlineStr">
        <is>
          <t>Recommendation</t>
        </is>
      </c>
      <c r="M199" t="inlineStr">
        <is>
          <t>RCM</t>
        </is>
      </c>
      <c r="N199" t="inlineStr">
        <is>
          <t>Type</t>
        </is>
      </c>
      <c r="O199" t="inlineStr">
        <is>
          <t>Response</t>
        </is>
      </c>
      <c r="P199" t="inlineStr">
        <is>
          <t>Status</t>
        </is>
      </c>
      <c r="Q199" t="inlineStr">
        <is>
          <t>Risk</t>
        </is>
      </c>
    </row>
    <row r="200">
      <c r="A200" t="inlineStr">
        <is>
          <t>A1</t>
        </is>
      </c>
      <c r="B200" t="inlineStr">
        <is>
          <t>AI use profile</t>
        </is>
      </c>
      <c r="C200" t="inlineStr">
        <is>
          <t>Context</t>
        </is>
      </c>
      <c r="D200">
        <f>IF('2. Assessment'!L10="",0,1)</f>
        <v>1</v>
      </c>
      <c r="E200">
        <f>IF(D200=0,"",'2. Assessment'!F10)</f>
        <v>2</v>
      </c>
      <c r="O200" t="str">
        <f>'2. Assessment'!E10</f>
        <v>Approved enterprise GenAI tools and AI features embedded in business software across teams</v>
      </c>
      <c r="P200" t="str">
        <f>'2. Assessment'!G10</f>
        <v>Medium</v>
      </c>
    </row>
    <row r="201">
      <c r="A201" t="inlineStr">
        <is>
          <t>A2</t>
        </is>
      </c>
      <c r="B201" t="inlineStr">
        <is>
          <t>Decision impact</t>
        </is>
      </c>
      <c r="C201" t="inlineStr">
        <is>
          <t>Context</t>
        </is>
      </c>
      <c r="D201">
        <f>IF('2. Assessment'!L11="",0,1)</f>
        <v>1</v>
      </c>
      <c r="E201">
        <f>IF(D201=0,"",'2. Assessment'!F11)</f>
        <v>2</v>
      </c>
      <c r="O201" t="str">
        <f>'2. Assessment'!E11</f>
        <v>Customer- or client-facing outputs with limited individual impact (e.g., FAQ chatbots, marketing content)</v>
      </c>
      <c r="P201" t="str">
        <f>'2. Assessment'!G11</f>
        <v>Medium</v>
      </c>
    </row>
    <row r="202">
      <c r="A202" t="inlineStr">
        <is>
          <t>A3</t>
        </is>
      </c>
      <c r="B202" t="inlineStr">
        <is>
          <t>Data sensitivity</t>
        </is>
      </c>
      <c r="C202" t="inlineStr">
        <is>
          <t>Context</t>
        </is>
      </c>
      <c r="D202">
        <f>IF('2. Assessment'!L12="",0,1)</f>
        <v>1</v>
      </c>
      <c r="E202">
        <f>IF(D202=0,"",'2. Assessment'!F12)</f>
        <v>2</v>
      </c>
      <c r="O202" t="str">
        <f>'2. Assessment'!E12</f>
        <v>Confidential business or client information</v>
      </c>
      <c r="P202" t="str">
        <f>'2. Assessment'!G12</f>
        <v>Medium</v>
      </c>
    </row>
    <row r="203">
      <c r="A203" t="inlineStr">
        <is>
          <t>A4</t>
        </is>
      </c>
      <c r="B203" t="inlineStr">
        <is>
          <t>Oversight &amp; reversibility</t>
        </is>
      </c>
      <c r="C203" t="inlineStr">
        <is>
          <t>Context</t>
        </is>
      </c>
      <c r="D203">
        <f>IF('2. Assessment'!L13="",0,1)</f>
        <v>1</v>
      </c>
      <c r="E203">
        <f>IF(D203=0,"",'2. Assessment'!F13)</f>
        <v>1</v>
      </c>
      <c r="O203" t="str">
        <f>'2. Assessment'!E13</f>
        <v>A qualified human reviews and approves every AI output before it is used</v>
      </c>
      <c r="P203" t="str">
        <f>'2. Assessment'!G13</f>
        <v>Low</v>
      </c>
    </row>
    <row r="204">
      <c r="A204" t="inlineStr">
        <is>
          <t>Q5</t>
        </is>
      </c>
      <c r="B204" t="inlineStr">
        <is>
          <t>AI governance structure &amp; accountability</t>
        </is>
      </c>
      <c r="C204" t="inlineStr">
        <is>
          <t>AI Governance</t>
        </is>
      </c>
      <c r="D204">
        <f>IF('2. Assessment'!L15="",0,1)</f>
        <v>1</v>
      </c>
      <c r="E204">
        <f>IF(D204=0,"",'2. Assessment'!F15)</f>
        <v>0.5</v>
      </c>
      <c r="F204">
        <f>1.5+IF(AND(OR(Calc!$C$32="High",Calc!$C$32="Critical"),OR(A204="Q7",A204="Q9",A204="Q11",A204="Q19")),0.5,0)</f>
        <v>1.5</v>
      </c>
      <c r="G204">
        <f>IF(E204="","",1-E204)</f>
        <v>0.5</v>
      </c>
      <c r="H204">
        <f>IF(E204="",-1,G204*F204*100+(20-4)/100)</f>
        <v>75.16</v>
      </c>
      <c r="I204" t="str">
        <f>IF(E204="","",IF(E204&lt;=0.25,"Immediate (0-3 months)",IF(AND(E204=0.5,F204&gt;=1.5),"Immediate (0-3 months)",IF(E204&lt;=0.5,"Short term (3-6 months)",IF(E204&lt;=0.75,"Medium term (6-12 months)","Sustain")))))</f>
        <v>Immediate (0-3 months)</v>
      </c>
      <c r="J204">
        <f>IF(I204="",0,IF(LEFT(I204,3)="Imm",4,IF(LEFT(I204,3)="Sho",3,IF(LEFT(I204,3)="Med",2,1))))</f>
        <v>4</v>
      </c>
      <c r="K204">
        <f>IF(E204="",-1,J204*1000+H204)</f>
        <v>4075.16</v>
      </c>
      <c r="L204" t="str">
        <f>'2. Assessment'!H15</f>
        <v>Assign named business and technical owners to every AI system and publish a RACI across the three lines of defence.</v>
      </c>
      <c r="M204" t="inlineStr">
        <is>
          <t>GL-1, GL-2, GL-7, AA-1</t>
        </is>
      </c>
      <c r="N204" t="inlineStr">
        <is>
          <t>⚠ Mandatory Requirement</t>
        </is>
      </c>
      <c r="O204" t="str">
        <f>'2. Assessment'!E15</f>
        <v>AI committee or sponsor defined on paper; roles and decision rights partly documented</v>
      </c>
      <c r="P204" t="str">
        <f>'2. Assessment'!G15</f>
        <v>Partially met</v>
      </c>
      <c r="Q204" t="inlineStr">
        <is>
          <t>Unclear accountability for AI decisions and outcomes, inconsistent approvals and no escalation route when AI fails.</t>
        </is>
      </c>
    </row>
    <row r="205">
      <c r="A205" t="inlineStr">
        <is>
          <t>Q6</t>
        </is>
      </c>
      <c r="B205" t="inlineStr">
        <is>
          <t>AI policy, acceptable use &amp; regulatory compliance</t>
        </is>
      </c>
      <c r="C205" t="inlineStr">
        <is>
          <t>AI Governance</t>
        </is>
      </c>
      <c r="D205">
        <f>IF('2. Assessment'!L16="",0,1)</f>
        <v>1</v>
      </c>
      <c r="E205">
        <f>IF(D205=0,"",'2. Assessment'!F16)</f>
        <v>0.75</v>
      </c>
      <c r="F205">
        <f>1.5+IF(AND(OR(Calc!$C$32="High",Calc!$C$32="Critical"),OR(A205="Q7",A205="Q9",A205="Q11",A205="Q19")),0.5,0)</f>
        <v>1.5</v>
      </c>
      <c r="G205">
        <f>IF(E205="","",1-E205)</f>
        <v>0.25</v>
      </c>
      <c r="H205">
        <f>IF(E205="",-1,G205*F205*100+(20-5)/100)</f>
        <v>37.65</v>
      </c>
      <c r="I205" t="str">
        <f>IF(E205="","",IF(E205&lt;=0.25,"Immediate (0-3 months)",IF(AND(E205=0.5,F205&gt;=1.5),"Immediate (0-3 months)",IF(E205&lt;=0.5,"Short term (3-6 months)",IF(E205&lt;=0.75,"Medium term (6-12 months)","Sustain")))))</f>
        <v>Medium term (6-12 months)</v>
      </c>
      <c r="J205">
        <f>IF(I205="",0,IF(LEFT(I205,3)="Imm",4,IF(LEFT(I205,3)="Sho",3,IF(LEFT(I205,3)="Med",2,1))))</f>
        <v>2</v>
      </c>
      <c r="K205">
        <f>IF(E205="",-1,J205*1000+H205)</f>
        <v>2037.65</v>
      </c>
      <c r="L205" t="str">
        <f>'2. Assessment'!H16</f>
        <v>Establish monthly regulatory horizon scanning and periodic compliance testing with evidence retention.</v>
      </c>
      <c r="M205" t="inlineStr">
        <is>
          <t>GL-5, RO-1, RO-5</t>
        </is>
      </c>
      <c r="N205" t="inlineStr">
        <is>
          <t>⟳ Compliance Obligation</t>
        </is>
      </c>
      <c r="O205" t="str">
        <f>'2. Assessment'!E16</f>
        <v>AI policy enforced with staff acknowledgement; obligations register maps regulations to controls and owners</v>
      </c>
      <c r="P205" t="str">
        <f>'2. Assessment'!G16</f>
        <v>Largely met</v>
      </c>
      <c r="Q205" t="inlineStr">
        <is>
          <t>Misuse of AI, data leakage and breach of legal or regulatory requirements, with exposure to penalties, licence conditions and reputational harm.</t>
        </is>
      </c>
    </row>
    <row r="206">
      <c r="A206" t="inlineStr">
        <is>
          <t>Q7</t>
        </is>
      </c>
      <c r="B206" t="inlineStr">
        <is>
          <t>Responsible-AI guardrails &amp; human oversight</t>
        </is>
      </c>
      <c r="C206" t="inlineStr">
        <is>
          <t>AI Governance</t>
        </is>
      </c>
      <c r="D206">
        <f>IF('2. Assessment'!L17="",0,1)</f>
        <v>1</v>
      </c>
      <c r="E206">
        <f>IF(D206=0,"",'2. Assessment'!F17)</f>
        <v>0.5</v>
      </c>
      <c r="F206">
        <f>1.0+IF(AND(OR(Calc!$C$32="High",Calc!$C$32="Critical"),OR(A206="Q7",A206="Q9",A206="Q11",A206="Q19")),0.5,0)</f>
        <v>1</v>
      </c>
      <c r="G206">
        <f>IF(E206="","",1-E206)</f>
        <v>0.5</v>
      </c>
      <c r="H206">
        <f>IF(E206="",-1,G206*F206*100+(20-6)/100)</f>
        <v>50.14</v>
      </c>
      <c r="I206" t="str">
        <f>IF(E206="","",IF(E206&lt;=0.25,"Immediate (0-3 months)",IF(AND(E206=0.5,F206&gt;=1.5),"Immediate (0-3 months)",IF(E206&lt;=0.5,"Short term (3-6 months)",IF(E206&lt;=0.75,"Medium term (6-12 months)","Sustain")))))</f>
        <v>Short term (3-6 months)</v>
      </c>
      <c r="J206">
        <f>IF(I206="",0,IF(LEFT(I206,3)="Imm",4,IF(LEFT(I206,3)="Sho",3,IF(LEFT(I206,3)="Med",2,1))))</f>
        <v>3</v>
      </c>
      <c r="K206">
        <f>IF(E206="",-1,J206*1000+H206)</f>
        <v>3050.14</v>
      </c>
      <c r="L206" t="str">
        <f>'2. Assessment'!H17</f>
        <v>Apply mandatory human-in-charge controls and AI disclosure to all relevant AI; require committee approval for High / Critical uses.</v>
      </c>
      <c r="M206" t="inlineStr">
        <is>
          <t>GL-7, RS-1, RS-4, RS-5, CO-1, CO-3</t>
        </is>
      </c>
      <c r="N206" t="inlineStr">
        <is>
          <t>⚖ Ethical Consideration</t>
        </is>
      </c>
      <c r="O206" t="str">
        <f>'2. Assessment'!E17</f>
        <v>AI committee / CoE established; guardrails defined for some areas (e.g., human review of outputs)</v>
      </c>
      <c r="P206" t="str">
        <f>'2. Assessment'!G17</f>
        <v>Partially met</v>
      </c>
      <c r="Q206" t="inlineStr">
        <is>
          <t>Biased or harmful outcomes, undisclosed AI use and lack of accountability for AI-supported decisions.</t>
        </is>
      </c>
    </row>
    <row r="207">
      <c r="A207" t="inlineStr">
        <is>
          <t>Q8</t>
        </is>
      </c>
      <c r="B207" t="inlineStr">
        <is>
          <t>AI incidents, monitoring &amp; assurance</t>
        </is>
      </c>
      <c r="C207" t="inlineStr">
        <is>
          <t>AI Governance</t>
        </is>
      </c>
      <c r="D207">
        <f>IF('2. Assessment'!L18="",0,1)</f>
        <v>1</v>
      </c>
      <c r="E207">
        <f>IF(D207=0,"",'2. Assessment'!F18)</f>
        <v>0.75</v>
      </c>
      <c r="F207">
        <f>1.5+IF(AND(OR(Calc!$C$32="High",Calc!$C$32="Critical"),OR(A207="Q7",A207="Q9",A207="Q11",A207="Q19")),0.5,0)</f>
        <v>1.5</v>
      </c>
      <c r="G207">
        <f>IF(E207="","",1-E207)</f>
        <v>0.25</v>
      </c>
      <c r="H207">
        <f>IF(E207="",-1,G207*F207*100+(20-7)/100)</f>
        <v>37.63</v>
      </c>
      <c r="I207" t="str">
        <f>IF(E207="","",IF(E207&lt;=0.25,"Immediate (0-3 months)",IF(AND(E207=0.5,F207&gt;=1.5),"Immediate (0-3 months)",IF(E207&lt;=0.5,"Short term (3-6 months)",IF(E207&lt;=0.75,"Medium term (6-12 months)","Sustain")))))</f>
        <v>Medium term (6-12 months)</v>
      </c>
      <c r="J207">
        <f>IF(I207="",0,IF(LEFT(I207,3)="Imm",4,IF(LEFT(I207,3)="Sho",3,IF(LEFT(I207,3)="Med",2,1))))</f>
        <v>2</v>
      </c>
      <c r="K207">
        <f>IF(E207="",-1,J207*1000+H207)</f>
        <v>2037.63</v>
      </c>
      <c r="L207" t="str">
        <f>'2. Assessment'!H18</f>
        <v>Implement post-incident learning and an ISO/IEC 42001 certification-readiness review.</v>
      </c>
      <c r="M207" t="inlineStr">
        <is>
          <t>IM-1, IM-2, IM-3, AA-1, AA-2, RO-4</t>
        </is>
      </c>
      <c r="N207" t="inlineStr">
        <is>
          <t>⟳ Compliance Obligation</t>
        </is>
      </c>
      <c r="O207" t="str">
        <f>'2. Assessment'!E18</f>
        <v>AI incident management with regulatory notification criteria; periodic internal audit of AI governance; assurance obtained from AI vendors</v>
      </c>
      <c r="P207" t="str">
        <f>'2. Assessment'!G18</f>
        <v>Largely met</v>
      </c>
      <c r="Q207" t="inlineStr">
        <is>
          <t>Delayed response to AI failures, missed regulatory notifications and lack of defensible evidence for regulators, auditors and clients.</t>
        </is>
      </c>
    </row>
    <row r="208">
      <c r="A208" t="inlineStr">
        <is>
          <t>Q9</t>
        </is>
      </c>
      <c r="B208" t="inlineStr">
        <is>
          <t>AI risk management framework</t>
        </is>
      </c>
      <c r="C208" t="inlineStr">
        <is>
          <t>AI Risk &amp; Security</t>
        </is>
      </c>
      <c r="D208">
        <f>IF('2. Assessment'!L19="",0,1)</f>
        <v>1</v>
      </c>
      <c r="E208">
        <f>IF(D208=0,"",'2. Assessment'!F19)</f>
        <v>0.25</v>
      </c>
      <c r="F208">
        <f>1.5+IF(AND(OR(Calc!$C$32="High",Calc!$C$32="Critical"),OR(A208="Q7",A208="Q9",A208="Q11",A208="Q19")),0.5,0)</f>
        <v>1.5</v>
      </c>
      <c r="G208">
        <f>IF(E208="","",1-E208)</f>
        <v>0.75</v>
      </c>
      <c r="H208">
        <f>IF(E208="",-1,G208*F208*100+(20-8)/100)</f>
        <v>112.62</v>
      </c>
      <c r="I208" t="str">
        <f>IF(E208="","",IF(E208&lt;=0.25,"Immediate (0-3 months)",IF(AND(E208=0.5,F208&gt;=1.5),"Immediate (0-3 months)",IF(E208&lt;=0.5,"Short term (3-6 months)",IF(E208&lt;=0.75,"Medium term (6-12 months)","Sustain")))))</f>
        <v>Immediate (0-3 months)</v>
      </c>
      <c r="J208">
        <f>IF(I208="",0,IF(LEFT(I208,3)="Imm",4,IF(LEFT(I208,3)="Sho",3,IF(LEFT(I208,3)="Med",2,1))))</f>
        <v>4</v>
      </c>
      <c r="K208">
        <f>IF(E208="",-1,J208*1000+H208)</f>
        <v>4112.62</v>
      </c>
      <c r="L208" t="str">
        <f>'2. Assessment'!H19</f>
        <v>Formalise the methodology, approve it at executive level and pilot it on current AI initiatives.</v>
      </c>
      <c r="M208" t="inlineStr">
        <is>
          <t>RM-1, RM-2, RM-3, RM-5</t>
        </is>
      </c>
      <c r="N208" t="inlineStr">
        <is>
          <t>⚠ Mandatory Requirement</t>
        </is>
      </c>
      <c r="O208" t="str">
        <f>'2. Assessment'!E19</f>
        <v>AI risks considered informally within general IT or project risk</v>
      </c>
      <c r="P208" t="str">
        <f>'2. Assessment'!G19</f>
        <v>Minimal</v>
      </c>
      <c r="Q208" t="inlineStr">
        <is>
          <t>AI risks go unidentified or are rated inconsistently, so high-risk AI is approved without proportionate controls.</t>
        </is>
      </c>
    </row>
    <row r="209">
      <c r="A209" t="inlineStr">
        <is>
          <t>Q10</t>
        </is>
      </c>
      <c r="B209" t="inlineStr">
        <is>
          <t>AI risk appetite, KRIs &amp; reporting</t>
        </is>
      </c>
      <c r="C209" t="inlineStr">
        <is>
          <t>AI Risk &amp; Security</t>
        </is>
      </c>
      <c r="D209">
        <f>IF('2. Assessment'!L20="",0,1)</f>
        <v>1</v>
      </c>
      <c r="E209">
        <f>IF(D209=0,"",'2. Assessment'!F20)</f>
        <v>0.5</v>
      </c>
      <c r="F209">
        <f>1.5+IF(AND(OR(Calc!$C$32="High",Calc!$C$32="Critical"),OR(A209="Q7",A209="Q9",A209="Q11",A209="Q19")),0.5,0)</f>
        <v>1.5</v>
      </c>
      <c r="G209">
        <f>IF(E209="","",1-E209)</f>
        <v>0.5</v>
      </c>
      <c r="H209">
        <f>IF(E209="",-1,G209*F209*100+(20-9)/100)</f>
        <v>75.11</v>
      </c>
      <c r="I209" t="str">
        <f>IF(E209="","",IF(E209&lt;=0.25,"Immediate (0-3 months)",IF(AND(E209=0.5,F209&gt;=1.5),"Immediate (0-3 months)",IF(E209&lt;=0.5,"Short term (3-6 months)",IF(E209&lt;=0.75,"Medium term (6-12 months)","Sustain")))))</f>
        <v>Immediate (0-3 months)</v>
      </c>
      <c r="J209">
        <f>IF(I209="",0,IF(LEFT(I209,3)="Imm",4,IF(LEFT(I209,3)="Sho",3,IF(LEFT(I209,3)="Med",2,1))))</f>
        <v>4</v>
      </c>
      <c r="K209">
        <f>IF(E209="",-1,J209*1000+H209)</f>
        <v>4075.11</v>
      </c>
      <c r="L209" t="str">
        <f>'2. Assessment'!H20</f>
        <v>Define KRIs with thresholds and escalation for each risk category and report them to the AI committee quarterly.</v>
      </c>
      <c r="M209" t="inlineStr">
        <is>
          <t>RM-6, RM-4, GL-1</t>
        </is>
      </c>
      <c r="N209" t="inlineStr">
        <is>
          <t>⚠ Mandatory Requirement</t>
        </is>
      </c>
      <c r="O209" t="str">
        <f>'2. Assessment'!E20</f>
        <v>AI risk appetite drafted; a few indicators tracked informally</v>
      </c>
      <c r="P209" t="str">
        <f>'2. Assessment'!G20</f>
        <v>Partially met</v>
      </c>
      <c r="Q209" t="inlineStr">
        <is>
          <t>No shared view of how much AI risk is acceptable - leading to reckless adoption or blocked innovation - and late detection of deteriorating AI risk.</t>
        </is>
      </c>
    </row>
    <row r="210">
      <c r="A210" t="inlineStr">
        <is>
          <t>Q11</t>
        </is>
      </c>
      <c r="B210" t="inlineStr">
        <is>
          <t>AI inventory &amp; risk / impact assessment</t>
        </is>
      </c>
      <c r="C210" t="inlineStr">
        <is>
          <t>AI Risk &amp; Security</t>
        </is>
      </c>
      <c r="D210">
        <f>IF('2. Assessment'!L21="",0,1)</f>
        <v>1</v>
      </c>
      <c r="E210">
        <f>IF(D210=0,"",'2. Assessment'!F21)</f>
        <v>0.5</v>
      </c>
      <c r="F210">
        <f>1.5+IF(AND(OR(Calc!$C$32="High",Calc!$C$32="Critical"),OR(A210="Q7",A210="Q9",A210="Q11",A210="Q19")),0.5,0)</f>
        <v>1.5</v>
      </c>
      <c r="G210">
        <f>IF(E210="","",1-E210)</f>
        <v>0.5</v>
      </c>
      <c r="H210">
        <f>IF(E210="",-1,G210*F210*100+(20-10)/100)</f>
        <v>75.1</v>
      </c>
      <c r="I210" t="str">
        <f>IF(E210="","",IF(E210&lt;=0.25,"Immediate (0-3 months)",IF(AND(E210=0.5,F210&gt;=1.5),"Immediate (0-3 months)",IF(E210&lt;=0.5,"Short term (3-6 months)",IF(E210&lt;=0.75,"Medium term (6-12 months)","Sustain")))))</f>
        <v>Immediate (0-3 months)</v>
      </c>
      <c r="J210">
        <f>IF(I210="",0,IF(LEFT(I210,3)="Imm",4,IF(LEFT(I210,3)="Sho",3,IF(LEFT(I210,3)="Med",2,1))))</f>
        <v>4</v>
      </c>
      <c r="K210">
        <f>IF(E210="",-1,J210*1000+H210)</f>
        <v>4075.1</v>
      </c>
      <c r="L210" t="str">
        <f>'2. Assessment'!H21</f>
        <v>Extend assessments to all AI systems and third-party AI; set approval authority by risk tier.</v>
      </c>
      <c r="M210" t="inlineStr">
        <is>
          <t>GL-8, RM-2, RM-5, TP-2</t>
        </is>
      </c>
      <c r="N210" t="inlineStr">
        <is>
          <t>⚠ Mandatory Requirement</t>
        </is>
      </c>
      <c r="O210" t="str">
        <f>'2. Assessment'!E21</f>
        <v>AI register with owners; risk assessments performed for some AI systems using a documented method</v>
      </c>
      <c r="P210" t="str">
        <f>'2. Assessment'!G21</f>
        <v>Partially met</v>
      </c>
      <c r="Q210" t="inlineStr">
        <is>
          <t>Deployment of vulnerable, non-compliant or harmful AI systems and unknown AI exposure across the organisation and its supply chain.</t>
        </is>
      </c>
    </row>
    <row r="211">
      <c r="A211" t="inlineStr">
        <is>
          <t>Q12</t>
        </is>
      </c>
      <c r="B211" t="inlineStr">
        <is>
          <t>Third-party &amp; AI supply-chain risk</t>
        </is>
      </c>
      <c r="C211" t="inlineStr">
        <is>
          <t>AI Risk &amp; Security</t>
        </is>
      </c>
      <c r="D211">
        <f>IF('2. Assessment'!L22="",0,1)</f>
        <v>1</v>
      </c>
      <c r="E211">
        <f>IF(D211=0,"",'2. Assessment'!F22)</f>
        <v>0.5</v>
      </c>
      <c r="F211">
        <f>1.5+IF(AND(OR(Calc!$C$32="High",Calc!$C$32="Critical"),OR(A211="Q7",A211="Q9",A211="Q11",A211="Q19")),0.5,0)</f>
        <v>1.5</v>
      </c>
      <c r="G211">
        <f>IF(E211="","",1-E211)</f>
        <v>0.5</v>
      </c>
      <c r="H211">
        <f>IF(E211="",-1,G211*F211*100+(20-11)/100)</f>
        <v>75.09</v>
      </c>
      <c r="I211" t="str">
        <f>IF(E211="","",IF(E211&lt;=0.25,"Immediate (0-3 months)",IF(AND(E211=0.5,F211&gt;=1.5),"Immediate (0-3 months)",IF(E211&lt;=0.5,"Short term (3-6 months)",IF(E211&lt;=0.75,"Medium term (6-12 months)","Sustain")))))</f>
        <v>Immediate (0-3 months)</v>
      </c>
      <c r="J211">
        <f>IF(I211="",0,IF(LEFT(I211,3)="Imm",4,IF(LEFT(I211,3)="Sho",3,IF(LEFT(I211,3)="Med",2,1))))</f>
        <v>4</v>
      </c>
      <c r="K211">
        <f>IF(E211="",-1,J211*1000+H211)</f>
        <v>4075.09</v>
      </c>
      <c r="L211" t="str">
        <f>'2. Assessment'!H22</f>
        <v>Make AI due diligence mandatory and adopt standard AI contract clauses (no training on client data, residency, audit, incident notice).</v>
      </c>
      <c r="M211" t="inlineStr">
        <is>
          <t>TP-1, TP-2, TP-3, SE-7, LC-6</t>
        </is>
      </c>
      <c r="N211" t="inlineStr">
        <is>
          <t>⟳ Compliance Obligation</t>
        </is>
      </c>
      <c r="O211" t="str">
        <f>'2. Assessment'!E22</f>
        <v>AI questions added to vendor due diligence for some purchases; contract terms vary</v>
      </c>
      <c r="P211" t="str">
        <f>'2. Assessment'!G22</f>
        <v>Partially met</v>
      </c>
      <c r="Q211" t="inlineStr">
        <is>
          <t>Client or personal data used to train vendor models, unmanaged model changes, concentration on a single provider and regulatory breaches through suppliers.</t>
        </is>
      </c>
    </row>
    <row r="212">
      <c r="A212" t="inlineStr">
        <is>
          <t>Q13</t>
        </is>
      </c>
      <c r="B212" t="inlineStr">
        <is>
          <t>Securing AI systems</t>
        </is>
      </c>
      <c r="C212" t="inlineStr">
        <is>
          <t>AI Risk &amp; Security</t>
        </is>
      </c>
      <c r="D212">
        <f>IF('2. Assessment'!L23="",0,1)</f>
        <v>1</v>
      </c>
      <c r="E212">
        <f>IF(D212=0,"",'2. Assessment'!F23)</f>
        <v>0.5</v>
      </c>
      <c r="F212">
        <f>1.5+IF(AND(OR(Calc!$C$32="High",Calc!$C$32="Critical"),OR(A212="Q7",A212="Q9",A212="Q11",A212="Q19")),0.5,0)</f>
        <v>1.5</v>
      </c>
      <c r="G212">
        <f>IF(E212="","",1-E212)</f>
        <v>0.5</v>
      </c>
      <c r="H212">
        <f>IF(E212="",-1,G212*F212*100+(20-12)/100)</f>
        <v>75.08</v>
      </c>
      <c r="I212" t="str">
        <f>IF(E212="","",IF(E212&lt;=0.25,"Immediate (0-3 months)",IF(AND(E212=0.5,F212&gt;=1.5),"Immediate (0-3 months)",IF(E212&lt;=0.5,"Short term (3-6 months)",IF(E212&lt;=0.75,"Medium term (6-12 months)","Sustain")))))</f>
        <v>Immediate (0-3 months)</v>
      </c>
      <c r="J212">
        <f>IF(I212="",0,IF(LEFT(I212,3)="Imm",4,IF(LEFT(I212,3)="Sho",3,IF(LEFT(I212,3)="Med",2,1))))</f>
        <v>4</v>
      </c>
      <c r="K212">
        <f>IF(E212="",-1,J212*1000+H212)</f>
        <v>4075.08</v>
      </c>
      <c r="L212" t="str">
        <f>'2. Assessment'!H23</f>
        <v>Introduce AI red teaming before release, runtime guardrails (input / output filtering) and audit logging.</v>
      </c>
      <c r="M212" t="inlineStr">
        <is>
          <t>SE-2, SE-3, SE-6 to SE-10, OM-2, AA-3</t>
        </is>
      </c>
      <c r="N212" t="inlineStr">
        <is>
          <t>⚠ Mandatory Requirement</t>
        </is>
      </c>
      <c r="O212" t="str">
        <f>'2. Assessment'!E23</f>
        <v>AI-specific threats (e.g., prompt injection, data leakage) assessed for some systems; access controls and logging in place</v>
      </c>
      <c r="P212" t="str">
        <f>'2. Assessment'!G23</f>
        <v>Partially met</v>
      </c>
      <c r="Q212" t="inlineStr">
        <is>
          <t>Unauthorised access, model compromise, data exfiltration through AI and undetected misuse.</t>
        </is>
      </c>
    </row>
    <row r="213">
      <c r="A213" t="inlineStr">
        <is>
          <t>Q14</t>
        </is>
      </c>
      <c r="B213" t="inlineStr">
        <is>
          <t>Defending against AI-enabled threats</t>
        </is>
      </c>
      <c r="C213" t="inlineStr">
        <is>
          <t>AI Risk &amp; Security</t>
        </is>
      </c>
      <c r="D213">
        <f>IF('2. Assessment'!L24="",0,1)</f>
        <v>1</v>
      </c>
      <c r="E213">
        <f>IF(D213=0,"",'2. Assessment'!F24)</f>
        <v>0.75</v>
      </c>
      <c r="F213">
        <f>1.0+IF(AND(OR(Calc!$C$32="High",Calc!$C$32="Critical"),OR(A213="Q7",A213="Q9",A213="Q11",A213="Q19")),0.5,0)</f>
        <v>1</v>
      </c>
      <c r="G213">
        <f>IF(E213="","",1-E213)</f>
        <v>0.25</v>
      </c>
      <c r="H213">
        <f>IF(E213="",-1,G213*F213*100+(20-13)/100)</f>
        <v>25.07</v>
      </c>
      <c r="I213" t="str">
        <f>IF(E213="","",IF(E213&lt;=0.25,"Immediate (0-3 months)",IF(AND(E213=0.5,F213&gt;=1.5),"Immediate (0-3 months)",IF(E213&lt;=0.5,"Short term (3-6 months)",IF(E213&lt;=0.75,"Medium term (6-12 months)","Sustain")))))</f>
        <v>Medium term (6-12 months)</v>
      </c>
      <c r="J213">
        <f>IF(I213="",0,IF(LEFT(I213,3)="Imm",4,IF(LEFT(I213,3)="Sho",3,IF(LEFT(I213,3)="Med",2,1))))</f>
        <v>2</v>
      </c>
      <c r="K213">
        <f>IF(E213="",-1,J213*1000+H213)</f>
        <v>2025.07</v>
      </c>
      <c r="L213" t="str">
        <f>'2. Assessment'!H24</f>
        <v>Adopt continuous exposure management and AI-specific red teaming; reduce patch cycles to days.</v>
      </c>
      <c r="M213" t="inlineStr">
        <is>
          <t>AT-1, AT-2, AT-3, AT-4</t>
        </is>
      </c>
      <c r="N213" t="inlineStr">
        <is>
          <t>☆ Recommended</t>
        </is>
      </c>
      <c r="O213" t="str">
        <f>'2. Assessment'!E24</f>
        <v>Deepfake-resilient verification for payments and sensitive requests; behaviour-based detection; AI incident playbooks exercised</v>
      </c>
      <c r="P213" t="str">
        <f>'2. Assessment'!G24</f>
        <v>Largely met</v>
      </c>
      <c r="Q213" t="inlineStr">
        <is>
          <t>Deepfake-enabled fraud, account compromise and faster, more scalable attacks that outpace defences.</t>
        </is>
      </c>
    </row>
    <row r="214">
      <c r="A214" t="inlineStr">
        <is>
          <t>Q15</t>
        </is>
      </c>
      <c r="B214" t="inlineStr">
        <is>
          <t>AI training, literacy &amp; awareness</t>
        </is>
      </c>
      <c r="C214" t="inlineStr">
        <is>
          <t>Training &amp; Awareness</t>
        </is>
      </c>
      <c r="D214">
        <f>IF('2. Assessment'!L25="",0,1)</f>
        <v>1</v>
      </c>
      <c r="E214">
        <f>IF(D214=0,"",'2. Assessment'!F25)</f>
        <v>0.75</v>
      </c>
      <c r="F214">
        <f>1.5+IF(AND(OR(Calc!$C$32="High",Calc!$C$32="Critical"),OR(A214="Q7",A214="Q9",A214="Q11",A214="Q19")),0.5,0)</f>
        <v>1.5</v>
      </c>
      <c r="G214">
        <f>IF(E214="","",1-E214)</f>
        <v>0.25</v>
      </c>
      <c r="H214">
        <f>IF(E214="",-1,G214*F214*100+(20-14)/100)</f>
        <v>37.56</v>
      </c>
      <c r="I214" t="str">
        <f>IF(E214="","",IF(E214&lt;=0.25,"Immediate (0-3 months)",IF(AND(E214=0.5,F214&gt;=1.5),"Immediate (0-3 months)",IF(E214&lt;=0.5,"Short term (3-6 months)",IF(E214&lt;=0.75,"Medium term (6-12 months)","Sustain")))))</f>
        <v>Medium term (6-12 months)</v>
      </c>
      <c r="J214">
        <f>IF(I214="",0,IF(LEFT(I214,3)="Imm",4,IF(LEFT(I214,3)="Sho",3,IF(LEFT(I214,3)="Med",2,1))))</f>
        <v>2</v>
      </c>
      <c r="K214">
        <f>IF(E214="",-1,J214*1000+H214)</f>
        <v>2037.56</v>
      </c>
      <c r="L214" t="str">
        <f>'2. Assessment'!H25</f>
        <v>Measure competence, refresh annually, and build an AI champions network and workforce plan.</v>
      </c>
      <c r="M214" t="inlineStr">
        <is>
          <t>GL-4, RS-9</t>
        </is>
      </c>
      <c r="N214" t="inlineStr">
        <is>
          <t>⟳ Compliance Obligation</t>
        </is>
      </c>
      <c r="O214" t="str">
        <f>'2. Assessment'!E25</f>
        <v>Mandatory AI literacy before tool access; role-based pathways for developers, oversight staff and leaders; scenario-based security awareness</v>
      </c>
      <c r="P214" t="str">
        <f>'2. Assessment'!G25</f>
        <v>Largely met</v>
      </c>
      <c r="Q214" t="inlineStr">
        <is>
          <t>Unsafe use, susceptibility to AI-enabled threats and poor adoption; non-compliance with the EU AI Act Art. 4 AI-literacy duty where applicable.</t>
        </is>
      </c>
    </row>
    <row r="215">
      <c r="A215" t="inlineStr">
        <is>
          <t>Q16</t>
        </is>
      </c>
      <c r="B215" t="inlineStr">
        <is>
          <t>AI strategy &amp; executive ownership</t>
        </is>
      </c>
      <c r="C215" t="inlineStr">
        <is>
          <t>Strategy &amp; Value</t>
        </is>
      </c>
      <c r="D215">
        <f>IF('2. Assessment'!L26="",0,1)</f>
        <v>1</v>
      </c>
      <c r="E215">
        <f>IF(D215=0,"",'2. Assessment'!F26)</f>
        <v>0.5</v>
      </c>
      <c r="F215">
        <f>1.0+IF(AND(OR(Calc!$C$32="High",Calc!$C$32="Critical"),OR(A215="Q7",A215="Q9",A215="Q11",A215="Q19")),0.5,0)</f>
        <v>1</v>
      </c>
      <c r="G215">
        <f>IF(E215="","",1-E215)</f>
        <v>0.5</v>
      </c>
      <c r="H215">
        <f>IF(E215="",-1,G215*F215*100+(20-15)/100)</f>
        <v>50.05</v>
      </c>
      <c r="I215" t="str">
        <f>IF(E215="","",IF(E215&lt;=0.25,"Immediate (0-3 months)",IF(AND(E215=0.5,F215&gt;=1.5),"Immediate (0-3 months)",IF(E215&lt;=0.5,"Short term (3-6 months)",IF(E215&lt;=0.75,"Medium term (6-12 months)","Sustain")))))</f>
        <v>Short term (3-6 months)</v>
      </c>
      <c r="J215">
        <f>IF(I215="",0,IF(LEFT(I215,3)="Imm",4,IF(LEFT(I215,3)="Sho",3,IF(LEFT(I215,3)="Med",2,1))))</f>
        <v>3</v>
      </c>
      <c r="K215">
        <f>IF(E215="",-1,J215*1000+H215)</f>
        <v>3050.05</v>
      </c>
      <c r="L215" t="str">
        <f>'2. Assessment'!H26</f>
        <v>Link the strategy to business objectives and budget; define experimentation ('sandbox') boundaries and communicate them.</v>
      </c>
      <c r="M215" t="inlineStr">
        <is>
          <t>GL-1, GL-3</t>
        </is>
      </c>
      <c r="N215" t="inlineStr">
        <is>
          <t>☆ Recommended</t>
        </is>
      </c>
      <c r="O215" t="str">
        <f>'2. Assessment'!E26</f>
        <v>Executive sponsor named and AI strategy drafted, but not linked to business objectives or budget</v>
      </c>
      <c r="P215" t="str">
        <f>'2. Assessment'!G26</f>
        <v>Partially met</v>
      </c>
      <c r="Q215" t="inlineStr">
        <is>
          <t>Lack of executive direction leads to inconsistent AI use, unmanaged risk-taking, poor-quality outputs and fragmented adoption.</t>
        </is>
      </c>
    </row>
    <row r="216">
      <c r="A216" t="inlineStr">
        <is>
          <t>Q17</t>
        </is>
      </c>
      <c r="B216" t="inlineStr">
        <is>
          <t>Use-case portfolio &amp; value realisation</t>
        </is>
      </c>
      <c r="C216" t="inlineStr">
        <is>
          <t>Strategy &amp; Value</t>
        </is>
      </c>
      <c r="D216">
        <f>IF('2. Assessment'!L27="",0,1)</f>
        <v>1</v>
      </c>
      <c r="E216">
        <f>IF(D216=0,"",'2. Assessment'!F27)</f>
        <v>0.5</v>
      </c>
      <c r="F216">
        <f>1.0+IF(AND(OR(Calc!$C$32="High",Calc!$C$32="Critical"),OR(A216="Q7",A216="Q9",A216="Q11",A216="Q19")),0.5,0)</f>
        <v>1</v>
      </c>
      <c r="G216">
        <f>IF(E216="","",1-E216)</f>
        <v>0.5</v>
      </c>
      <c r="H216">
        <f>IF(E216="",-1,G216*F216*100+(20-16)/100)</f>
        <v>50.04</v>
      </c>
      <c r="I216" t="str">
        <f>IF(E216="","",IF(E216&lt;=0.25,"Immediate (0-3 months)",IF(AND(E216=0.5,F216&gt;=1.5),"Immediate (0-3 months)",IF(E216&lt;=0.5,"Short term (3-6 months)",IF(E216&lt;=0.75,"Medium term (6-12 months)","Sustain")))))</f>
        <v>Short term (3-6 months)</v>
      </c>
      <c r="J216">
        <f>IF(I216="",0,IF(LEFT(I216,3)="Imm",4,IF(LEFT(I216,3)="Sho",3,IF(LEFT(I216,3)="Med",2,1))))</f>
        <v>3</v>
      </c>
      <c r="K216">
        <f>IF(E216="",-1,J216*1000+H216)</f>
        <v>3050.04</v>
      </c>
      <c r="L216" t="str">
        <f>'2. Assessment'!H27</f>
        <v>Define benefit KPIs (financial and non-financial) at approval and assign benefit owners.</v>
      </c>
      <c r="M216" t="inlineStr">
        <is>
          <t>GL-6, GL-5</t>
        </is>
      </c>
      <c r="N216" t="inlineStr">
        <is>
          <t>☆ Recommended</t>
        </is>
      </c>
      <c r="O216" t="str">
        <f>'2. Assessment'!E27</f>
        <v>Use-case intake exists and initiatives are prioritised, but benefits are not systematically tracked</v>
      </c>
      <c r="P216" t="str">
        <f>'2. Assessment'!G27</f>
        <v>Partially met</v>
      </c>
      <c r="Q216" t="inlineStr">
        <is>
          <t>Duplicated or low-value AI investment, shadow AI and inability to demonstrate return on investment.</t>
        </is>
      </c>
    </row>
    <row r="217">
      <c r="A217" t="inlineStr">
        <is>
          <t>Q18</t>
        </is>
      </c>
      <c r="B217" t="inlineStr">
        <is>
          <t>Data governance, quality &amp; privacy for AI</t>
        </is>
      </c>
      <c r="C217" t="inlineStr">
        <is>
          <t>Data &amp; Technology</t>
        </is>
      </c>
      <c r="D217">
        <f>IF('2. Assessment'!L28="",0,1)</f>
        <v>1</v>
      </c>
      <c r="E217">
        <f>IF(D217=0,"",'2. Assessment'!F28)</f>
        <v>0.75</v>
      </c>
      <c r="F217">
        <f>1.5+IF(AND(OR(Calc!$C$32="High",Calc!$C$32="Critical"),OR(A217="Q7",A217="Q9",A217="Q11",A217="Q19")),0.5,0)</f>
        <v>1.5</v>
      </c>
      <c r="G217">
        <f>IF(E217="","",1-E217)</f>
        <v>0.25</v>
      </c>
      <c r="H217">
        <f>IF(E217="",-1,G217*F217*100+(20-17)/100)</f>
        <v>37.53</v>
      </c>
      <c r="I217" t="str">
        <f>IF(E217="","",IF(E217&lt;=0.25,"Immediate (0-3 months)",IF(AND(E217=0.5,F217&gt;=1.5),"Immediate (0-3 months)",IF(E217&lt;=0.5,"Short term (3-6 months)",IF(E217&lt;=0.75,"Medium term (6-12 months)","Sustain")))))</f>
        <v>Medium term (6-12 months)</v>
      </c>
      <c r="J217">
        <f>IF(I217="",0,IF(LEFT(I217,3)="Imm",4,IF(LEFT(I217,3)="Sho",3,IF(LEFT(I217,3)="Med",2,1))))</f>
        <v>2</v>
      </c>
      <c r="K217">
        <f>IF(E217="",-1,J217*1000+H217)</f>
        <v>2037.53</v>
      </c>
      <c r="L217" t="str">
        <f>'2. Assessment'!H28</f>
        <v>Automate data-quality and lineage monitoring; operationalise data-subject rights and transfer assessments for AI.</v>
      </c>
      <c r="M217" t="inlineStr">
        <is>
          <t>LC-1, SE-4, PR-1, PR-4, PR-5, PR-6</t>
        </is>
      </c>
      <c r="N217" t="inlineStr">
        <is>
          <t>⟳ Compliance Obligation</t>
        </is>
      </c>
      <c r="O217" t="str">
        <f>'2. Assessment'!E28</f>
        <v>Data readiness assessed before approval; lineage and quality monitored; minimisation, anonymisation and prompt redaction applied; DPIAs standard</v>
      </c>
      <c r="P217" t="str">
        <f>'2. Assessment'!G28</f>
        <v>Largely met</v>
      </c>
      <c r="Q217" t="inlineStr">
        <is>
          <t>Data breaches, PDPL non-compliance, and biased or inaccurate outputs from poor-quality or unsuitable data.</t>
        </is>
      </c>
    </row>
    <row r="218">
      <c r="A218" t="inlineStr">
        <is>
          <t>Q19</t>
        </is>
      </c>
      <c r="B218" t="inlineStr">
        <is>
          <t>AI architecture, integration &amp; monitoring</t>
        </is>
      </c>
      <c r="C218" t="inlineStr">
        <is>
          <t>Data &amp; Technology</t>
        </is>
      </c>
      <c r="D218">
        <f>IF('2. Assessment'!L29="",0,1)</f>
        <v>1</v>
      </c>
      <c r="E218">
        <f>IF(D218=0,"",'2. Assessment'!F29)</f>
        <v>0.5</v>
      </c>
      <c r="F218">
        <f>1.0+IF(AND(OR(Calc!$C$32="High",Calc!$C$32="Critical"),OR(A218="Q7",A218="Q9",A218="Q11",A218="Q19")),0.5,0)</f>
        <v>1</v>
      </c>
      <c r="G218">
        <f>IF(E218="","",1-E218)</f>
        <v>0.5</v>
      </c>
      <c r="H218">
        <f>IF(E218="",-1,G218*F218*100+(20-18)/100)</f>
        <v>50.02</v>
      </c>
      <c r="I218" t="str">
        <f>IF(E218="","",IF(E218&lt;=0.25,"Immediate (0-3 months)",IF(AND(E218=0.5,F218&gt;=1.5),"Immediate (0-3 months)",IF(E218&lt;=0.5,"Short term (3-6 months)",IF(E218&lt;=0.75,"Medium term (6-12 months)","Sustain")))))</f>
        <v>Short term (3-6 months)</v>
      </c>
      <c r="J218">
        <f>IF(I218="",0,IF(LEFT(I218,3)="Imm",4,IF(LEFT(I218,3)="Sho",3,IF(LEFT(I218,3)="Med",2,1))))</f>
        <v>3</v>
      </c>
      <c r="K218">
        <f>IF(E218="",-1,J218*1000+H218)</f>
        <v>3050.02</v>
      </c>
      <c r="L218" t="str">
        <f>'2. Assessment'!H29</f>
        <v>Centralise API / access control for AI, define agent execution authority and implement drift / performance monitoring with thresholds.</v>
      </c>
      <c r="M218" t="inlineStr">
        <is>
          <t>LC-2, LC-3, LC-8, LC-12, OM-1, OM-4, RM-6</t>
        </is>
      </c>
      <c r="N218" t="inlineStr">
        <is>
          <t>☆ Recommended</t>
        </is>
      </c>
      <c r="O218" t="str">
        <f>'2. Assessment'!E29</f>
        <v>Reference architecture drafted; approved platforms and integration patterns for most AI; basic performance monitoring</v>
      </c>
      <c r="P218" t="str">
        <f>'2. Assessment'!G29</f>
        <v>Partially met</v>
      </c>
      <c r="Q218" t="inlineStr">
        <is>
          <t>Inconsistent and insecure implementations, undetected model drift or failure, excessive agent privileges and unsustainable AI costs.</t>
        </is>
      </c>
    </row>
    <row r="219">
      <c r="A219" t="inlineStr">
        <is>
          <t>Q20</t>
        </is>
      </c>
      <c r="B219" t="inlineStr">
        <is>
          <t>Model risk management &amp; validation</t>
        </is>
      </c>
      <c r="C219" t="inlineStr">
        <is>
          <t>Data &amp; Technology</t>
        </is>
      </c>
      <c r="D219">
        <f>IF('2. Assessment'!L30="",0,1)</f>
        <v>1</v>
      </c>
      <c r="E219">
        <f>IF(D219=0,"",'2. Assessment'!F30)</f>
        <v>0.5</v>
      </c>
      <c r="F219">
        <f>1.0+IF(AND(OR(Calc!$C$32="High",Calc!$C$32="Critical"),OR(A219="Q7",A219="Q9",A219="Q11",A219="Q19")),0.5,0)</f>
        <v>1</v>
      </c>
      <c r="G219">
        <f>IF(E219="","",1-E219)</f>
        <v>0.5</v>
      </c>
      <c r="H219">
        <f>IF(E219="",-1,G219*F219*100+(20-19)/100)</f>
        <v>50.01</v>
      </c>
      <c r="I219" t="str">
        <f>IF(E219="","",IF(E219&lt;=0.25,"Immediate (0-3 months)",IF(AND(E219=0.5,F219&gt;=1.5),"Immediate (0-3 months)",IF(E219&lt;=0.5,"Short term (3-6 months)",IF(E219&lt;=0.75,"Medium term (6-12 months)","Sustain")))))</f>
        <v>Short term (3-6 months)</v>
      </c>
      <c r="J219">
        <f>IF(I219="",0,IF(LEFT(I219,3)="Imm",4,IF(LEFT(I219,3)="Sho",3,IF(LEFT(I219,3)="Med",2,1))))</f>
        <v>3</v>
      </c>
      <c r="K219">
        <f>IF(E219="",-1,J219*1000+H219)</f>
        <v>3050.01</v>
      </c>
      <c r="L219" t="str">
        <f>'2. Assessment'!H30</f>
        <v>Validate all material models before use and on a risk-based cycle; document thresholds, limitations and conditions of use.</v>
      </c>
      <c r="M219" t="inlineStr">
        <is>
          <t>LC-9, RS-6, LC-13, OM-1</t>
        </is>
      </c>
      <c r="N219" t="inlineStr">
        <is>
          <t>☆ Recommended</t>
        </is>
      </c>
      <c r="O219" t="str">
        <f>'2. Assessment'!E30</f>
        <v>Model inventory exists; validation performed for some material models</v>
      </c>
      <c r="P219" t="str">
        <f>'2. Assessment'!G30</f>
        <v>Partially met</v>
      </c>
      <c r="Q219" t="inlineStr">
        <is>
          <t>Inaccurate, biased or unstable models drive decisions unnoticed, with regulatory exposure for financial-services clients.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Yes</t>
        </is>
      </c>
      <c r="B1" t="inlineStr">
        <is>
          <t>Banking &amp; financial services</t>
        </is>
      </c>
      <c r="C1" t="inlineStr">
        <is>
          <t>1-50 employees</t>
        </is>
      </c>
      <c r="D1" t="inlineStr">
        <is>
          <t>Whole organisation</t>
        </is>
      </c>
      <c r="E1" t="inlineStr">
        <is>
          <t>Deployer only (uses AI built by others)</t>
        </is>
      </c>
      <c r="F1" t="inlineStr">
        <is>
          <t>Not started</t>
        </is>
      </c>
    </row>
    <row r="2">
      <c r="A2" t="inlineStr">
        <is>
          <t>No</t>
        </is>
      </c>
      <c r="B2" t="inlineStr">
        <is>
          <t>Insurance</t>
        </is>
      </c>
      <c r="C2" t="inlineStr">
        <is>
          <t>51-250 employees</t>
        </is>
      </c>
      <c r="D2" t="inlineStr">
        <is>
          <t>Business unit / function</t>
        </is>
      </c>
      <c r="E2" t="inlineStr">
        <is>
          <t>Provider (develops / sells AI systems)</t>
        </is>
      </c>
      <c r="F2" t="inlineStr">
        <is>
          <t>Planned</t>
        </is>
      </c>
    </row>
    <row r="3">
      <c r="B3" t="inlineStr">
        <is>
          <t>Government &amp; public sector</t>
        </is>
      </c>
      <c r="C3" t="inlineStr">
        <is>
          <t>251-1,000 employees</t>
        </is>
      </c>
      <c r="D3" t="inlineStr">
        <is>
          <t>Specific AI system or use case</t>
        </is>
      </c>
      <c r="E3" t="inlineStr">
        <is>
          <t>Both provider and deployer</t>
        </is>
      </c>
      <c r="F3" t="inlineStr">
        <is>
          <t>In progress</t>
        </is>
      </c>
    </row>
    <row r="4">
      <c r="B4" t="inlineStr">
        <is>
          <t>Telecommunications</t>
        </is>
      </c>
      <c r="C4" t="inlineStr">
        <is>
          <t>1,001-5,000 employees</t>
        </is>
      </c>
      <c r="F4" t="inlineStr">
        <is>
          <t>Completed</t>
        </is>
      </c>
    </row>
    <row r="5">
      <c r="B5" t="inlineStr">
        <is>
          <t>Healthcare</t>
        </is>
      </c>
      <c r="C5" t="inlineStr">
        <is>
          <t>More than 5,000 employees</t>
        </is>
      </c>
      <c r="F5" t="inlineStr">
        <is>
          <t>Deferred</t>
        </is>
      </c>
    </row>
    <row r="6">
      <c r="B6" t="inlineStr">
        <is>
          <t>Hospitality &amp; tourism</t>
        </is>
      </c>
    </row>
    <row r="7">
      <c r="B7" t="inlineStr">
        <is>
          <t>Professional services</t>
        </is>
      </c>
    </row>
    <row r="8">
      <c r="B8" t="inlineStr">
        <is>
          <t>Manufacturing &amp; industry</t>
        </is>
      </c>
    </row>
    <row r="9">
      <c r="B9" t="inlineStr">
        <is>
          <t>Retail &amp; consumer</t>
        </is>
      </c>
    </row>
    <row r="10">
      <c r="B10" t="inlineStr">
        <is>
          <t>Energy &amp; utilities</t>
        </is>
      </c>
    </row>
    <row r="11">
      <c r="B11" t="inlineStr">
        <is>
          <t>Education</t>
        </is>
      </c>
    </row>
    <row r="12">
      <c r="B12"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2026-10-04T06:38:14Z</dcterms:created>
  <dcterms:modified xmlns:dcterms="http://purl.org/dc/terms/" xmlns:xsi="http://www.w3.org/2001/XMLSchema-instance" xsi:type="dcterms:W3CDTF">2026-10-04T06:38:15Z</dcterms:modified>
</cp:coreProperties>
</file>