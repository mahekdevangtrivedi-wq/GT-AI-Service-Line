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Report'!$A$1:$K$126</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t>
        </is>
      </c>
      <c r="F4" s="23" t="inlineStr">
        <is>
          <t>INHERENT RISK TIER</t>
        </is>
      </c>
      <c r="G4" s="21" t="n"/>
      <c r="H4" s="23" t="inlineStr">
        <is>
          <t>AI RISK EXPOSURE -&gt; PATHWAY</t>
        </is>
      </c>
      <c r="I4" s="23" t="inlineStr">
        <is>
          <t>YOUR REPORT</t>
        </is>
      </c>
      <c r="J4" s="21" t="n"/>
    </row>
    <row r="5" ht="36" customHeight="1">
      <c r="B5" s="24" t="str">
        <f>Calc!B20&amp;" / 20"</f>
        <v>20 / 20</v>
      </c>
      <c r="C5" s="21" t="n"/>
      <c r="D5" s="25">
        <f>IF(Calc!B45="","-",Calc!B45)</f>
        <v>0.591666666666667</v>
      </c>
      <c r="E5" s="24" t="str">
        <f>IF(Calc!B46="","-",Calc!B46)</f>
        <v>Informed</v>
      </c>
      <c r="F5" s="24" t="str">
        <f>IF(Calc!C32="","-",Calc!C32)</f>
        <v>Medium</v>
      </c>
      <c r="G5" s="21" t="n"/>
      <c r="H5" s="26" t="str">
        <f>IF(Calc!B57="","-",Calc!B57&amp;"  -&gt;  "&amp;Calc!B58)</f>
        <v>Moderate  -&gt;  PROCEED WITH CONDITIONS</v>
      </c>
      <c r="I5" s="27" t="str">
        <f>IF(Calc!B21=1,"Ready - see 3. Report","Complete all questions")</f>
        <v>Ready - see 3. Report</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2</v>
      </c>
      <c r="G10" s="35" t="str">
        <f>IF(L10="","Not answered",INDEX(QBank!$D$2:$D$6,L10))</f>
        <v>Medium</v>
      </c>
      <c r="H10" s="36" t="str">
        <f>IF(L10="","",INDEX(QBank!$E$2:$E$6,L10))</f>
        <v>AI is part of day-to-day work. Exposure spans data protection, output quality, vendor dependence and consistent human review.</v>
      </c>
      <c r="I10" s="7" t="inlineStr">
        <is>
          <t>Tiering factor (risk framework T1-T3)</t>
        </is>
      </c>
      <c r="J10" s="7" t="inlineStr">
        <is>
          <t>Inherent-risk driver</t>
        </is>
      </c>
      <c r="L10">
        <f>IF(E10="","",IFERROR(MATCH(E10,QBank!$B$2:$B$6,0),""))</f>
        <v>3</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2</v>
      </c>
      <c r="G11" s="35" t="str">
        <f>IF(L11="","Not answered",INDEX(QBank!$D$7:$D$11,L11))</f>
        <v>Medium</v>
      </c>
      <c r="H11" s="36" t="str">
        <f>IF(L11="","",INDEX(QBank!$E$7:$E$11,L11))</f>
        <v>External stakeholders see AI outputs - disclosure, accuracy and reputational controls apply (e.g., EU AI Act Art. 50 where relevant).</v>
      </c>
      <c r="I11" s="7" t="inlineStr">
        <is>
          <t>Tiering factor (risk framework T1-T3)</t>
        </is>
      </c>
      <c r="J11" s="7" t="inlineStr">
        <is>
          <t>Inherent-risk driver</t>
        </is>
      </c>
      <c r="L11">
        <f>IF(E11="","",IFERROR(MATCH(E11,QBank!$B$7:$B$11,0),""))</f>
        <v>3</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2</v>
      </c>
      <c r="G12" s="35" t="str">
        <f>IF(L12="","Not answered",INDEX(QBank!$D$12:$D$16,L12))</f>
        <v>Medium</v>
      </c>
      <c r="H12" s="36" t="str">
        <f>IF(L12="","",INDEX(QBank!$E$12:$E$16,L12))</f>
        <v>Confidentiality and contractual obligations apply; vendor data-use terms are critical.</v>
      </c>
      <c r="I12" s="7" t="inlineStr">
        <is>
          <t>Tiering factor (risk framework T1-T3)</t>
        </is>
      </c>
      <c r="J12" s="7" t="inlineStr">
        <is>
          <t>Inherent-risk driver</t>
        </is>
      </c>
      <c r="L12">
        <f>IF(E12="","",IFERROR(MATCH(E12,QBank!$B$12:$B$16,0),""))</f>
        <v>3</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1</v>
      </c>
      <c r="G13" s="35" t="str">
        <f>IF(L13="","Not answered",INDEX(QBank!$D$17:$D$21,L13))</f>
        <v>Low</v>
      </c>
      <c r="H13" s="36" t="str">
        <f>IF(L13="","",INDEX(QBank!$E$17:$E$21,L13))</f>
        <v>Effective 'human-in-charge' control if reviewers are trained and have time and authority to challenge.</v>
      </c>
      <c r="I13" s="7" t="inlineStr">
        <is>
          <t>Tiering factor (risk framework T1-T3)</t>
        </is>
      </c>
      <c r="J13" s="7" t="inlineStr">
        <is>
          <t>Inherent-risk driver</t>
        </is>
      </c>
      <c r="L13">
        <f>IF(E13="","",IFERROR(MATCH(E13,QBank!$B$17:$B$21,0),""))</f>
        <v>2</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inlineStr">
        <is>
          <t>AI committee or sponsor defined on paper; roles and decision rights partly documented</t>
        </is>
      </c>
      <c r="F15" s="37">
        <f>IF(L15="","",INDEX(QBank!$C$22:$C$26,L15))</f>
        <v>0.5</v>
      </c>
      <c r="G15" s="35" t="str">
        <f>IF(L15="","Not answered",INDEX(QBank!$D$22:$D$26,L15))</f>
        <v>Partially met</v>
      </c>
      <c r="H15" s="36" t="str">
        <f>IF(L15="","",INDEX(QBank!$E$22:$E$26,L15))</f>
        <v>Assign named business and technical owners to every AI system and publish a RACI across the three lines of defence.</v>
      </c>
      <c r="I15" s="7" t="inlineStr">
        <is>
          <t>GL-1, GL-2, GL-7, AA-1</t>
        </is>
      </c>
      <c r="J15" s="7" t="inlineStr">
        <is>
          <t>⚠ Mandatory Requirement</t>
        </is>
      </c>
      <c r="L15">
        <f>IF(E15="","",IFERROR(MATCH(E15,QBank!$B$22:$B$26,0),""))</f>
        <v>3</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inlineStr">
        <is>
          <t>AI policy enforced with staff acknowledgement; obligations register maps regulations to controls and owners</t>
        </is>
      </c>
      <c r="F16" s="37">
        <f>IF(L16="","",INDEX(QBank!$C$27:$C$31,L16))</f>
        <v>0.75</v>
      </c>
      <c r="G16" s="35" t="str">
        <f>IF(L16="","Not answered",INDEX(QBank!$D$27:$D$31,L16))</f>
        <v>Largely met</v>
      </c>
      <c r="H16" s="36" t="str">
        <f>IF(L16="","",INDEX(QBank!$E$27:$E$31,L16))</f>
        <v>Establish monthly regulatory horizon scanning and periodic compliance testing with evidence retention.</v>
      </c>
      <c r="I16" s="7" t="inlineStr">
        <is>
          <t>GL-5, RO-1, RO-5</t>
        </is>
      </c>
      <c r="J16" s="7" t="inlineStr">
        <is>
          <t>⟳ Compliance Obligation</t>
        </is>
      </c>
      <c r="L16">
        <f>IF(E16="","",IFERROR(MATCH(E16,QBank!$B$27:$B$31,0),""))</f>
        <v>4</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inlineStr">
        <is>
          <t>AI committee / CoE established; guardrails defined for some areas (e.g., human review of outputs)</t>
        </is>
      </c>
      <c r="F17" s="37">
        <f>IF(L17="","",INDEX(QBank!$C$32:$C$36,L17))</f>
        <v>0.5</v>
      </c>
      <c r="G17" s="35" t="str">
        <f>IF(L17="","Not answered",INDEX(QBank!$D$32:$D$36,L17))</f>
        <v>Partially met</v>
      </c>
      <c r="H17" s="36" t="str">
        <f>IF(L17="","",INDEX(QBank!$E$32:$E$36,L17))</f>
        <v>Apply mandatory human-in-charge controls and AI disclosure to all relevant AI; require committee approval for High / Critical uses.</v>
      </c>
      <c r="I17" s="7" t="inlineStr">
        <is>
          <t>GL-7, RS-1, RS-4, RS-5, CO-1, CO-3</t>
        </is>
      </c>
      <c r="J17" s="7" t="inlineStr">
        <is>
          <t>⚖ Ethical Consideration</t>
        </is>
      </c>
      <c r="L17">
        <f>IF(E17="","",IFERROR(MATCH(E17,QBank!$B$32:$B$36,0),""))</f>
        <v>3</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inlineStr">
        <is>
          <t>AI incident management with regulatory notification criteria; periodic internal audit of AI governance; assurance obtained from AI vendors</t>
        </is>
      </c>
      <c r="F18" s="37">
        <f>IF(L18="","",INDEX(QBank!$C$37:$C$41,L18))</f>
        <v>0.75</v>
      </c>
      <c r="G18" s="35" t="str">
        <f>IF(L18="","Not answered",INDEX(QBank!$D$37:$D$41,L18))</f>
        <v>Largely met</v>
      </c>
      <c r="H18" s="36" t="str">
        <f>IF(L18="","",INDEX(QBank!$E$37:$E$41,L18))</f>
        <v>Implement post-incident learning and an ISO/IEC 42001 certification-readiness review.</v>
      </c>
      <c r="I18" s="7" t="inlineStr">
        <is>
          <t>IM-1, IM-2, IM-3, AA-1, AA-2, RO-4</t>
        </is>
      </c>
      <c r="J18" s="7" t="inlineStr">
        <is>
          <t>⟳ Compliance Obligation</t>
        </is>
      </c>
      <c r="L18">
        <f>IF(E18="","",IFERROR(MATCH(E18,QBank!$B$37:$B$41,0),""))</f>
        <v>4</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inlineStr">
        <is>
          <t>AI risks considered informally within general IT or project risk</t>
        </is>
      </c>
      <c r="F19" s="37">
        <f>IF(L19="","",INDEX(QBank!$C$42:$C$46,L19))</f>
        <v>0.25</v>
      </c>
      <c r="G19" s="35" t="str">
        <f>IF(L19="","Not answered",INDEX(QBank!$D$42:$D$46,L19))</f>
        <v>Minimal</v>
      </c>
      <c r="H19" s="36" t="str">
        <f>IF(L19="","",INDEX(QBank!$E$42:$E$46,L19))</f>
        <v>Formalise the methodology, approve it at executive level and pilot it on current AI initiatives.</v>
      </c>
      <c r="I19" s="7" t="inlineStr">
        <is>
          <t>RM-1, RM-2, RM-3, RM-5</t>
        </is>
      </c>
      <c r="J19" s="7" t="inlineStr">
        <is>
          <t>⚠ Mandatory Requirement</t>
        </is>
      </c>
      <c r="L19">
        <f>IF(E19="","",IFERROR(MATCH(E19,QBank!$B$42:$B$46,0),""))</f>
        <v>2</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inlineStr">
        <is>
          <t>AI risk appetite drafted; a few indicators tracked informally</t>
        </is>
      </c>
      <c r="F20" s="37">
        <f>IF(L20="","",INDEX(QBank!$C$47:$C$51,L20))</f>
        <v>0.5</v>
      </c>
      <c r="G20" s="35" t="str">
        <f>IF(L20="","Not answered",INDEX(QBank!$D$47:$D$51,L20))</f>
        <v>Partially met</v>
      </c>
      <c r="H20" s="36" t="str">
        <f>IF(L20="","",INDEX(QBank!$E$47:$E$51,L20))</f>
        <v>Define KRIs with thresholds and escalation for each risk category and report them to the AI committee quarterly.</v>
      </c>
      <c r="I20" s="7" t="inlineStr">
        <is>
          <t>RM-6, RM-4, GL-1</t>
        </is>
      </c>
      <c r="J20" s="7" t="inlineStr">
        <is>
          <t>⚠ Mandatory Requirement</t>
        </is>
      </c>
      <c r="L20">
        <f>IF(E20="","",IFERROR(MATCH(E20,QBank!$B$47:$B$51,0),""))</f>
        <v>3</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inlineStr">
        <is>
          <t>AI register with owners; risk assessments performed for some AI systems using a documented method</t>
        </is>
      </c>
      <c r="F21" s="37">
        <f>IF(L21="","",INDEX(QBank!$C$52:$C$56,L21))</f>
        <v>0.5</v>
      </c>
      <c r="G21" s="35" t="str">
        <f>IF(L21="","Not answered",INDEX(QBank!$D$52:$D$56,L21))</f>
        <v>Partially met</v>
      </c>
      <c r="H21" s="36" t="str">
        <f>IF(L21="","",INDEX(QBank!$E$52:$E$56,L21))</f>
        <v>Extend assessments to all AI systems and third-party AI; set approval authority by risk tier.</v>
      </c>
      <c r="I21" s="7" t="inlineStr">
        <is>
          <t>GL-8, RM-2, RM-5, TP-2</t>
        </is>
      </c>
      <c r="J21" s="7" t="inlineStr">
        <is>
          <t>⚠ Mandatory Requirement</t>
        </is>
      </c>
      <c r="L21">
        <f>IF(E21="","",IFERROR(MATCH(E21,QBank!$B$52:$B$56,0),""))</f>
        <v>3</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inlineStr">
        <is>
          <t>AI questions added to vendor due diligence for some purchases; contract terms vary</t>
        </is>
      </c>
      <c r="F22" s="37">
        <f>IF(L22="","",INDEX(QBank!$C$57:$C$61,L22))</f>
        <v>0.5</v>
      </c>
      <c r="G22" s="35" t="str">
        <f>IF(L22="","Not answered",INDEX(QBank!$D$57:$D$61,L22))</f>
        <v>Partially met</v>
      </c>
      <c r="H22" s="36" t="str">
        <f>IF(L22="","",INDEX(QBank!$E$57:$E$61,L22))</f>
        <v>Make AI due diligence mandatory and adopt standard AI contract clauses (no training on client data, residency, audit, incident notice).</v>
      </c>
      <c r="I22" s="7" t="inlineStr">
        <is>
          <t>TP-1, TP-2, TP-3, SE-7, LC-6</t>
        </is>
      </c>
      <c r="J22" s="7" t="inlineStr">
        <is>
          <t>⟳ Compliance Obligation</t>
        </is>
      </c>
      <c r="L22">
        <f>IF(E22="","",IFERROR(MATCH(E22,QBank!$B$57:$B$61,0),""))</f>
        <v>3</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inlineStr">
        <is>
          <t>AI-specific threats (e.g., prompt injection, data leakage) assessed for some systems; access controls and logging in place</t>
        </is>
      </c>
      <c r="F23" s="37">
        <f>IF(L23="","",INDEX(QBank!$C$62:$C$66,L23))</f>
        <v>0.5</v>
      </c>
      <c r="G23" s="35" t="str">
        <f>IF(L23="","Not answered",INDEX(QBank!$D$62:$D$66,L23))</f>
        <v>Partially met</v>
      </c>
      <c r="H23" s="36" t="str">
        <f>IF(L23="","",INDEX(QBank!$E$62:$E$66,L23))</f>
        <v>Introduce AI red teaming before release, runtime guardrails (input / output filtering) and audit logging.</v>
      </c>
      <c r="I23" s="7" t="inlineStr">
        <is>
          <t>SE-2, SE-3, SE-6 to SE-10, OM-2, AA-3</t>
        </is>
      </c>
      <c r="J23" s="7" t="inlineStr">
        <is>
          <t>⚠ Mandatory Requirement</t>
        </is>
      </c>
      <c r="L23">
        <f>IF(E23="","",IFERROR(MATCH(E23,QBank!$B$62:$B$66,0),""))</f>
        <v>3</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inlineStr">
        <is>
          <t>Deepfake-resilient verification for payments and sensitive requests; behaviour-based detection; AI incident playbooks exercised</t>
        </is>
      </c>
      <c r="F24" s="37">
        <f>IF(L24="","",INDEX(QBank!$C$67:$C$71,L24))</f>
        <v>0.75</v>
      </c>
      <c r="G24" s="35" t="str">
        <f>IF(L24="","Not answered",INDEX(QBank!$D$67:$D$71,L24))</f>
        <v>Largely met</v>
      </c>
      <c r="H24" s="36" t="str">
        <f>IF(L24="","",INDEX(QBank!$E$67:$E$71,L24))</f>
        <v>Adopt continuous exposure management and AI-specific red teaming; reduce patch cycles to days.</v>
      </c>
      <c r="I24" s="7" t="inlineStr">
        <is>
          <t>AT-1, AT-2, AT-3, AT-4</t>
        </is>
      </c>
      <c r="J24" s="7" t="inlineStr">
        <is>
          <t>☆ Recommended</t>
        </is>
      </c>
      <c r="L24">
        <f>IF(E24="","",IFERROR(MATCH(E24,QBank!$B$67:$B$71,0),""))</f>
        <v>4</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inlineStr">
        <is>
          <t>Mandatory AI literacy before tool access; role-based pathways for developers, oversight staff and leaders; scenario-based security awareness</t>
        </is>
      </c>
      <c r="F25" s="37">
        <f>IF(L25="","",INDEX(QBank!$C$72:$C$76,L25))</f>
        <v>0.75</v>
      </c>
      <c r="G25" s="35" t="str">
        <f>IF(L25="","Not answered",INDEX(QBank!$D$72:$D$76,L25))</f>
        <v>Largely met</v>
      </c>
      <c r="H25" s="36" t="str">
        <f>IF(L25="","",INDEX(QBank!$E$72:$E$76,L25))</f>
        <v>Measure competence, refresh annually, and build an AI champions network and workforce plan.</v>
      </c>
      <c r="I25" s="7" t="inlineStr">
        <is>
          <t>GL-4, RS-9</t>
        </is>
      </c>
      <c r="J25" s="7" t="inlineStr">
        <is>
          <t>⟳ Compliance Obligation</t>
        </is>
      </c>
      <c r="L25">
        <f>IF(E25="","",IFERROR(MATCH(E25,QBank!$B$72:$B$76,0),""))</f>
        <v>4</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inlineStr">
        <is>
          <t>Executive sponsor named and AI strategy drafted, but not linked to business objectives or budget</t>
        </is>
      </c>
      <c r="F26" s="37">
        <f>IF(L26="","",INDEX(QBank!$C$77:$C$81,L26))</f>
        <v>0.5</v>
      </c>
      <c r="G26" s="35" t="str">
        <f>IF(L26="","Not answered",INDEX(QBank!$D$77:$D$81,L26))</f>
        <v>Partially met</v>
      </c>
      <c r="H26" s="36" t="str">
        <f>IF(L26="","",INDEX(QBank!$E$77:$E$81,L26))</f>
        <v>Link the strategy to business objectives and budget; define experimentation ('sandbox') boundaries and communicate them.</v>
      </c>
      <c r="I26" s="7" t="inlineStr">
        <is>
          <t>GL-1, GL-3</t>
        </is>
      </c>
      <c r="J26" s="7" t="inlineStr">
        <is>
          <t>☆ Recommended</t>
        </is>
      </c>
      <c r="L26">
        <f>IF(E26="","",IFERROR(MATCH(E26,QBank!$B$77:$B$81,0),""))</f>
        <v>3</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inlineStr">
        <is>
          <t>Use-case intake exists and initiatives are prioritised, but benefits are not systematically tracked</t>
        </is>
      </c>
      <c r="F27" s="37">
        <f>IF(L27="","",INDEX(QBank!$C$82:$C$86,L27))</f>
        <v>0.5</v>
      </c>
      <c r="G27" s="35" t="str">
        <f>IF(L27="","Not answered",INDEX(QBank!$D$82:$D$86,L27))</f>
        <v>Partially met</v>
      </c>
      <c r="H27" s="36" t="str">
        <f>IF(L27="","",INDEX(QBank!$E$82:$E$86,L27))</f>
        <v>Define benefit KPIs (financial and non-financial) at approval and assign benefit owners.</v>
      </c>
      <c r="I27" s="7" t="inlineStr">
        <is>
          <t>GL-6, GL-5</t>
        </is>
      </c>
      <c r="J27" s="7" t="inlineStr">
        <is>
          <t>☆ Recommended</t>
        </is>
      </c>
      <c r="L27">
        <f>IF(E27="","",IFERROR(MATCH(E27,QBank!$B$82:$B$86,0),""))</f>
        <v>3</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inlineStr">
        <is>
          <t>Data readiness assessed before approval; lineage and quality monitored; minimisation, anonymisation and prompt redaction applied; DPIAs standard</t>
        </is>
      </c>
      <c r="F28" s="37">
        <f>IF(L28="","",INDEX(QBank!$C$87:$C$91,L28))</f>
        <v>0.75</v>
      </c>
      <c r="G28" s="35" t="str">
        <f>IF(L28="","Not answered",INDEX(QBank!$D$87:$D$91,L28))</f>
        <v>Largely met</v>
      </c>
      <c r="H28" s="36" t="str">
        <f>IF(L28="","",INDEX(QBank!$E$87:$E$91,L28))</f>
        <v>Automate data-quality and lineage monitoring; operationalise data-subject rights and transfer assessments for AI.</v>
      </c>
      <c r="I28" s="7" t="inlineStr">
        <is>
          <t>LC-1, SE-4, PR-1, PR-4, PR-5, PR-6</t>
        </is>
      </c>
      <c r="J28" s="7" t="inlineStr">
        <is>
          <t>⟳ Compliance Obligation</t>
        </is>
      </c>
      <c r="L28">
        <f>IF(E28="","",IFERROR(MATCH(E28,QBank!$B$87:$B$91,0),""))</f>
        <v>4</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inlineStr">
        <is>
          <t>Reference architecture drafted; approved platforms and integration patterns for most AI; basic performance monitoring</t>
        </is>
      </c>
      <c r="F29" s="37">
        <f>IF(L29="","",INDEX(QBank!$C$92:$C$96,L29))</f>
        <v>0.5</v>
      </c>
      <c r="G29" s="35" t="str">
        <f>IF(L29="","Not answered",INDEX(QBank!$D$92:$D$96,L29))</f>
        <v>Partially met</v>
      </c>
      <c r="H29" s="36" t="str">
        <f>IF(L29="","",INDEX(QBank!$E$92:$E$96,L29))</f>
        <v>Centralise API / access control for AI, define agent execution authority and implement drift / performance monitoring with thresholds.</v>
      </c>
      <c r="I29" s="7" t="inlineStr">
        <is>
          <t>LC-2, LC-3, LC-8, LC-12, OM-1, OM-4, RM-6</t>
        </is>
      </c>
      <c r="J29" s="7" t="inlineStr">
        <is>
          <t>☆ Recommended</t>
        </is>
      </c>
      <c r="L29">
        <f>IF(E29="","",IFERROR(MATCH(E29,QBank!$B$92:$B$96,0),""))</f>
        <v>3</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inlineStr">
        <is>
          <t>Model inventory exists; validation performed for some material models</t>
        </is>
      </c>
      <c r="F30" s="37">
        <f>IF(L30="","",INDEX(QBank!$C$97:$C$101,L30))</f>
        <v>0.5</v>
      </c>
      <c r="G30" s="35" t="str">
        <f>IF(L30="","Not answered",INDEX(QBank!$D$97:$D$101,L30))</f>
        <v>Partially met</v>
      </c>
      <c r="H30" s="36" t="str">
        <f>IF(L30="","",INDEX(QBank!$E$97:$E$101,L30))</f>
        <v>Validate all material models before use and on a risk-based cycle; document thresholds, limitations and conditions of use.</v>
      </c>
      <c r="I30" s="7" t="inlineStr">
        <is>
          <t>LC-9, RS-6, LC-13, OM-1</t>
        </is>
      </c>
      <c r="J30" s="7" t="inlineStr">
        <is>
          <t>☆ Recommended</t>
        </is>
      </c>
      <c r="L30">
        <f>IF(E30="","",IFERROR(MATCH(E30,QBank!$B$97:$B$101,0),""))</f>
        <v>3</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6"/>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Grant Thornton Bahrain   |   Professional services   |   Assessment date: 24/09/2026</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Whole organisation - Firm-wide AI adoption across Audit, Tax, Advisory and internal functions   |   Completed by: AI Service Line Lead (Director, Risk Advisory)</v>
      </c>
      <c r="M3" s="43" t="n"/>
    </row>
    <row r="4">
      <c r="B4" s="44" t="str">
        <f>IF(Calc!B21=1,"Framework basis: NSW AI Assessment Framework (inherent risk)  |  ISO/IEC 42001, ISO/IEC 23894, NIST AI RMF  |  EU AI Act, Bahrain PDPL  |  GT AI RCM v2.1 (controls)","ASSESSMENT INCOMPLETE - "&amp;Calc!B20&amp;" of 20 questions answered. Results below are provisional.")</f>
        <v>Framework basis: NSW AI Assessment Framework (inherent risk)  |  ISO/IEC 42001, ISO/IEC 23894, NIST AI RMF  |  EU AI Act, Bahrain PDPL  |  GT AI RCM v2.1 (controls)</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Enter your email address in 1. Profile to enable the email link</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0.591666666666667</v>
      </c>
      <c r="C8" s="21" t="n"/>
      <c r="D8" s="21" t="n"/>
      <c r="E8" s="50" t="str">
        <f>IF(Calc!B46="","-",Calc!B46)</f>
        <v>Informed</v>
      </c>
      <c r="F8" s="21" t="n"/>
      <c r="G8" s="50" t="str">
        <f>IF(Calc!C32="","-",Calc!C32)</f>
        <v>Medium</v>
      </c>
      <c r="H8" s="21" t="n"/>
      <c r="I8" s="50" t="str">
        <f>IF(Calc!B57="","-",Calc!B57)</f>
        <v>Moderate</v>
      </c>
      <c r="J8" s="21" t="n"/>
      <c r="K8" s="21" t="n"/>
    </row>
    <row r="9" ht="40" customHeight="1">
      <c r="B9" s="51" t="str">
        <f>"Maturity scale: &lt;50% Partial | 50-70% Informed | 70-90% Repeatable | 90%+ Adaptive"</f>
        <v>Maturity scale: &lt;50% Partial | 50-70% Informed | 70-90% Repeatable | 90%+ Adaptive</v>
      </c>
      <c r="C9" s="21" t="n"/>
      <c r="D9" s="21" t="n"/>
      <c r="E9" s="51" t="str">
        <f>Calc!B70</f>
        <v>Awareness and some defined practices exist, but they are not consistently implemented.</v>
      </c>
      <c r="F9" s="21" t="n"/>
      <c r="G9" s="51" t="str">
        <f>IF(Calc!C30="","",TEXT(Calc!C30,"0%")&amp;" of maximum inherent risk. "&amp;Calc!C33)</f>
        <v>43% of maximum inherent risk. No override applied</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PROCEED WITH CONDITIONS</v>
      </c>
      <c r="E11" s="21" t="n"/>
      <c r="F11" s="21" t="n"/>
      <c r="G11" s="21" t="n"/>
      <c r="H11" s="21" t="n"/>
      <c r="I11" s="21" t="n"/>
      <c r="J11" s="21" t="n"/>
      <c r="K11" s="21" t="n"/>
    </row>
    <row r="12" ht="34" customHeight="1">
      <c r="B12" s="54" t="str">
        <f>Calc!C58</f>
        <v>Continue AI adoption, but address the identified gaps through a time-bound remediation plan (within 90 days for priority items). Obtain SME review (risk, privacy, security) for new AI use cases.</v>
      </c>
      <c r="C12" s="21" t="n"/>
      <c r="D12" s="21" t="n"/>
      <c r="E12" s="21" t="n"/>
      <c r="F12" s="21" t="n"/>
      <c r="G12" s="21" t="n"/>
      <c r="H12" s="21" t="n"/>
      <c r="I12" s="21" t="n"/>
      <c r="J12" s="21" t="n"/>
      <c r="K12" s="21" t="n"/>
    </row>
    <row r="13"/>
    <row r="14" ht="92" customHeight="1">
      <c r="B14" s="55" t="str">
        <f>Calc!B72</f>
        <v>Based on the responses provided, Grant Thornton Bahrain has an overall AI readiness score of 59%,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Awareness (75%) and the area requiring most attention is AI Risk &amp; Security (50%). Recommended pathway: PROCEED WITH CONDITIONS. Continue AI adoption, but address the identified gaps through a time-bound remediation plan (within 90 days for priority items). Obtain SME review (risk, privacy, security) for new AI use cases.</v>
      </c>
      <c r="C14" s="21" t="n"/>
      <c r="D14" s="21" t="n"/>
      <c r="E14" s="21" t="n"/>
      <c r="F14" s="21" t="n"/>
      <c r="G14" s="21" t="n"/>
      <c r="H14" s="21" t="n"/>
      <c r="I14" s="21" t="n"/>
      <c r="J14" s="21" t="n"/>
      <c r="K14" s="21" t="n"/>
    </row>
    <row r="15"/>
    <row r="16" ht="22" customHeight="1">
      <c r="B16" s="47" t="inlineStr">
        <is>
          <t>2. READINESS BY DOMAIN</t>
        </is>
      </c>
    </row>
    <row r="17" ht="26" customHeight="1">
      <c r="B17" s="23" t="inlineStr">
        <is>
          <t>Domain</t>
        </is>
      </c>
      <c r="C17" s="21" t="n"/>
      <c r="D17" s="23" t="inlineStr">
        <is>
          <t>Score</t>
        </is>
      </c>
      <c r="E17" s="23" t="inlineStr">
        <is>
          <t>Maturity</t>
        </is>
      </c>
      <c r="F17" s="23" t="inlineStr">
        <is>
          <t>Progress</t>
        </is>
      </c>
    </row>
    <row r="18" ht="25" customHeight="1">
      <c r="B18" s="56" t="inlineStr">
        <is>
          <t>AI Governance</t>
        </is>
      </c>
      <c r="C18" s="21" t="n"/>
      <c r="D18" s="37">
        <f>IF(Calc!B37="","-",Calc!B37)</f>
        <v>0.625</v>
      </c>
      <c r="E18" s="35" t="str">
        <f>IF(Calc!C37="","-",Calc!C37)</f>
        <v>Informed</v>
      </c>
      <c r="F18" s="57">
        <f>IF(Calc!B37="",0,Calc!B37)</f>
        <v>0.625</v>
      </c>
    </row>
    <row r="19" ht="25" customHeight="1">
      <c r="B19" s="56" t="inlineStr">
        <is>
          <t>AI Risk &amp; Security</t>
        </is>
      </c>
      <c r="C19" s="21" t="n"/>
      <c r="D19" s="37">
        <f>IF(Calc!B38="","-",Calc!B38)</f>
        <v>0.5</v>
      </c>
      <c r="E19" s="35" t="str">
        <f>IF(Calc!C38="","-",Calc!C38)</f>
        <v>Informed</v>
      </c>
      <c r="F19" s="57">
        <f>IF(Calc!B38="",0,Calc!B38)</f>
        <v>0.5</v>
      </c>
    </row>
    <row r="20" ht="25" customHeight="1">
      <c r="B20" s="56" t="inlineStr">
        <is>
          <t>Training &amp; Awareness</t>
        </is>
      </c>
      <c r="C20" s="21" t="n"/>
      <c r="D20" s="37">
        <f>IF(Calc!B39="","-",Calc!B39)</f>
        <v>0.75</v>
      </c>
      <c r="E20" s="35" t="str">
        <f>IF(Calc!C39="","-",Calc!C39)</f>
        <v>Repeatable</v>
      </c>
      <c r="F20" s="57">
        <f>IF(Calc!B39="",0,Calc!B39)</f>
        <v>0.75</v>
      </c>
    </row>
    <row r="21" ht="25" customHeight="1">
      <c r="B21" s="56" t="inlineStr">
        <is>
          <t>Strategy &amp; Value</t>
        </is>
      </c>
      <c r="C21" s="21" t="n"/>
      <c r="D21" s="37">
        <f>IF(Calc!B40="","-",Calc!B40)</f>
        <v>0.5</v>
      </c>
      <c r="E21" s="35" t="str">
        <f>IF(Calc!C40="","-",Calc!C40)</f>
        <v>Informed</v>
      </c>
      <c r="F21" s="57">
        <f>IF(Calc!B40="",0,Calc!B40)</f>
        <v>0.5</v>
      </c>
    </row>
    <row r="22" ht="25" customHeight="1">
      <c r="B22" s="56" t="inlineStr">
        <is>
          <t>Data &amp; Technology</t>
        </is>
      </c>
      <c r="C22" s="21" t="n"/>
      <c r="D22" s="37">
        <f>IF(Calc!B41="","-",Calc!B41)</f>
        <v>0.583333333333333</v>
      </c>
      <c r="E22" s="35" t="str">
        <f>IF(Calc!C41="","-",Calc!C41)</f>
        <v>Informed</v>
      </c>
      <c r="F22" s="57">
        <f>IF(Calc!B41="",0,Calc!B41)</f>
        <v>0.583333333333333</v>
      </c>
    </row>
    <row r="23" ht="25" customHeight="1">
      <c r="B23" s="58" t="inlineStr">
        <is>
          <t>OVERALL</t>
        </is>
      </c>
      <c r="C23" s="21" t="n"/>
      <c r="D23" s="59">
        <f>IF(Calc!B45="","-",Calc!B45)</f>
        <v>0.591666666666667</v>
      </c>
      <c r="E23" s="30" t="str">
        <f>IF(Calc!B46="","-",Calc!B46)</f>
        <v>Informed</v>
      </c>
      <c r="F23" s="60" t="str">
        <f>"Target 70%"</f>
        <v>Target 70%</v>
      </c>
    </row>
    <row r="24" ht="80" customHeight="1"/>
    <row r="25" ht="26" customHeight="1">
      <c r="B25" s="23" t="inlineStr">
        <is>
          <t>Domain</t>
        </is>
      </c>
      <c r="C25" s="21" t="n"/>
      <c r="D25" s="23" t="inlineStr">
        <is>
          <t>Potential risk if the domain is not strengthened (shown where score &lt; 90%)</t>
        </is>
      </c>
      <c r="E25" s="21" t="n"/>
      <c r="F25" s="21" t="n"/>
      <c r="G25" s="21" t="n"/>
      <c r="H25" s="21" t="n"/>
      <c r="I25" s="21" t="n"/>
      <c r="J25" s="21" t="n"/>
      <c r="K25" s="21" t="n"/>
    </row>
    <row r="26" ht="28" customHeight="1">
      <c r="B26" s="61" t="inlineStr">
        <is>
          <t>AI Governance</t>
        </is>
      </c>
      <c r="C26" s="21" t="n"/>
      <c r="D26" s="7" t="str">
        <f>IF(Calc!B37="","",IF(Calc!B37&gt;=0.9,"Adaptive - maintain current practices.",Calc!E37))</f>
        <v>Without clear accountability, policy, oversight and assurance, AI is adopted inconsistently, misused and breaches regulation without anyone noticing or answering for it.</v>
      </c>
      <c r="E26" s="21" t="n"/>
      <c r="F26" s="21" t="n"/>
      <c r="G26" s="21" t="n"/>
      <c r="H26" s="21" t="n"/>
      <c r="I26" s="21" t="n"/>
      <c r="J26" s="21" t="n"/>
      <c r="K26" s="21" t="n"/>
    </row>
    <row r="27" ht="28" customHeight="1">
      <c r="B27" s="61" t="inlineStr">
        <is>
          <t>AI Risk &amp; Security</t>
        </is>
      </c>
      <c r="C27" s="21" t="n"/>
      <c r="D27" s="7" t="str">
        <f>IF(Calc!B38="","",IF(Calc!B38&gt;=0.9,"Adaptive - maintain current practices.",Calc!E38))</f>
        <v>Without an AI risk framework, risk appetite, impact assessments, third-party controls and AI security, the organisation is exposed to unmanaged AI risk, prompt injection, data leakage, model compromise and deepfake-enabled fraud.</v>
      </c>
      <c r="E27" s="21" t="n"/>
      <c r="F27" s="21" t="n"/>
      <c r="G27" s="21" t="n"/>
      <c r="H27" s="21" t="n"/>
      <c r="I27" s="21" t="n"/>
      <c r="J27" s="21" t="n"/>
      <c r="K27" s="21" t="n"/>
    </row>
    <row r="28" ht="28" customHeight="1">
      <c r="B28" s="61" t="inlineStr">
        <is>
          <t>Training &amp; Awareness</t>
        </is>
      </c>
      <c r="C28" s="21" t="n"/>
      <c r="D28" s="7" t="str">
        <f>IF(Calc!B39="","",IF(Calc!B39&gt;=0.9,"Adaptive - maintain current practices.",Calc!E39))</f>
        <v>Low AI literacy and awareness increase unsafe use of AI tools, unchecked or biased outputs and susceptibility to AI-enabled phishing and deepfakes.</v>
      </c>
      <c r="E28" s="21" t="n"/>
      <c r="F28" s="21" t="n"/>
      <c r="G28" s="21" t="n"/>
      <c r="H28" s="21" t="n"/>
      <c r="I28" s="21" t="n"/>
      <c r="J28" s="21" t="n"/>
      <c r="K28" s="21" t="n"/>
    </row>
    <row r="29" ht="28" customHeight="1">
      <c r="B29" s="61" t="inlineStr">
        <is>
          <t>Strategy &amp; Value</t>
        </is>
      </c>
      <c r="C29" s="21" t="n"/>
      <c r="D29" s="7" t="str">
        <f>IF(Calc!B40="","",IF(Calc!B40&gt;=0.9,"Adaptive - maintain current practices.",Calc!E40))</f>
        <v>Without clear direction, ownership and value tracking, AI adoption is fragmented, duplicated and hard to justify.</v>
      </c>
      <c r="E29" s="21" t="n"/>
      <c r="F29" s="21" t="n"/>
      <c r="G29" s="21" t="n"/>
      <c r="H29" s="21" t="n"/>
      <c r="I29" s="21" t="n"/>
      <c r="J29" s="21" t="n"/>
      <c r="K29" s="21" t="n"/>
    </row>
    <row r="30" ht="28" customHeight="1">
      <c r="B30" s="61" t="inlineStr">
        <is>
          <t>Data &amp; Technology</t>
        </is>
      </c>
      <c r="C30" s="21" t="n"/>
      <c r="D30" s="7" t="str">
        <f>IF(Calc!B41="","",IF(Calc!B41&gt;=0.9,"Adaptive - maintain current practices.",Calc!E41))</f>
        <v>Weak data governance, architecture and model validation lead to inaccurate or biased outputs, privacy breaches, undetected drift and unsustainable costs.</v>
      </c>
      <c r="E30" s="21" t="n"/>
      <c r="F30" s="21" t="n"/>
      <c r="G30" s="21" t="n"/>
      <c r="H30" s="21" t="n"/>
      <c r="I30" s="21" t="n"/>
      <c r="J30" s="21" t="n"/>
      <c r="K30" s="21" t="n"/>
    </row>
    <row r="31"/>
    <row r="32" ht="22" customHeight="1">
      <c r="B32" s="47" t="inlineStr">
        <is>
          <t>3. AI USE &amp; INHERENT RISK PROFILE (AIAF-based)</t>
        </is>
      </c>
    </row>
    <row r="33" ht="26" customHeight="1">
      <c r="B33" s="23" t="inlineStr">
        <is>
          <t>Factor</t>
        </is>
      </c>
      <c r="C33" s="21" t="n"/>
      <c r="D33" s="23" t="inlineStr">
        <is>
          <t>Your response</t>
        </is>
      </c>
      <c r="E33" s="21" t="n"/>
      <c r="F33" s="21" t="n"/>
      <c r="G33" s="21" t="n"/>
      <c r="H33" s="23" t="inlineStr">
        <is>
          <t>Risk level</t>
        </is>
      </c>
      <c r="I33" s="23" t="inlineStr">
        <is>
          <t>Implication</t>
        </is>
      </c>
      <c r="J33" s="21" t="n"/>
      <c r="K33" s="21" t="n"/>
    </row>
    <row r="34" ht="63.5" customHeight="1">
      <c r="B34" s="61" t="inlineStr">
        <is>
          <t>A1  AI use profile</t>
        </is>
      </c>
      <c r="C34" s="21" t="n"/>
      <c r="D34" s="7" t="str">
        <f>IF('2. Assessment'!E10="","Not answered",'2. Assessment'!E10)</f>
        <v>Approved enterprise GenAI tools and AI features embedded in business software across teams</v>
      </c>
      <c r="E34" s="21" t="n"/>
      <c r="F34" s="21" t="n"/>
      <c r="G34" s="21" t="n"/>
      <c r="H34" s="35" t="str">
        <f>'2. Assessment'!G10</f>
        <v>Medium</v>
      </c>
      <c r="I34" s="62" t="str">
        <f>'2. Assessment'!H10</f>
        <v>AI is part of day-to-day work. Exposure spans data protection, output quality, vendor dependence and consistent human review.</v>
      </c>
      <c r="J34" s="21" t="n"/>
      <c r="K34" s="21" t="n"/>
    </row>
    <row r="35" ht="52" customHeight="1">
      <c r="B35" s="61" t="inlineStr">
        <is>
          <t>A2  Decision impact</t>
        </is>
      </c>
      <c r="C35" s="21" t="n"/>
      <c r="D35" s="7" t="str">
        <f>IF('2. Assessment'!E11="","Not answered",'2. Assessment'!E11)</f>
        <v>Customer- or client-facing outputs with limited individual impact (e.g., FAQ chatbots, marketing content)</v>
      </c>
      <c r="E35" s="21" t="n"/>
      <c r="F35" s="21" t="n"/>
      <c r="G35" s="21" t="n"/>
      <c r="H35" s="35" t="str">
        <f>'2. Assessment'!G11</f>
        <v>Medium</v>
      </c>
      <c r="I35" s="62" t="str">
        <f>'2. Assessment'!H11</f>
        <v>External stakeholders see AI outputs - disclosure, accuracy and reputational controls apply (e.g., EU AI Act Art. 50 where relevant).</v>
      </c>
      <c r="J35" s="21" t="n"/>
      <c r="K35" s="21" t="n"/>
    </row>
    <row r="36" ht="52" customHeight="1">
      <c r="B36" s="61" t="inlineStr">
        <is>
          <t>A3  Data sensitivity</t>
        </is>
      </c>
      <c r="C36" s="21" t="n"/>
      <c r="D36" s="7" t="str">
        <f>IF('2. Assessment'!E12="","Not answered",'2. Assessment'!E12)</f>
        <v>Confidential business or client information</v>
      </c>
      <c r="E36" s="21" t="n"/>
      <c r="F36" s="21" t="n"/>
      <c r="G36" s="21" t="n"/>
      <c r="H36" s="35" t="str">
        <f>'2. Assessment'!G12</f>
        <v>Medium</v>
      </c>
      <c r="I36" s="62" t="str">
        <f>'2. Assessment'!H12</f>
        <v>Confidentiality and contractual obligations apply; vendor data-use terms are critical.</v>
      </c>
      <c r="J36" s="21" t="n"/>
      <c r="K36" s="21" t="n"/>
    </row>
    <row r="37" ht="52" customHeight="1">
      <c r="B37" s="61" t="inlineStr">
        <is>
          <t>A4  Oversight &amp; reversibility</t>
        </is>
      </c>
      <c r="C37" s="21" t="n"/>
      <c r="D37" s="7" t="str">
        <f>IF('2. Assessment'!E13="","Not answered",'2. Assessment'!E13)</f>
        <v>A qualified human reviews and approves every AI output before it is used</v>
      </c>
      <c r="E37" s="21" t="n"/>
      <c r="F37" s="21" t="n"/>
      <c r="G37" s="21" t="n"/>
      <c r="H37" s="35" t="str">
        <f>'2. Assessment'!G13</f>
        <v>Low</v>
      </c>
      <c r="I37" s="62" t="str">
        <f>'2. Assessment'!H13</f>
        <v>Effective 'human-in-charge' control if reviewers are trained and have time and authority to challenge.</v>
      </c>
      <c r="J37" s="21" t="n"/>
      <c r="K37" s="21" t="n"/>
    </row>
    <row r="38" ht="28" customHeight="1">
      <c r="B38" s="63" t="str">
        <f>"Inherent risk tier: "&amp;IF(Calc!C32="","-",UPPER(Calc!C32))&amp;IF(Calc!C30="",""," ("&amp;TEXT(Calc!C30,"0%")&amp;" weighted inherent-risk score)")</f>
        <v>Inherent risk tier: MEDIUM (43% weighted inherent-risk score)</v>
      </c>
      <c r="C38" s="21" t="n"/>
      <c r="D38" s="21" t="n"/>
      <c r="E38" s="21" t="n"/>
      <c r="F38" s="21" t="n"/>
      <c r="G38" s="21" t="n"/>
      <c r="H38" s="64" t="str">
        <f>Calc!C33</f>
        <v>No override applied</v>
      </c>
      <c r="I38" s="21" t="n"/>
      <c r="J38" s="21" t="n"/>
      <c r="K38" s="21" t="n"/>
    </row>
    <row r="39"/>
    <row r="40" ht="22" customHeight="1">
      <c r="B40" s="47" t="inlineStr">
        <is>
          <t>4. RESPONSIBLE-AI PRINCIPLE COVERAGE (NSW AIAF ethics principles)</t>
        </is>
      </c>
    </row>
    <row r="41" ht="26" customHeight="1">
      <c r="B41" s="23" t="inlineStr">
        <is>
          <t>Principle</t>
        </is>
      </c>
      <c r="C41" s="21" t="n"/>
      <c r="D41" s="21" t="n"/>
      <c r="E41" s="23" t="inlineStr">
        <is>
          <t>Coverage</t>
        </is>
      </c>
      <c r="F41" s="23" t="inlineStr">
        <is>
          <t>Assessment</t>
        </is>
      </c>
      <c r="G41" s="21" t="n"/>
      <c r="H41" s="23" t="inlineStr">
        <is>
          <t>Informed by questions</t>
        </is>
      </c>
      <c r="I41" s="21" t="n"/>
      <c r="J41" s="21" t="n"/>
      <c r="K41" s="21" t="n"/>
    </row>
    <row r="42" ht="18" customHeight="1">
      <c r="B42" s="61" t="inlineStr">
        <is>
          <t>Fairness</t>
        </is>
      </c>
      <c r="C42" s="21" t="n"/>
      <c r="D42" s="21" t="n"/>
      <c r="E42" s="65">
        <f>IF(Calc!B76="","-",Calc!B76)</f>
        <v>0.583333333333333</v>
      </c>
      <c r="F42" s="35" t="str">
        <f>Calc!D76</f>
        <v>Partially addressed</v>
      </c>
      <c r="G42" s="21" t="n"/>
      <c r="H42" s="62" t="str">
        <f>Calc!C76</f>
        <v>Q7, Q18, Q20</v>
      </c>
      <c r="I42" s="21" t="n"/>
      <c r="J42" s="21" t="n"/>
      <c r="K42" s="21" t="n"/>
    </row>
    <row r="43" ht="18" customHeight="1">
      <c r="B43" s="61" t="inlineStr">
        <is>
          <t>Privacy &amp; Security</t>
        </is>
      </c>
      <c r="C43" s="21" t="n"/>
      <c r="D43" s="21" t="n"/>
      <c r="E43" s="65">
        <f>IF(Calc!B77="","-",Calc!B77)</f>
        <v>0.65</v>
      </c>
      <c r="F43" s="35" t="str">
        <f>Calc!D77</f>
        <v>Partially addressed</v>
      </c>
      <c r="G43" s="21" t="n"/>
      <c r="H43" s="62" t="str">
        <f>Calc!C77</f>
        <v>Q6, Q12, Q13, Q14, Q18</v>
      </c>
      <c r="I43" s="21" t="n"/>
      <c r="J43" s="21" t="n"/>
      <c r="K43" s="21" t="n"/>
    </row>
    <row r="44" ht="18" customHeight="1">
      <c r="B44" s="61" t="inlineStr">
        <is>
          <t>Transparency &amp; Explainability</t>
        </is>
      </c>
      <c r="C44" s="21" t="n"/>
      <c r="D44" s="21" t="n"/>
      <c r="E44" s="65">
        <f>IF(Calc!B78="","-",Calc!B78)</f>
        <v>0.625</v>
      </c>
      <c r="F44" s="35" t="str">
        <f>Calc!D78</f>
        <v>Partially addressed</v>
      </c>
      <c r="G44" s="21" t="n"/>
      <c r="H44" s="62" t="str">
        <f>Calc!C78</f>
        <v>Q7, Q8</v>
      </c>
      <c r="I44" s="21" t="n"/>
      <c r="J44" s="21" t="n"/>
      <c r="K44" s="21" t="n"/>
    </row>
    <row r="45" ht="18" customHeight="1">
      <c r="B45" s="61" t="inlineStr">
        <is>
          <t>Accountability</t>
        </is>
      </c>
      <c r="C45" s="21" t="n"/>
      <c r="D45" s="21" t="n"/>
      <c r="E45" s="65">
        <f>IF(Calc!B79="","-",Calc!B79)</f>
        <v>0.53125</v>
      </c>
      <c r="F45" s="35" t="str">
        <f>Calc!D79</f>
        <v>Partially addressed</v>
      </c>
      <c r="G45" s="21" t="n"/>
      <c r="H45" s="62" t="str">
        <f>Calc!C79</f>
        <v>Q5, Q6, Q8, Q9, Q10, Q11, Q12, Q16</v>
      </c>
      <c r="I45" s="21" t="n"/>
      <c r="J45" s="21" t="n"/>
      <c r="K45" s="21" t="n"/>
    </row>
    <row r="46" ht="18" customHeight="1">
      <c r="B46" s="61" t="inlineStr">
        <is>
          <t>Human, Social &amp; Environmental Wellbeing</t>
        </is>
      </c>
      <c r="C46" s="21" t="n"/>
      <c r="D46" s="21" t="n"/>
      <c r="E46" s="65">
        <f>IF(Calc!B80="","-",Calc!B80)</f>
        <v>0.5</v>
      </c>
      <c r="F46" s="35" t="str">
        <f>Calc!D80</f>
        <v>Partially addressed</v>
      </c>
      <c r="G46" s="21" t="n"/>
      <c r="H46" s="62" t="str">
        <f>Calc!C80</f>
        <v>Q11, Q17</v>
      </c>
      <c r="I46" s="21" t="n"/>
      <c r="J46" s="21" t="n"/>
      <c r="K46" s="21" t="n"/>
    </row>
    <row r="47" ht="18" customHeight="1">
      <c r="B47" s="61" t="inlineStr">
        <is>
          <t>Human-Centred Values</t>
        </is>
      </c>
      <c r="C47" s="21" t="n"/>
      <c r="D47" s="21" t="n"/>
      <c r="E47" s="65">
        <f>IF(Calc!B81="","-",Calc!B81)</f>
        <v>0.625</v>
      </c>
      <c r="F47" s="35" t="str">
        <f>Calc!D81</f>
        <v>Partially addressed</v>
      </c>
      <c r="G47" s="21" t="n"/>
      <c r="H47" s="62" t="str">
        <f>Calc!C81</f>
        <v>Q7, Q15</v>
      </c>
      <c r="I47" s="21" t="n"/>
      <c r="J47" s="21" t="n"/>
      <c r="K47" s="21" t="n"/>
    </row>
    <row r="48" ht="18" customHeight="1">
      <c r="B48" s="61" t="inlineStr">
        <is>
          <t>Reliability &amp; Safety</t>
        </is>
      </c>
      <c r="C48" s="21" t="n"/>
      <c r="D48" s="21" t="n"/>
      <c r="E48" s="65">
        <f>IF(Calc!B82="","-",Calc!B82)</f>
        <v>0.5</v>
      </c>
      <c r="F48" s="35" t="str">
        <f>Calc!D82</f>
        <v>Partially addressed</v>
      </c>
      <c r="G48" s="21" t="n"/>
      <c r="H48" s="62" t="str">
        <f>Calc!C82</f>
        <v>Q8, Q9, Q13, Q19, Q20</v>
      </c>
      <c r="I48" s="21" t="n"/>
      <c r="J48" s="21" t="n"/>
      <c r="K48" s="21" t="n"/>
    </row>
    <row r="49" ht="18" customHeight="1">
      <c r="B49" s="61" t="inlineStr">
        <is>
          <t>Contestability</t>
        </is>
      </c>
      <c r="C49" s="21" t="n"/>
      <c r="D49" s="21" t="n"/>
      <c r="E49" s="65">
        <f>IF(Calc!B83="","-",Calc!B83)</f>
        <v>0.625</v>
      </c>
      <c r="F49" s="35" t="str">
        <f>Calc!D83</f>
        <v>Partially addressed</v>
      </c>
      <c r="G49" s="21" t="n"/>
      <c r="H49" s="62" t="str">
        <f>Calc!C83</f>
        <v>Q7, Q8</v>
      </c>
      <c r="I49" s="21" t="n"/>
      <c r="J49" s="21" t="n"/>
      <c r="K49" s="21" t="n"/>
    </row>
    <row r="50"/>
    <row r="51" ht="22" customHeight="1">
      <c r="B51" s="47" t="inlineStr">
        <is>
          <t>5. DETAILED FINDINGS &amp; RECOMMENDATIONS</t>
        </is>
      </c>
    </row>
    <row r="52" ht="22" customHeight="1">
      <c r="B52" s="23" t="inlineStr">
        <is>
          <t>Area</t>
        </is>
      </c>
      <c r="C52" s="21" t="n"/>
      <c r="D52" s="23" t="inlineStr">
        <is>
          <t>Your response &amp; score</t>
        </is>
      </c>
      <c r="E52" s="21" t="n"/>
      <c r="F52" s="21" t="n"/>
      <c r="G52" s="23" t="inlineStr">
        <is>
          <t>Potential risk</t>
        </is>
      </c>
      <c r="H52" s="21" t="n"/>
      <c r="I52" s="23" t="inlineStr">
        <is>
          <t>Recommended action</t>
        </is>
      </c>
      <c r="J52" s="21" t="n"/>
      <c r="K52" s="21" t="n"/>
    </row>
    <row r="53" ht="77.5" customHeight="1">
      <c r="B53" s="66" t="inlineStr">
        <is>
          <t>Q5  AI governance structure &amp; accountability
AI Governance
⚠ Mandatory Requirement</t>
        </is>
      </c>
      <c r="C53" s="21" t="n"/>
      <c r="D53" s="67" t="str">
        <f>IF('2. Assessment'!E15="","Not answered",TEXT('2. Assessment'!F15,"0%")&amp;" - "&amp;'2. Assessment'!G15&amp;CHAR(10)&amp;CHAR(10)&amp;'2. Assessment'!E15)</f>
        <v>50% - Partially met
AI committee or sponsor defined on paper; roles and decision rights partly documented</v>
      </c>
      <c r="E53" s="21" t="n"/>
      <c r="F53" s="21" t="n"/>
      <c r="G53" s="67"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3" s="21" t="n"/>
      <c r="I53" s="67" t="str">
        <f>IF('2. Assessment'!E15="","",'2. Assessment'!H15&amp;CHAR(10)&amp;CHAR(10)&amp;"Controls: GL-1, GL-2, GL-7, AA-1")</f>
        <v>Assign named business and technical owners to every AI system and publish a RACI across the three lines of defence.
Controls: GL-1, GL-2, GL-7, AA-1</v>
      </c>
      <c r="J53" s="21" t="n"/>
      <c r="K53" s="21" t="n"/>
    </row>
    <row r="54" ht="77.5" customHeight="1">
      <c r="B54" s="66" t="inlineStr">
        <is>
          <t>Q6  AI policy, acceptable use &amp; regulatory compliance
AI Governance
⟳ Compliance Obligation</t>
        </is>
      </c>
      <c r="C54" s="21" t="n"/>
      <c r="D54" s="67" t="str">
        <f>IF('2. Assessment'!E16="","Not answered",TEXT('2. Assessment'!F16,"0%")&amp;" - "&amp;'2. Assessment'!G16&amp;CHAR(10)&amp;CHAR(10)&amp;'2. Assessment'!E16)</f>
        <v>75% - Largely met
AI policy enforced with staff acknowledgement; obligations register maps regulations to controls and owners</v>
      </c>
      <c r="E54" s="21" t="n"/>
      <c r="F54" s="21" t="n"/>
      <c r="G54" s="67"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4" s="21" t="n"/>
      <c r="I54" s="67" t="str">
        <f>IF('2. Assessment'!E16="","",'2. Assessment'!H16&amp;CHAR(10)&amp;CHAR(10)&amp;"Controls: GL-5, RO-1, RO-5")</f>
        <v>Establish monthly regulatory horizon scanning and periodic compliance testing with evidence retention.
Controls: GL-5, RO-1, RO-5</v>
      </c>
      <c r="J54" s="21" t="n"/>
      <c r="K54" s="21" t="n"/>
    </row>
    <row r="55" ht="77.5" customHeight="1">
      <c r="B55" s="66" t="inlineStr">
        <is>
          <t>Q7  Responsible-AI guardrails &amp; human oversight
AI Governance
⚖ Ethical Consideration</t>
        </is>
      </c>
      <c r="C55" s="21" t="n"/>
      <c r="D55" s="67" t="str">
        <f>IF('2. Assessment'!E17="","Not answered",TEXT('2. Assessment'!F17,"0%")&amp;" - "&amp;'2. Assessment'!G17&amp;CHAR(10)&amp;CHAR(10)&amp;'2. Assessment'!E17)</f>
        <v>50% - Partially met
AI committee / CoE established; guardrails defined for some areas (e.g., human review of outputs)</v>
      </c>
      <c r="E55" s="21" t="n"/>
      <c r="F55" s="21" t="n"/>
      <c r="G55" s="67" t="str">
        <f>IF('2. Assessment'!F17=1,"N/A - reported as fully met.","Biased or harmful outcomes, undisclosed AI use and lack of accountability for AI-supported decisions.")</f>
        <v>Biased or harmful outcomes, undisclosed AI use and lack of accountability for AI-supported decisions.</v>
      </c>
      <c r="H55" s="21" t="n"/>
      <c r="I55" s="67" t="str">
        <f>IF('2. Assessment'!E17="","",'2. Assessment'!H17&amp;CHAR(10)&amp;CHAR(10)&amp;"Controls: GL-7, RS-1, RS-4, RS-5, CO-1, CO-3")</f>
        <v>Apply mandatory human-in-charge controls and AI disclosure to all relevant AI; require committee approval for High / Critical uses.
Controls: GL-7, RS-1, RS-4, RS-5, CO-1, CO-3</v>
      </c>
      <c r="J55" s="21" t="n"/>
      <c r="K55" s="21" t="n"/>
    </row>
    <row r="56" ht="77.5" customHeight="1">
      <c r="B56" s="66" t="inlineStr">
        <is>
          <t>Q8  AI incidents, monitoring &amp; assurance
AI Governance
⟳ Compliance Obligation</t>
        </is>
      </c>
      <c r="C56" s="21" t="n"/>
      <c r="D56" s="67" t="str">
        <f>IF('2. Assessment'!E18="","Not answered",TEXT('2. Assessment'!F18,"0%")&amp;" - "&amp;'2. Assessment'!G18&amp;CHAR(10)&amp;CHAR(10)&amp;'2. Assessment'!E18)</f>
        <v>75% - Largely met
AI incident management with regulatory notification criteria; periodic internal audit of AI governance; assurance obtained from AI vendors</v>
      </c>
      <c r="E56" s="21" t="n"/>
      <c r="F56" s="21" t="n"/>
      <c r="G56" s="67"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56" s="21" t="n"/>
      <c r="I56" s="67" t="str">
        <f>IF('2. Assessment'!E18="","",'2. Assessment'!H18&amp;CHAR(10)&amp;CHAR(10)&amp;"Controls: IM-1, IM-2, IM-3, AA-1, AA-2, RO-4")</f>
        <v>Implement post-incident learning and an ISO/IEC 42001 certification-readiness review.
Controls: IM-1, IM-2, IM-3, AA-1, AA-2, RO-4</v>
      </c>
      <c r="J56" s="21" t="n"/>
      <c r="K56" s="21" t="n"/>
    </row>
    <row r="57" ht="77.5" customHeight="1">
      <c r="B57" s="66" t="inlineStr">
        <is>
          <t>Q9  AI risk management framework
AI Risk &amp; Security
⚠ Mandatory Requirement</t>
        </is>
      </c>
      <c r="C57" s="21" t="n"/>
      <c r="D57" s="67" t="str">
        <f>IF('2. Assessment'!E19="","Not answered",TEXT('2. Assessment'!F19,"0%")&amp;" - "&amp;'2. Assessment'!G19&amp;CHAR(10)&amp;CHAR(10)&amp;'2. Assessment'!E19)</f>
        <v>25% - Minimal
AI risks considered informally within general IT or project risk</v>
      </c>
      <c r="E57" s="21" t="n"/>
      <c r="F57" s="21" t="n"/>
      <c r="G57" s="67"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57" s="21" t="n"/>
      <c r="I57" s="67" t="str">
        <f>IF('2. Assessment'!E19="","",'2. Assessment'!H19&amp;CHAR(10)&amp;CHAR(10)&amp;"Controls: RM-1, RM-2, RM-3, RM-5")</f>
        <v>Formalise the methodology, approve it at executive level and pilot it on current AI initiatives.
Controls: RM-1, RM-2, RM-3, RM-5</v>
      </c>
      <c r="J57" s="21" t="n"/>
      <c r="K57" s="21" t="n"/>
    </row>
    <row r="58" ht="77.5" customHeight="1">
      <c r="B58" s="66" t="inlineStr">
        <is>
          <t>Q10  AI risk appetite, KRIs &amp; reporting
AI Risk &amp; Security
⚠ Mandatory Requirement</t>
        </is>
      </c>
      <c r="C58" s="21" t="n"/>
      <c r="D58" s="67" t="str">
        <f>IF('2. Assessment'!E20="","Not answered",TEXT('2. Assessment'!F20,"0%")&amp;" - "&amp;'2. Assessment'!G20&amp;CHAR(10)&amp;CHAR(10)&amp;'2. Assessment'!E20)</f>
        <v>50% - Partially met
AI risk appetite drafted; a few indicators tracked informally</v>
      </c>
      <c r="E58" s="21" t="n"/>
      <c r="F58" s="21" t="n"/>
      <c r="G58" s="67"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58" s="21" t="n"/>
      <c r="I58" s="67" t="str">
        <f>IF('2. Assessment'!E20="","",'2. Assessment'!H20&amp;CHAR(10)&amp;CHAR(10)&amp;"Controls: RM-6, RM-4, GL-1")</f>
        <v>Define KRIs with thresholds and escalation for each risk category and report them to the AI committee quarterly.
Controls: RM-6, RM-4, GL-1</v>
      </c>
      <c r="J58" s="21" t="n"/>
      <c r="K58" s="21" t="n"/>
    </row>
    <row r="59" ht="77.5" customHeight="1">
      <c r="B59" s="66" t="inlineStr">
        <is>
          <t>Q11  AI inventory &amp; risk / impact assessment
AI Risk &amp; Security
⚠ Mandatory Requirement</t>
        </is>
      </c>
      <c r="C59" s="21" t="n"/>
      <c r="D59" s="67" t="str">
        <f>IF('2. Assessment'!E21="","Not answered",TEXT('2. Assessment'!F21,"0%")&amp;" - "&amp;'2. Assessment'!G21&amp;CHAR(10)&amp;CHAR(10)&amp;'2. Assessment'!E21)</f>
        <v>50% - Partially met
AI register with owners; risk assessments performed for some AI systems using a documented method</v>
      </c>
      <c r="E59" s="21" t="n"/>
      <c r="F59" s="21" t="n"/>
      <c r="G59" s="67"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59" s="21" t="n"/>
      <c r="I59" s="67" t="str">
        <f>IF('2. Assessment'!E21="","",'2. Assessment'!H21&amp;CHAR(10)&amp;CHAR(10)&amp;"Controls: GL-8, RM-2, RM-5, TP-2")</f>
        <v>Extend assessments to all AI systems and third-party AI; set approval authority by risk tier.
Controls: GL-8, RM-2, RM-5, TP-2</v>
      </c>
      <c r="J59" s="21" t="n"/>
      <c r="K59" s="21" t="n"/>
    </row>
    <row r="60" ht="77.5" customHeight="1">
      <c r="B60" s="66" t="inlineStr">
        <is>
          <t>Q12  Third-party &amp; AI supply-chain risk
AI Risk &amp; Security
⟳ Compliance Obligation</t>
        </is>
      </c>
      <c r="C60" s="21" t="n"/>
      <c r="D60" s="67" t="str">
        <f>IF('2. Assessment'!E22="","Not answered",TEXT('2. Assessment'!F22,"0%")&amp;" - "&amp;'2. Assessment'!G22&amp;CHAR(10)&amp;CHAR(10)&amp;'2. Assessment'!E22)</f>
        <v>50% - Partially met
AI questions added to vendor due diligence for some purchases; contract terms vary</v>
      </c>
      <c r="E60" s="21" t="n"/>
      <c r="F60" s="21" t="n"/>
      <c r="G60" s="67"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0" s="21" t="n"/>
      <c r="I60" s="67" t="str">
        <f>IF('2. Assessment'!E22="","",'2. Assessment'!H22&amp;CHAR(10)&amp;CHAR(10)&amp;"Controls: TP-1, TP-2, TP-3, SE-7, LC-6")</f>
        <v>Make AI due diligence mandatory and adopt standard AI contract clauses (no training on client data, residency, audit, incident notice).
Controls: TP-1, TP-2, TP-3, SE-7, LC-6</v>
      </c>
      <c r="J60" s="21" t="n"/>
      <c r="K60" s="21" t="n"/>
    </row>
    <row r="61" ht="77.5" customHeight="1">
      <c r="B61" s="66" t="inlineStr">
        <is>
          <t>Q13  Securing AI systems
AI Risk &amp; Security
⚠ Mandatory Requirement</t>
        </is>
      </c>
      <c r="C61" s="21" t="n"/>
      <c r="D61" s="67" t="str">
        <f>IF('2. Assessment'!E23="","Not answered",TEXT('2. Assessment'!F23,"0%")&amp;" - "&amp;'2. Assessment'!G23&amp;CHAR(10)&amp;CHAR(10)&amp;'2. Assessment'!E23)</f>
        <v>50% - Partially met
AI-specific threats (e.g., prompt injection, data leakage) assessed for some systems; access controls and logging in place</v>
      </c>
      <c r="E61" s="21" t="n"/>
      <c r="F61" s="21" t="n"/>
      <c r="G61" s="67" t="str">
        <f>IF('2. Assessment'!F23=1,"N/A - reported as fully met.","Unauthorised access, model compromise, data exfiltration through AI and undetected misuse.")</f>
        <v>Unauthorised access, model compromise, data exfiltration through AI and undetected misuse.</v>
      </c>
      <c r="H61" s="21" t="n"/>
      <c r="I61" s="67" t="str">
        <f>IF('2. Assessment'!E23="","",'2. Assessment'!H23&amp;CHAR(10)&amp;CHAR(10)&amp;"Controls: SE-2, SE-3, SE-6 to SE-10, OM-2, AA-3")</f>
        <v>Introduce AI red teaming before release, runtime guardrails (input / output filtering) and audit logging.
Controls: SE-2, SE-3, SE-6 to SE-10, OM-2, AA-3</v>
      </c>
      <c r="J61" s="21" t="n"/>
      <c r="K61" s="21" t="n"/>
    </row>
    <row r="62" ht="77.5" customHeight="1">
      <c r="B62" s="66" t="inlineStr">
        <is>
          <t>Q14  Defending against AI-enabled threats
AI Risk &amp; Security
☆ Recommended</t>
        </is>
      </c>
      <c r="C62" s="21" t="n"/>
      <c r="D62" s="67" t="str">
        <f>IF('2. Assessment'!E24="","Not answered",TEXT('2. Assessment'!F24,"0%")&amp;" - "&amp;'2. Assessment'!G24&amp;CHAR(10)&amp;CHAR(10)&amp;'2. Assessment'!E24)</f>
        <v>75% - Largely met
Deepfake-resilient verification for payments and sensitive requests; behaviour-based detection; AI incident playbooks exercised</v>
      </c>
      <c r="E62" s="21" t="n"/>
      <c r="F62" s="21" t="n"/>
      <c r="G62" s="67" t="str">
        <f>IF('2. Assessment'!F24=1,"N/A - reported as fully met.","Deepfake-enabled fraud, account compromise and faster, more scalable attacks that outpace defences.")</f>
        <v>Deepfake-enabled fraud, account compromise and faster, more scalable attacks that outpace defences.</v>
      </c>
      <c r="H62" s="21" t="n"/>
      <c r="I62" s="67" t="str">
        <f>IF('2. Assessment'!E24="","",'2. Assessment'!H24&amp;CHAR(10)&amp;CHAR(10)&amp;"Controls: AT-1, AT-2, AT-3, AT-4")</f>
        <v>Adopt continuous exposure management and AI-specific red teaming; reduce patch cycles to days.
Controls: AT-1, AT-2, AT-3, AT-4</v>
      </c>
      <c r="J62" s="21" t="n"/>
      <c r="K62" s="21" t="n"/>
    </row>
    <row r="63" ht="77.5" customHeight="1">
      <c r="B63" s="66" t="inlineStr">
        <is>
          <t>Q15  AI training, literacy &amp; awareness
Training &amp; Awareness
⟳ Compliance Obligation</t>
        </is>
      </c>
      <c r="C63" s="21" t="n"/>
      <c r="D63" s="67" t="str">
        <f>IF('2. Assessment'!E25="","Not answered",TEXT('2. Assessment'!F25,"0%")&amp;" - "&amp;'2. Assessment'!G25&amp;CHAR(10)&amp;CHAR(10)&amp;'2. Assessment'!E25)</f>
        <v>75% - Largely met
Mandatory AI literacy before tool access; role-based pathways for developers, oversight staff and leaders; scenario-based security awareness</v>
      </c>
      <c r="E63" s="21" t="n"/>
      <c r="F63" s="21" t="n"/>
      <c r="G63" s="67"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3" s="21" t="n"/>
      <c r="I63" s="67" t="str">
        <f>IF('2. Assessment'!E25="","",'2. Assessment'!H25&amp;CHAR(10)&amp;CHAR(10)&amp;"Controls: GL-4, RS-9")</f>
        <v>Measure competence, refresh annually, and build an AI champions network and workforce plan.
Controls: GL-4, RS-9</v>
      </c>
      <c r="J63" s="21" t="n"/>
      <c r="K63" s="21" t="n"/>
    </row>
    <row r="64" ht="77.5" customHeight="1">
      <c r="B64" s="66" t="inlineStr">
        <is>
          <t>Q16  AI strategy &amp; executive ownership
Strategy &amp; Value
☆ Recommended</t>
        </is>
      </c>
      <c r="C64" s="21" t="n"/>
      <c r="D64" s="67" t="str">
        <f>IF('2. Assessment'!E26="","Not answered",TEXT('2. Assessment'!F26,"0%")&amp;" - "&amp;'2. Assessment'!G26&amp;CHAR(10)&amp;CHAR(10)&amp;'2. Assessment'!E26)</f>
        <v>50% - Partially met
Executive sponsor named and AI strategy drafted, but not linked to business objectives or budget</v>
      </c>
      <c r="E64" s="21" t="n"/>
      <c r="F64" s="21" t="n"/>
      <c r="G64" s="67"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4" s="21" t="n"/>
      <c r="I64" s="67" t="str">
        <f>IF('2. Assessment'!E26="","",'2. Assessment'!H26&amp;CHAR(10)&amp;CHAR(10)&amp;"Controls: GL-1, GL-3")</f>
        <v>Link the strategy to business objectives and budget; define experimentation ('sandbox') boundaries and communicate them.
Controls: GL-1, GL-3</v>
      </c>
      <c r="J64" s="21" t="n"/>
      <c r="K64" s="21" t="n"/>
    </row>
    <row r="65" ht="77.5" customHeight="1">
      <c r="B65" s="66" t="inlineStr">
        <is>
          <t>Q17  Use-case portfolio &amp; value realisation
Strategy &amp; Value
☆ Recommended</t>
        </is>
      </c>
      <c r="C65" s="21" t="n"/>
      <c r="D65" s="67" t="str">
        <f>IF('2. Assessment'!E27="","Not answered",TEXT('2. Assessment'!F27,"0%")&amp;" - "&amp;'2. Assessment'!G27&amp;CHAR(10)&amp;CHAR(10)&amp;'2. Assessment'!E27)</f>
        <v>50% - Partially met
Use-case intake exists and initiatives are prioritised, but benefits are not systematically tracked</v>
      </c>
      <c r="E65" s="21" t="n"/>
      <c r="F65" s="21" t="n"/>
      <c r="G65" s="67" t="str">
        <f>IF('2. Assessment'!F27=1,"N/A - reported as fully met.","Duplicated or low-value AI investment, shadow AI and inability to demonstrate return on investment.")</f>
        <v>Duplicated or low-value AI investment, shadow AI and inability to demonstrate return on investment.</v>
      </c>
      <c r="H65" s="21" t="n"/>
      <c r="I65" s="67" t="str">
        <f>IF('2. Assessment'!E27="","",'2. Assessment'!H27&amp;CHAR(10)&amp;CHAR(10)&amp;"Controls: GL-6, GL-5")</f>
        <v>Define benefit KPIs (financial and non-financial) at approval and assign benefit owners.
Controls: GL-6, GL-5</v>
      </c>
      <c r="J65" s="21" t="n"/>
      <c r="K65" s="21" t="n"/>
    </row>
    <row r="66" ht="77.5" customHeight="1">
      <c r="B66" s="66" t="inlineStr">
        <is>
          <t>Q18  Data governance, quality &amp; privacy for AI
Data &amp; Technology
⟳ Compliance Obligation</t>
        </is>
      </c>
      <c r="C66" s="21" t="n"/>
      <c r="D66" s="67" t="str">
        <f>IF('2. Assessment'!E28="","Not answered",TEXT('2. Assessment'!F28,"0%")&amp;" - "&amp;'2. Assessment'!G28&amp;CHAR(10)&amp;CHAR(10)&amp;'2. Assessment'!E28)</f>
        <v>75% - Largely met
Data readiness assessed before approval; lineage and quality monitored; minimisation, anonymisation and prompt redaction applied; DPIAs standard</v>
      </c>
      <c r="E66" s="21" t="n"/>
      <c r="F66" s="21" t="n"/>
      <c r="G66" s="67" t="str">
        <f>IF('2. Assessment'!F28=1,"N/A - reported as fully met.","Data breaches, PDPL non-compliance, and biased or inaccurate outputs from poor-quality or unsuitable data.")</f>
        <v>Data breaches, PDPL non-compliance, and biased or inaccurate outputs from poor-quality or unsuitable data.</v>
      </c>
      <c r="H66" s="21" t="n"/>
      <c r="I66" s="67" t="str">
        <f>IF('2. Assessment'!E28="","",'2. Assessment'!H28&amp;CHAR(10)&amp;CHAR(10)&amp;"Controls: LC-1, SE-4, PR-1, PR-4, PR-5, PR-6")</f>
        <v>Automate data-quality and lineage monitoring; operationalise data-subject rights and transfer assessments for AI.
Controls: LC-1, SE-4, PR-1, PR-4, PR-5, PR-6</v>
      </c>
      <c r="J66" s="21" t="n"/>
      <c r="K66" s="21" t="n"/>
    </row>
    <row r="67" ht="88" customHeight="1">
      <c r="B67" s="66" t="inlineStr">
        <is>
          <t>Q19  AI architecture, integration &amp; monitoring
Data &amp; Technology
☆ Recommended</t>
        </is>
      </c>
      <c r="C67" s="21" t="n"/>
      <c r="D67" s="67" t="str">
        <f>IF('2. Assessment'!E29="","Not answered",TEXT('2. Assessment'!F29,"0%")&amp;" - "&amp;'2. Assessment'!G29&amp;CHAR(10)&amp;CHAR(10)&amp;'2. Assessment'!E29)</f>
        <v>50% - Partially met
Reference architecture drafted; approved platforms and integration patterns for most AI; basic performance monitoring</v>
      </c>
      <c r="E67" s="21" t="n"/>
      <c r="F67" s="21" t="n"/>
      <c r="G67" s="67"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7" s="21" t="n"/>
      <c r="I67" s="67" t="str">
        <f>IF('2. Assessment'!E29="","",'2. Assessment'!H29&amp;CHAR(10)&amp;CHAR(10)&amp;"Controls: LC-2, LC-3, LC-8, LC-12, OM-1, OM-4, RM-6")</f>
        <v>Centralise API / access control for AI, define agent execution authority and implement drift / performance monitoring with thresholds.
Controls: LC-2, LC-3, LC-8, LC-12, OM-1, OM-4, RM-6</v>
      </c>
      <c r="J67" s="21" t="n"/>
      <c r="K67" s="21" t="n"/>
    </row>
    <row r="68" ht="77.5" customHeight="1">
      <c r="B68" s="66" t="inlineStr">
        <is>
          <t>Q20  Model risk management &amp; validation
Data &amp; Technology
☆ Recommended</t>
        </is>
      </c>
      <c r="C68" s="21" t="n"/>
      <c r="D68" s="67" t="str">
        <f>IF('2. Assessment'!E30="","Not answered",TEXT('2. Assessment'!F30,"0%")&amp;" - "&amp;'2. Assessment'!G30&amp;CHAR(10)&amp;CHAR(10)&amp;'2. Assessment'!E30)</f>
        <v>50% - Partially met
Model inventory exists; validation performed for some material models</v>
      </c>
      <c r="E68" s="21" t="n"/>
      <c r="F68" s="21" t="n"/>
      <c r="G68" s="67"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68" s="21" t="n"/>
      <c r="I68" s="67" t="str">
        <f>IF('2. Assessment'!E30="","",'2. Assessment'!H30&amp;CHAR(10)&amp;CHAR(10)&amp;"Controls: LC-9, RS-6, LC-13, OM-1")</f>
        <v>Validate all material models before use and on a risk-based cycle; document thresholds, limitations and conditions of use.
Controls: LC-9, RS-6, LC-13, OM-1</v>
      </c>
      <c r="J68" s="21" t="n"/>
      <c r="K68" s="21" t="n"/>
    </row>
    <row r="69"/>
    <row r="70" ht="22" customHeight="1">
      <c r="B70" s="47" t="inlineStr">
        <is>
          <t>6. TOP 5 PRIORITY ACTIONS</t>
        </is>
      </c>
    </row>
    <row r="71">
      <c r="B71" s="14" t="inlineStr">
        <is>
          <t>Ranked by size of gap, weighted for compliance / mandatory requirements and the organisation's inherent risk tier.</t>
        </is>
      </c>
    </row>
    <row r="72" ht="26" customHeight="1">
      <c r="B72" s="23" t="inlineStr">
        <is>
          <t>#</t>
        </is>
      </c>
      <c r="C72" s="23" t="inlineStr">
        <is>
          <t>Area</t>
        </is>
      </c>
      <c r="D72" s="23" t="inlineStr">
        <is>
          <t>Score</t>
        </is>
      </c>
      <c r="E72" s="23" t="inlineStr">
        <is>
          <t>Action</t>
        </is>
      </c>
      <c r="F72" s="21" t="n"/>
      <c r="G72" s="21" t="n"/>
      <c r="H72" s="21" t="n"/>
      <c r="I72" s="21" t="n"/>
      <c r="J72" s="23" t="inlineStr">
        <is>
          <t>Timing</t>
        </is>
      </c>
      <c r="K72" s="21" t="n"/>
    </row>
    <row r="73" ht="40" customHeight="1">
      <c r="B73" s="30" t="n">
        <v>1</v>
      </c>
      <c r="C73" s="61" t="str">
        <f>IF(Calc!B87="","",INDEX(Calc!$B:$B,Calc!B87))</f>
        <v>AI risk management framework</v>
      </c>
      <c r="D73" s="65">
        <f>IF(Calc!B87="","",INDEX(Calc!$E:$E,Calc!B87))</f>
        <v>0.25</v>
      </c>
      <c r="E73" s="7" t="str">
        <f>IF(Calc!B87="",IF(0=0,"No gaps identified - maintain current practices.",""),INDEX(Calc!$L:$L,Calc!B87))</f>
        <v>Formalise the methodology, approve it at executive level and pilot it on current AI initiatives.</v>
      </c>
      <c r="F73" s="21" t="n"/>
      <c r="G73" s="21" t="n"/>
      <c r="H73" s="21" t="n"/>
      <c r="I73" s="21" t="n"/>
      <c r="J73" s="68" t="str">
        <f>IF(Calc!B87="","",INDEX(Calc!$I:$I,Calc!B87))</f>
        <v>Immediate (0-3 months)</v>
      </c>
      <c r="K73" s="21" t="n"/>
    </row>
    <row r="74" ht="40" customHeight="1">
      <c r="B74" s="30" t="n">
        <v>2</v>
      </c>
      <c r="C74" s="61" t="str">
        <f>IF(Calc!B88="","",INDEX(Calc!$B:$B,Calc!B88))</f>
        <v>AI governance structure &amp; accountability</v>
      </c>
      <c r="D74" s="65">
        <f>IF(Calc!B88="","",INDEX(Calc!$E:$E,Calc!B88))</f>
        <v>0.5</v>
      </c>
      <c r="E74" s="7" t="str">
        <f>IF(Calc!B88="",IF(1=0,"No gaps identified - maintain current practices.",""),INDEX(Calc!$L:$L,Calc!B88))</f>
        <v>Assign named business and technical owners to every AI system and publish a RACI across the three lines of defence.</v>
      </c>
      <c r="F74" s="21" t="n"/>
      <c r="G74" s="21" t="n"/>
      <c r="H74" s="21" t="n"/>
      <c r="I74" s="21" t="n"/>
      <c r="J74" s="68" t="str">
        <f>IF(Calc!B88="","",INDEX(Calc!$I:$I,Calc!B88))</f>
        <v>Immediate (0-3 months)</v>
      </c>
      <c r="K74" s="21" t="n"/>
    </row>
    <row r="75" ht="40" customHeight="1">
      <c r="B75" s="30" t="n">
        <v>3</v>
      </c>
      <c r="C75" s="61" t="str">
        <f>IF(Calc!B89="","",INDEX(Calc!$B:$B,Calc!B89))</f>
        <v>AI risk appetite, KRIs &amp; reporting</v>
      </c>
      <c r="D75" s="65">
        <f>IF(Calc!B89="","",INDEX(Calc!$E:$E,Calc!B89))</f>
        <v>0.5</v>
      </c>
      <c r="E75" s="7" t="str">
        <f>IF(Calc!B89="",IF(2=0,"No gaps identified - maintain current practices.",""),INDEX(Calc!$L:$L,Calc!B89))</f>
        <v>Define KRIs with thresholds and escalation for each risk category and report them to the AI committee quarterly.</v>
      </c>
      <c r="F75" s="21" t="n"/>
      <c r="G75" s="21" t="n"/>
      <c r="H75" s="21" t="n"/>
      <c r="I75" s="21" t="n"/>
      <c r="J75" s="68" t="str">
        <f>IF(Calc!B89="","",INDEX(Calc!$I:$I,Calc!B89))</f>
        <v>Immediate (0-3 months)</v>
      </c>
      <c r="K75" s="21" t="n"/>
    </row>
    <row r="76" ht="40" customHeight="1">
      <c r="B76" s="30" t="n">
        <v>4</v>
      </c>
      <c r="C76" s="61" t="str">
        <f>IF(Calc!B90="","",INDEX(Calc!$B:$B,Calc!B90))</f>
        <v>AI inventory &amp; risk / impact assessment</v>
      </c>
      <c r="D76" s="65">
        <f>IF(Calc!B90="","",INDEX(Calc!$E:$E,Calc!B90))</f>
        <v>0.5</v>
      </c>
      <c r="E76" s="7" t="str">
        <f>IF(Calc!B90="",IF(3=0,"No gaps identified - maintain current practices.",""),INDEX(Calc!$L:$L,Calc!B90))</f>
        <v>Extend assessments to all AI systems and third-party AI; set approval authority by risk tier.</v>
      </c>
      <c r="F76" s="21" t="n"/>
      <c r="G76" s="21" t="n"/>
      <c r="H76" s="21" t="n"/>
      <c r="I76" s="21" t="n"/>
      <c r="J76" s="68" t="str">
        <f>IF(Calc!B90="","",INDEX(Calc!$I:$I,Calc!B90))</f>
        <v>Immediate (0-3 months)</v>
      </c>
      <c r="K76" s="21" t="n"/>
    </row>
    <row r="77" ht="40" customHeight="1">
      <c r="B77" s="30" t="n">
        <v>5</v>
      </c>
      <c r="C77" s="61" t="str">
        <f>IF(Calc!B91="","",INDEX(Calc!$B:$B,Calc!B91))</f>
        <v>Third-party &amp; AI supply-chain risk</v>
      </c>
      <c r="D77" s="65">
        <f>IF(Calc!B91="","",INDEX(Calc!$E:$E,Calc!B91))</f>
        <v>0.5</v>
      </c>
      <c r="E77" s="7" t="str">
        <f>IF(Calc!B91="",IF(4=0,"No gaps identified - maintain current practices.",""),INDEX(Calc!$L:$L,Calc!B91))</f>
        <v>Make AI due diligence mandatory and adopt standard AI contract clauses (no training on client data, residency, audit, incident notice).</v>
      </c>
      <c r="F77" s="21" t="n"/>
      <c r="G77" s="21" t="n"/>
      <c r="H77" s="21" t="n"/>
      <c r="I77" s="21" t="n"/>
      <c r="J77" s="68" t="str">
        <f>IF(Calc!B91="","",INDEX(Calc!$I:$I,Calc!B91))</f>
        <v>Immediate (0-3 months)</v>
      </c>
      <c r="K77" s="21" t="n"/>
    </row>
    <row r="78"/>
    <row r="79" ht="22" customHeight="1">
      <c r="B79" s="47" t="inlineStr">
        <is>
          <t>7. SUGGESTED IMPLEMENTATION ROADMAP</t>
        </is>
      </c>
    </row>
    <row r="80" ht="26" customHeight="1">
      <c r="B80" s="23" t="inlineStr">
        <is>
          <t>Horizon</t>
        </is>
      </c>
      <c r="C80" s="21" t="n"/>
      <c r="D80" s="23" t="inlineStr">
        <is>
          <t>Area</t>
        </is>
      </c>
      <c r="E80" s="21" t="n"/>
      <c r="F80" s="23" t="inlineStr">
        <is>
          <t>Action</t>
        </is>
      </c>
      <c r="G80" s="21" t="n"/>
      <c r="H80" s="21" t="n"/>
      <c r="I80" s="21" t="n"/>
      <c r="J80" s="21" t="n"/>
      <c r="K80" s="23" t="inlineStr">
        <is>
          <t>Controls</t>
        </is>
      </c>
    </row>
    <row r="81" ht="36" customHeight="1">
      <c r="B81" s="69" t="str">
        <f>IF(Calc!C87="","",INDEX(Calc!$I:$I,Calc!C87))</f>
        <v>Immediate (0-3 months)</v>
      </c>
      <c r="C81" s="21" t="n"/>
      <c r="D81" s="70" t="str">
        <f>IF(Calc!C87="","",INDEX(Calc!$B:$B,Calc!C87))</f>
        <v>AI risk management framework</v>
      </c>
      <c r="E81" s="21" t="n"/>
      <c r="F81" s="62" t="str">
        <f>IF(Calc!C87="","",INDEX(Calc!$L:$L,Calc!C87))</f>
        <v>Formalise the methodology, approve it at executive level and pilot it on current AI initiatives.</v>
      </c>
      <c r="G81" s="21" t="n"/>
      <c r="H81" s="21" t="n"/>
      <c r="I81" s="21" t="n"/>
      <c r="J81" s="21" t="n"/>
      <c r="K81" s="71" t="str">
        <f>IF(Calc!C87="","",INDEX(Calc!$M:$M,Calc!C87))</f>
        <v>RM-1, RM-2, RM-3, RM-5</v>
      </c>
    </row>
    <row r="82" ht="36" customHeight="1">
      <c r="B82" s="69" t="str">
        <f>IF(Calc!C88="","",INDEX(Calc!$I:$I,Calc!C88))</f>
        <v>Immediate (0-3 months)</v>
      </c>
      <c r="C82" s="21" t="n"/>
      <c r="D82" s="70" t="str">
        <f>IF(Calc!C88="","",INDEX(Calc!$B:$B,Calc!C88))</f>
        <v>AI governance structure &amp; accountability</v>
      </c>
      <c r="E82" s="21" t="n"/>
      <c r="F82" s="62" t="str">
        <f>IF(Calc!C88="","",INDEX(Calc!$L:$L,Calc!C88))</f>
        <v>Assign named business and technical owners to every AI system and publish a RACI across the three lines of defence.</v>
      </c>
      <c r="G82" s="21" t="n"/>
      <c r="H82" s="21" t="n"/>
      <c r="I82" s="21" t="n"/>
      <c r="J82" s="21" t="n"/>
      <c r="K82" s="71" t="str">
        <f>IF(Calc!C88="","",INDEX(Calc!$M:$M,Calc!C88))</f>
        <v>GL-1, GL-2, GL-7, AA-1</v>
      </c>
    </row>
    <row r="83" ht="36" customHeight="1">
      <c r="B83" s="69" t="str">
        <f>IF(Calc!C89="","",INDEX(Calc!$I:$I,Calc!C89))</f>
        <v>Immediate (0-3 months)</v>
      </c>
      <c r="C83" s="21" t="n"/>
      <c r="D83" s="70" t="str">
        <f>IF(Calc!C89="","",INDEX(Calc!$B:$B,Calc!C89))</f>
        <v>AI risk appetite, KRIs &amp; reporting</v>
      </c>
      <c r="E83" s="21" t="n"/>
      <c r="F83" s="62" t="str">
        <f>IF(Calc!C89="","",INDEX(Calc!$L:$L,Calc!C89))</f>
        <v>Define KRIs with thresholds and escalation for each risk category and report them to the AI committee quarterly.</v>
      </c>
      <c r="G83" s="21" t="n"/>
      <c r="H83" s="21" t="n"/>
      <c r="I83" s="21" t="n"/>
      <c r="J83" s="21" t="n"/>
      <c r="K83" s="71" t="str">
        <f>IF(Calc!C89="","",INDEX(Calc!$M:$M,Calc!C89))</f>
        <v>RM-6, RM-4, GL-1</v>
      </c>
    </row>
    <row r="84" ht="36" customHeight="1">
      <c r="B84" s="69" t="str">
        <f>IF(Calc!C90="","",INDEX(Calc!$I:$I,Calc!C90))</f>
        <v>Immediate (0-3 months)</v>
      </c>
      <c r="C84" s="21" t="n"/>
      <c r="D84" s="70" t="str">
        <f>IF(Calc!C90="","",INDEX(Calc!$B:$B,Calc!C90))</f>
        <v>AI inventory &amp; risk / impact assessment</v>
      </c>
      <c r="E84" s="21" t="n"/>
      <c r="F84" s="62" t="str">
        <f>IF(Calc!C90="","",INDEX(Calc!$L:$L,Calc!C90))</f>
        <v>Extend assessments to all AI systems and third-party AI; set approval authority by risk tier.</v>
      </c>
      <c r="G84" s="21" t="n"/>
      <c r="H84" s="21" t="n"/>
      <c r="I84" s="21" t="n"/>
      <c r="J84" s="21" t="n"/>
      <c r="K84" s="71" t="str">
        <f>IF(Calc!C90="","",INDEX(Calc!$M:$M,Calc!C90))</f>
        <v>GL-8, RM-2, RM-5, TP-2</v>
      </c>
    </row>
    <row r="85" ht="36" customHeight="1">
      <c r="B85" s="69" t="str">
        <f>IF(Calc!C91="","",INDEX(Calc!$I:$I,Calc!C91))</f>
        <v>Immediate (0-3 months)</v>
      </c>
      <c r="C85" s="21" t="n"/>
      <c r="D85" s="70" t="str">
        <f>IF(Calc!C91="","",INDEX(Calc!$B:$B,Calc!C91))</f>
        <v>Third-party &amp; AI supply-chain risk</v>
      </c>
      <c r="E85" s="21" t="n"/>
      <c r="F85" s="62" t="str">
        <f>IF(Calc!C91="","",INDEX(Calc!$L:$L,Calc!C91))</f>
        <v>Make AI due diligence mandatory and adopt standard AI contract clauses (no training on client data, residency, audit, incident notice).</v>
      </c>
      <c r="G85" s="21" t="n"/>
      <c r="H85" s="21" t="n"/>
      <c r="I85" s="21" t="n"/>
      <c r="J85" s="21" t="n"/>
      <c r="K85" s="71" t="str">
        <f>IF(Calc!C91="","",INDEX(Calc!$M:$M,Calc!C91))</f>
        <v>TP-1, TP-2, TP-3, SE-7, LC-6</v>
      </c>
    </row>
    <row r="86" ht="36" customHeight="1">
      <c r="B86" s="69" t="str">
        <f>IF(Calc!C92="","",INDEX(Calc!$I:$I,Calc!C92))</f>
        <v>Immediate (0-3 months)</v>
      </c>
      <c r="C86" s="21" t="n"/>
      <c r="D86" s="70" t="str">
        <f>IF(Calc!C92="","",INDEX(Calc!$B:$B,Calc!C92))</f>
        <v>Securing AI systems</v>
      </c>
      <c r="E86" s="21" t="n"/>
      <c r="F86" s="62" t="str">
        <f>IF(Calc!C92="","",INDEX(Calc!$L:$L,Calc!C92))</f>
        <v>Introduce AI red teaming before release, runtime guardrails (input / output filtering) and audit logging.</v>
      </c>
      <c r="G86" s="21" t="n"/>
      <c r="H86" s="21" t="n"/>
      <c r="I86" s="21" t="n"/>
      <c r="J86" s="21" t="n"/>
      <c r="K86" s="71" t="str">
        <f>IF(Calc!C92="","",INDEX(Calc!$M:$M,Calc!C92))</f>
        <v>SE-2, SE-3, SE-6 to SE-10, OM-2, AA-3</v>
      </c>
    </row>
    <row r="87" ht="36" customHeight="1">
      <c r="B87" s="69" t="str">
        <f>IF(Calc!C93="","",INDEX(Calc!$I:$I,Calc!C93))</f>
        <v>Short term (3-6 months)</v>
      </c>
      <c r="C87" s="21" t="n"/>
      <c r="D87" s="70" t="str">
        <f>IF(Calc!C93="","",INDEX(Calc!$B:$B,Calc!C93))</f>
        <v>Responsible-AI guardrails &amp; human oversight</v>
      </c>
      <c r="E87" s="21" t="n"/>
      <c r="F87" s="62" t="str">
        <f>IF(Calc!C93="","",INDEX(Calc!$L:$L,Calc!C93))</f>
        <v>Apply mandatory human-in-charge controls and AI disclosure to all relevant AI; require committee approval for High / Critical uses.</v>
      </c>
      <c r="G87" s="21" t="n"/>
      <c r="H87" s="21" t="n"/>
      <c r="I87" s="21" t="n"/>
      <c r="J87" s="21" t="n"/>
      <c r="K87" s="71" t="str">
        <f>IF(Calc!C93="","",INDEX(Calc!$M:$M,Calc!C93))</f>
        <v>GL-7, RS-1, RS-4, RS-5, CO-1, CO-3</v>
      </c>
    </row>
    <row r="88" ht="36" customHeight="1">
      <c r="B88" s="69" t="str">
        <f>IF(Calc!C94="","",INDEX(Calc!$I:$I,Calc!C94))</f>
        <v>Short term (3-6 months)</v>
      </c>
      <c r="C88" s="21" t="n"/>
      <c r="D88" s="70" t="str">
        <f>IF(Calc!C94="","",INDEX(Calc!$B:$B,Calc!C94))</f>
        <v>AI strategy &amp; executive ownership</v>
      </c>
      <c r="E88" s="21" t="n"/>
      <c r="F88" s="62" t="str">
        <f>IF(Calc!C94="","",INDEX(Calc!$L:$L,Calc!C94))</f>
        <v>Link the strategy to business objectives and budget; define experimentation ('sandbox') boundaries and communicate them.</v>
      </c>
      <c r="G88" s="21" t="n"/>
      <c r="H88" s="21" t="n"/>
      <c r="I88" s="21" t="n"/>
      <c r="J88" s="21" t="n"/>
      <c r="K88" s="71" t="str">
        <f>IF(Calc!C94="","",INDEX(Calc!$M:$M,Calc!C94))</f>
        <v>GL-1, GL-3</v>
      </c>
    </row>
    <row r="89" ht="36" customHeight="1">
      <c r="B89" s="69" t="str">
        <f>IF(Calc!C95="","",INDEX(Calc!$I:$I,Calc!C95))</f>
        <v>Short term (3-6 months)</v>
      </c>
      <c r="C89" s="21" t="n"/>
      <c r="D89" s="70" t="str">
        <f>IF(Calc!C95="","",INDEX(Calc!$B:$B,Calc!C95))</f>
        <v>Use-case portfolio &amp; value realisation</v>
      </c>
      <c r="E89" s="21" t="n"/>
      <c r="F89" s="62" t="str">
        <f>IF(Calc!C95="","",INDEX(Calc!$L:$L,Calc!C95))</f>
        <v>Define benefit KPIs (financial and non-financial) at approval and assign benefit owners.</v>
      </c>
      <c r="G89" s="21" t="n"/>
      <c r="H89" s="21" t="n"/>
      <c r="I89" s="21" t="n"/>
      <c r="J89" s="21" t="n"/>
      <c r="K89" s="71" t="str">
        <f>IF(Calc!C95="","",INDEX(Calc!$M:$M,Calc!C95))</f>
        <v>GL-6, GL-5</v>
      </c>
    </row>
    <row r="90" ht="36" customHeight="1">
      <c r="B90" s="69" t="str">
        <f>IF(Calc!C96="","",INDEX(Calc!$I:$I,Calc!C96))</f>
        <v>Short term (3-6 months)</v>
      </c>
      <c r="C90" s="21" t="n"/>
      <c r="D90" s="70" t="str">
        <f>IF(Calc!C96="","",INDEX(Calc!$B:$B,Calc!C96))</f>
        <v>AI architecture, integration &amp; monitoring</v>
      </c>
      <c r="E90" s="21" t="n"/>
      <c r="F90" s="62" t="str">
        <f>IF(Calc!C96="","",INDEX(Calc!$L:$L,Calc!C96))</f>
        <v>Centralise API / access control for AI, define agent execution authority and implement drift / performance monitoring with thresholds.</v>
      </c>
      <c r="G90" s="21" t="n"/>
      <c r="H90" s="21" t="n"/>
      <c r="I90" s="21" t="n"/>
      <c r="J90" s="21" t="n"/>
      <c r="K90" s="71" t="str">
        <f>IF(Calc!C96="","",INDEX(Calc!$M:$M,Calc!C96))</f>
        <v>LC-2, LC-3, LC-8, LC-12, OM-1, OM-4, RM-6</v>
      </c>
    </row>
    <row r="91" ht="36" customHeight="1">
      <c r="B91" s="69" t="str">
        <f>IF(Calc!C97="","",INDEX(Calc!$I:$I,Calc!C97))</f>
        <v>Short term (3-6 months)</v>
      </c>
      <c r="C91" s="21" t="n"/>
      <c r="D91" s="70" t="str">
        <f>IF(Calc!C97="","",INDEX(Calc!$B:$B,Calc!C97))</f>
        <v>Model risk management &amp; validation</v>
      </c>
      <c r="E91" s="21" t="n"/>
      <c r="F91" s="62" t="str">
        <f>IF(Calc!C97="","",INDEX(Calc!$L:$L,Calc!C97))</f>
        <v>Validate all material models before use and on a risk-based cycle; document thresholds, limitations and conditions of use.</v>
      </c>
      <c r="G91" s="21" t="n"/>
      <c r="H91" s="21" t="n"/>
      <c r="I91" s="21" t="n"/>
      <c r="J91" s="21" t="n"/>
      <c r="K91" s="71" t="str">
        <f>IF(Calc!C97="","",INDEX(Calc!$M:$M,Calc!C97))</f>
        <v>LC-9, RS-6, LC-13, OM-1</v>
      </c>
    </row>
    <row r="92" ht="36" customHeight="1">
      <c r="B92" s="69" t="str">
        <f>IF(Calc!C98="","",INDEX(Calc!$I:$I,Calc!C98))</f>
        <v>Medium term (6-12 months)</v>
      </c>
      <c r="C92" s="21" t="n"/>
      <c r="D92" s="70" t="str">
        <f>IF(Calc!C98="","",INDEX(Calc!$B:$B,Calc!C98))</f>
        <v>AI policy, acceptable use &amp; regulatory compliance</v>
      </c>
      <c r="E92" s="21" t="n"/>
      <c r="F92" s="62" t="str">
        <f>IF(Calc!C98="","",INDEX(Calc!$L:$L,Calc!C98))</f>
        <v>Establish monthly regulatory horizon scanning and periodic compliance testing with evidence retention.</v>
      </c>
      <c r="G92" s="21" t="n"/>
      <c r="H92" s="21" t="n"/>
      <c r="I92" s="21" t="n"/>
      <c r="J92" s="21" t="n"/>
      <c r="K92" s="71" t="str">
        <f>IF(Calc!C98="","",INDEX(Calc!$M:$M,Calc!C98))</f>
        <v>GL-5, RO-1, RO-5</v>
      </c>
    </row>
    <row r="93" ht="36" customHeight="1">
      <c r="B93" s="69" t="str">
        <f>IF(Calc!C99="","",INDEX(Calc!$I:$I,Calc!C99))</f>
        <v>Medium term (6-12 months)</v>
      </c>
      <c r="C93" s="21" t="n"/>
      <c r="D93" s="70" t="str">
        <f>IF(Calc!C99="","",INDEX(Calc!$B:$B,Calc!C99))</f>
        <v>AI incidents, monitoring &amp; assurance</v>
      </c>
      <c r="E93" s="21" t="n"/>
      <c r="F93" s="62" t="str">
        <f>IF(Calc!C99="","",INDEX(Calc!$L:$L,Calc!C99))</f>
        <v>Implement post-incident learning and an ISO/IEC 42001 certification-readiness review.</v>
      </c>
      <c r="G93" s="21" t="n"/>
      <c r="H93" s="21" t="n"/>
      <c r="I93" s="21" t="n"/>
      <c r="J93" s="21" t="n"/>
      <c r="K93" s="71" t="str">
        <f>IF(Calc!C99="","",INDEX(Calc!$M:$M,Calc!C99))</f>
        <v>IM-1, IM-2, IM-3, AA-1, AA-2, RO-4</v>
      </c>
    </row>
    <row r="94" ht="36" customHeight="1">
      <c r="B94" s="69" t="str">
        <f>IF(Calc!C100="","",INDEX(Calc!$I:$I,Calc!C100))</f>
        <v>Medium term (6-12 months)</v>
      </c>
      <c r="C94" s="21" t="n"/>
      <c r="D94" s="70" t="str">
        <f>IF(Calc!C100="","",INDEX(Calc!$B:$B,Calc!C100))</f>
        <v>AI training, literacy &amp; awareness</v>
      </c>
      <c r="E94" s="21" t="n"/>
      <c r="F94" s="62" t="str">
        <f>IF(Calc!C100="","",INDEX(Calc!$L:$L,Calc!C100))</f>
        <v>Measure competence, refresh annually, and build an AI champions network and workforce plan.</v>
      </c>
      <c r="G94" s="21" t="n"/>
      <c r="H94" s="21" t="n"/>
      <c r="I94" s="21" t="n"/>
      <c r="J94" s="21" t="n"/>
      <c r="K94" s="71" t="str">
        <f>IF(Calc!C100="","",INDEX(Calc!$M:$M,Calc!C100))</f>
        <v>GL-4, RS-9</v>
      </c>
    </row>
    <row r="95" ht="36" customHeight="1">
      <c r="B95" s="69" t="str">
        <f>IF(Calc!C101="","",INDEX(Calc!$I:$I,Calc!C101))</f>
        <v>Medium term (6-12 months)</v>
      </c>
      <c r="C95" s="21" t="n"/>
      <c r="D95" s="70" t="str">
        <f>IF(Calc!C101="","",INDEX(Calc!$B:$B,Calc!C101))</f>
        <v>Data governance, quality &amp; privacy for AI</v>
      </c>
      <c r="E95" s="21" t="n"/>
      <c r="F95" s="62" t="str">
        <f>IF(Calc!C101="","",INDEX(Calc!$L:$L,Calc!C101))</f>
        <v>Automate data-quality and lineage monitoring; operationalise data-subject rights and transfer assessments for AI.</v>
      </c>
      <c r="G95" s="21" t="n"/>
      <c r="H95" s="21" t="n"/>
      <c r="I95" s="21" t="n"/>
      <c r="J95" s="21" t="n"/>
      <c r="K95" s="71" t="str">
        <f>IF(Calc!C101="","",INDEX(Calc!$M:$M,Calc!C101))</f>
        <v>LC-1, SE-4, PR-1, PR-4, PR-5, PR-6</v>
      </c>
    </row>
    <row r="96" ht="36" customHeight="1">
      <c r="B96" s="69" t="str">
        <f>IF(Calc!C102="","",INDEX(Calc!$I:$I,Calc!C102))</f>
        <v>Medium term (6-12 months)</v>
      </c>
      <c r="C96" s="21" t="n"/>
      <c r="D96" s="70" t="str">
        <f>IF(Calc!C102="","",INDEX(Calc!$B:$B,Calc!C102))</f>
        <v>Defending against AI-enabled threats</v>
      </c>
      <c r="E96" s="21" t="n"/>
      <c r="F96" s="62" t="str">
        <f>IF(Calc!C102="","",INDEX(Calc!$L:$L,Calc!C102))</f>
        <v>Adopt continuous exposure management and AI-specific red teaming; reduce patch cycles to days.</v>
      </c>
      <c r="G96" s="21" t="n"/>
      <c r="H96" s="21" t="n"/>
      <c r="I96" s="21" t="n"/>
      <c r="J96" s="21" t="n"/>
      <c r="K96" s="71" t="str">
        <f>IF(Calc!C102="","",INDEX(Calc!$M:$M,Calc!C102))</f>
        <v>AT-1, AT-2, AT-3, AT-4</v>
      </c>
    </row>
    <row r="97"/>
    <row r="98" ht="22" customHeight="1">
      <c r="B98" s="47" t="inlineStr">
        <is>
          <t>8. REGULATORY &amp; STANDARDS CONSIDERATIONS</t>
        </is>
      </c>
    </row>
    <row r="99">
      <c r="B99" s="14" t="inlineStr">
        <is>
          <t>Applicability is based on the Profile answers; the readiness signal uses the most relevant question scores. Not legal advice - confirm obligations with legal counsel.</t>
        </is>
      </c>
    </row>
    <row r="100" ht="26" customHeight="1">
      <c r="B100" s="23" t="inlineStr">
        <is>
          <t>Law / regulation / standard</t>
        </is>
      </c>
      <c r="C100" s="21" t="n"/>
      <c r="D100" s="21" t="n"/>
      <c r="E100" s="23" t="inlineStr">
        <is>
          <t>Applies?</t>
        </is>
      </c>
      <c r="F100" s="23" t="inlineStr">
        <is>
          <t>Readiness signal</t>
        </is>
      </c>
      <c r="G100" s="23" t="inlineStr">
        <is>
          <t>Key considerations</t>
        </is>
      </c>
      <c r="H100" s="21" t="n"/>
      <c r="I100" s="21" t="n"/>
      <c r="J100" s="21" t="n"/>
      <c r="K100" s="21" t="n"/>
    </row>
    <row r="101" ht="48" customHeight="1">
      <c r="B101" s="70" t="inlineStr">
        <is>
          <t>Bahrain Personal Data Protection Law (Law No. 30 of 2018)</t>
        </is>
      </c>
      <c r="C101" s="21" t="n"/>
      <c r="D101" s="21" t="n"/>
      <c r="E101" s="68" t="str">
        <f>IF(OR('1. Profile'!$C$17="Yes",N(Calc!B28)&gt;=3),"Yes","Check")</f>
        <v>Yes</v>
      </c>
      <c r="F101" s="72" t="str">
        <f>IF(COUNT(Calc!E215,Calc!E207)=0,"-",IF(MIN(Calc!E215,Calc!E207)&gt;=0.75,"On track",IF(MIN(Calc!E215,Calc!E207)&gt;=0.5,"Partial gap","Significant gap")))</f>
        <v>Partial gap</v>
      </c>
      <c r="G101" s="73" t="inlineStr">
        <is>
          <t>Lawful basis and notice for AI processing; DPIAs; security; data-subject rights incl. objection to automated processing; cross-border transfer rules for AI services hosted outside Bahrain (RCM PR-1 to PR-6).</t>
        </is>
      </c>
      <c r="H101" s="21" t="n"/>
      <c r="I101" s="21" t="n"/>
      <c r="J101" s="21" t="n"/>
      <c r="K101" s="21" t="n"/>
    </row>
    <row r="102" ht="48" customHeight="1">
      <c r="B102" s="70" t="inlineStr">
        <is>
          <t>iGA General Policy for the Use of AI (2025) &amp; GCC Guiding Manual on the Ethics of AI Use</t>
        </is>
      </c>
      <c r="C102" s="21" t="n"/>
      <c r="D102" s="21" t="n"/>
      <c r="E102" s="68" t="str">
        <f>IF('1. Profile'!$C$20="Yes","Yes","Reference")</f>
        <v>Reference</v>
      </c>
      <c r="F102" s="72" t="str">
        <f>IF(COUNT(Calc!E212,Calc!E214)=0,"-",IF(MIN(Calc!E212,Calc!E214)&gt;=0.75,"On track",IF(MIN(Calc!E212,Calc!E214)&gt;=0.5,"Partial gap","Significant gap")))</f>
        <v>Partial gap</v>
      </c>
      <c r="G102" s="73" t="inlineStr">
        <is>
          <t>National AI policy pillars (compliance, adoption, awareness, cooperation) and GCC ethics principles - mandatory reference for government entities and good practice for all (RCM GL-1, GL-4, RS-series).</t>
        </is>
      </c>
      <c r="H102" s="21" t="n"/>
      <c r="I102" s="21" t="n"/>
      <c r="J102" s="21" t="n"/>
      <c r="K102" s="21" t="n"/>
    </row>
    <row r="103" ht="58.5" customHeight="1">
      <c r="B103" s="70" t="inlineStr">
        <is>
          <t>Central Bank of Bahrain Rulebook (HC, RM, OM, BC modules)</t>
        </is>
      </c>
      <c r="C103" s="21" t="n"/>
      <c r="D103" s="21" t="n"/>
      <c r="E103" s="68" t="str">
        <f>IF('1. Profile'!$C$16="Yes","Yes","No")</f>
        <v>No</v>
      </c>
      <c r="F103" s="72" t="str">
        <f>IF(COUNT(Calc!E210,Calc!E217,Calc!E218,Calc!E213)=0,"-",IF(MIN(Calc!E210,Calc!E217,Calc!E218,Calc!E213)&gt;=0.75,"On track",IF(MIN(Calc!E210,Calc!E217,Calc!E218,Calc!E213)&gt;=0.5,"Partial gap","Significant gap")))</f>
        <v>Partial gap</v>
      </c>
      <c r="G103" s="73" t="inlineStr">
        <is>
          <t>Board oversight, risk management, cyber security, outsourcing and consumer-protection requirements apply to AI; expect model validation for material models and notification of material outsourcing (RCM LC-9, TP-3, AT-3).</t>
        </is>
      </c>
      <c r="H103" s="21" t="n"/>
      <c r="I103" s="21" t="n"/>
      <c r="J103" s="21" t="n"/>
      <c r="K103" s="21" t="n"/>
    </row>
    <row r="104" ht="48" customHeight="1">
      <c r="B104" s="70" t="inlineStr">
        <is>
          <t>EU AI Act (Regulation 2024/1689) - general obligations</t>
        </is>
      </c>
      <c r="C104" s="21" t="n"/>
      <c r="D104" s="21" t="n"/>
      <c r="E104" s="68" t="str">
        <f>IF('1. Profile'!$C$18="Yes","Yes","No")</f>
        <v>Yes</v>
      </c>
      <c r="F104" s="72" t="str">
        <f>IF(COUNT(Calc!E207,Calc!E214)=0,"-",IF(MIN(Calc!E207,Calc!E214)&gt;=0.75,"On track",IF(MIN(Calc!E207,Calc!E214)&gt;=0.5,"Partial gap","Significant gap")))</f>
        <v>On track</v>
      </c>
      <c r="G104" s="73" t="inlineStr">
        <is>
          <t>Extraterritorial reach. Prohibited practices (Art. 5) and AI literacy (Art. 4) apply since Feb 2025; GPAI rules since Aug 2025; transparency (Art. 50) from Aug 2026 (RCM RM-5, GL-4, CO-1, LC-7).</t>
        </is>
      </c>
      <c r="H104" s="21" t="n"/>
      <c r="I104" s="21" t="n"/>
      <c r="J104" s="21" t="n"/>
      <c r="K104" s="21" t="n"/>
    </row>
    <row r="105" ht="58.5" customHeight="1">
      <c r="B105" s="70" t="inlineStr">
        <is>
          <t>EU AI Act - high-risk AI systems (Annex III)</t>
        </is>
      </c>
      <c r="C105" s="21" t="n"/>
      <c r="D105" s="21" t="n"/>
      <c r="E105" s="68" t="str">
        <f>IF(AND('1. Profile'!$C$18="Yes",N(Calc!B27)&gt;=3),"Likely",IF('1. Profile'!$C$18="Yes","Check","No"))</f>
        <v>Check</v>
      </c>
      <c r="F105" s="72" t="str">
        <f>IF(COUNT(Calc!E208,Calc!E210,Calc!E212,Calc!E213)=0,"-",IF(MIN(Calc!E208,Calc!E210,Calc!E212,Calc!E213)&gt;=0.75,"On track",IF(MIN(Calc!E208,Calc!E210,Calc!E212,Calc!E213)&gt;=0.5,"Partial gap","Significant gap")))</f>
        <v>Significant gap</v>
      </c>
      <c r="G105" s="73" t="inlineStr">
        <is>
          <t>Decisions on credit, employment, insurance, essential services etc. may be high-risk: risk management, data governance, logging, human oversight, FRIA and registration (timelines subject to the EU Digital Omnibus outcome) (RCM RO-6).</t>
        </is>
      </c>
      <c r="H105" s="21" t="n"/>
      <c r="I105" s="21" t="n"/>
      <c r="J105" s="21" t="n"/>
      <c r="K105" s="21" t="n"/>
    </row>
    <row r="106" ht="37.5" customHeight="1">
      <c r="B106" s="70" t="inlineStr">
        <is>
          <t>KSA / UAE / GCC regimes (SDAIA AI Ethics, KSA PDPL, UAE AI Charter, DIFC Regulation 10, QCB AI Guideline)</t>
        </is>
      </c>
      <c r="C106" s="21" t="n"/>
      <c r="D106" s="21" t="n"/>
      <c r="E106" s="68" t="str">
        <f>IF('1. Profile'!$C$19="Yes","Yes","No")</f>
        <v>Yes</v>
      </c>
      <c r="F106" s="72" t="str">
        <f>IF(COUNT(Calc!E207,Calc!E215)=0,"-",IF(MIN(Calc!E207,Calc!E215)&gt;=0.75,"On track",IF(MIN(Calc!E207,Calc!E215)&gt;=0.5,"Partial gap","Significant gap")))</f>
        <v>Partial gap</v>
      </c>
      <c r="G106" s="73" t="inlineStr">
        <is>
          <t>Include in the AI obligations register; align data-transfer, ethics and sector AI requirements across GCC operations (RCM RO-5).</t>
        </is>
      </c>
      <c r="H106" s="21" t="n"/>
      <c r="I106" s="21" t="n"/>
      <c r="J106" s="21" t="n"/>
      <c r="K106" s="21" t="n"/>
    </row>
    <row r="107" ht="48" customHeight="1">
      <c r="B107" s="70" t="inlineStr">
        <is>
          <t>ISO/IEC 42001:2023 AI management system</t>
        </is>
      </c>
      <c r="C107" s="21" t="n"/>
      <c r="D107" s="21" t="n"/>
      <c r="E107" s="68" t="str">
        <f>IF(Calc!B45="","-",IF(Calc!B45&gt;=0.7,"Ready to plan","Build first"))</f>
        <v>Build first</v>
      </c>
      <c r="F107" s="72" t="str">
        <f>IF(COUNT(Calc!E206,Calc!E208,Calc!E210,Calc!E213)=0,"-",IF(MIN(Calc!E206,Calc!E208,Calc!E210,Calc!E213)&gt;=0.75,"On track",IF(MIN(Calc!E206,Calc!E208,Calc!E210,Calc!E213)&gt;=0.5,"Partial gap","Significant gap")))</f>
        <v>Significant gap</v>
      </c>
      <c r="G107" s="73" t="inlineStr">
        <is>
          <t>International certifiable standard for AI governance; demonstrates trustworthy AI to clients and regulators. Recommended once readiness reaches 'Repeatable' (RCM AA-2).</t>
        </is>
      </c>
      <c r="H107" s="21" t="n"/>
      <c r="I107" s="21" t="n"/>
      <c r="J107" s="21" t="n"/>
      <c r="K107" s="21" t="n"/>
    </row>
    <row r="108" ht="37.5" customHeight="1">
      <c r="B108" s="70" t="inlineStr">
        <is>
          <t>Bahrain draft AI Regulation Law (Shura Council, 2024)</t>
        </is>
      </c>
      <c r="C108" s="21" t="n"/>
      <c r="D108" s="21" t="n"/>
      <c r="E108" s="68" t="str">
        <f>"Monitor"</f>
        <v>Monitor</v>
      </c>
      <c r="F108" s="72" t="str">
        <f>IF(COUNT(Calc!E207)=0,"-",IF(MIN(Calc!E207)&gt;=0.75,"On track",IF(MIN(Calc!E207)&gt;=0.5,"Partial gap","Significant gap")))</f>
        <v>On track</v>
      </c>
      <c r="G108" s="73" t="inlineStr">
        <is>
          <t>Proposed standalone AI law (38 articles) with a new regulator and penalties - not yet in force. Maintain horizon scanning (RCM RO-5).</t>
        </is>
      </c>
      <c r="H108" s="21" t="n"/>
      <c r="I108" s="21" t="n"/>
      <c r="J108" s="21" t="n"/>
      <c r="K108" s="21" t="n"/>
    </row>
    <row r="109"/>
    <row r="110" ht="22" customHeight="1">
      <c r="B110" s="47" t="inlineStr">
        <is>
          <t>9. HOW GRANT THORNTON CAN HELP</t>
        </is>
      </c>
    </row>
    <row r="111" ht="26" customHeight="1">
      <c r="B111" s="23" t="inlineStr">
        <is>
          <t>GT AI service line</t>
        </is>
      </c>
      <c r="C111" s="21" t="n"/>
      <c r="D111" s="21" t="n"/>
      <c r="E111" s="23" t="inlineStr">
        <is>
          <t>Relevance</t>
        </is>
      </c>
      <c r="F111" s="23" t="inlineStr">
        <is>
          <t>How we help</t>
        </is>
      </c>
      <c r="G111" s="21" t="n"/>
      <c r="H111" s="21" t="n"/>
      <c r="I111" s="21" t="n"/>
      <c r="J111" s="21" t="n"/>
      <c r="K111" s="21" t="n"/>
    </row>
    <row r="112" ht="32" customHeight="1">
      <c r="B112" s="61" t="inlineStr">
        <is>
          <t>AI Governance, Risk &amp; Compliance</t>
        </is>
      </c>
      <c r="C112" s="21" t="n"/>
      <c r="D112" s="21" t="n"/>
      <c r="E112" s="68" t="str">
        <f>Calc!E120</f>
        <v>Advised</v>
      </c>
      <c r="F112" s="62" t="inlineStr">
        <is>
          <t>AI governance structure, policies and acceptable use, AI register, guardrails and human-oversight standards, RCM-based compliance reviews, ISO/IEC 42001 readiness and internal audit.</t>
        </is>
      </c>
      <c r="G112" s="21" t="n"/>
      <c r="H112" s="21" t="n"/>
      <c r="I112" s="21" t="n"/>
      <c r="J112" s="21" t="n"/>
      <c r="K112" s="21" t="n"/>
    </row>
    <row r="113" ht="32" customHeight="1">
      <c r="B113" s="61" t="inlineStr">
        <is>
          <t>AI Risk &amp; Cyber Resilience</t>
        </is>
      </c>
      <c r="C113" s="21" t="n"/>
      <c r="D113" s="21" t="n"/>
      <c r="E113" s="68" t="str">
        <f>Calc!E121</f>
        <v>Advised</v>
      </c>
      <c r="F113" s="62" t="inlineStr">
        <is>
          <t>AI risk management framework and risk appetite, use-case risk &amp; impact assessments, third-party AI risk, AI security audits (GT AI Security &amp; Agent Audit Checklist), AI red teaming, deepfake-resilient processes.</t>
        </is>
      </c>
      <c r="G113" s="21" t="n"/>
      <c r="H113" s="21" t="n"/>
      <c r="I113" s="21" t="n"/>
      <c r="J113" s="21" t="n"/>
      <c r="K113" s="21" t="n"/>
    </row>
    <row r="114" ht="32" customHeight="1">
      <c r="B114" s="61" t="inlineStr">
        <is>
          <t>Training &amp; Awareness</t>
        </is>
      </c>
      <c r="C114" s="21" t="n"/>
      <c r="D114" s="21" t="n"/>
      <c r="E114" s="68" t="str">
        <f>Calc!E122</f>
        <v>Optional</v>
      </c>
      <c r="F114" s="62" t="inlineStr">
        <is>
          <t>AI literacy programmes (EU AI Act Art. 4-aligned), role-based pathways, immersive labs, deepfake &amp; AI-phishing simulations, board AI governance sessions.</t>
        </is>
      </c>
      <c r="G114" s="21" t="n"/>
      <c r="H114" s="21" t="n"/>
      <c r="I114" s="21" t="n"/>
      <c r="J114" s="21" t="n"/>
      <c r="K114" s="21" t="n"/>
    </row>
    <row r="115" ht="32" customHeight="1">
      <c r="B115" s="61" t="inlineStr">
        <is>
          <t>AI Strategy &amp; Roadmap</t>
        </is>
      </c>
      <c r="C115" s="21" t="n"/>
      <c r="D115" s="21" t="n"/>
      <c r="E115" s="68" t="str">
        <f>Calc!E123</f>
        <v>Advised</v>
      </c>
      <c r="F115" s="62" t="inlineStr">
        <is>
          <t>AI Opportunity Discovery (where AI and automation fit), AI strategy, use-case prioritisation, value-realisation KPIs and phased roadmap.</t>
        </is>
      </c>
      <c r="G115" s="21" t="n"/>
      <c r="H115" s="21" t="n"/>
      <c r="I115" s="21" t="n"/>
      <c r="J115" s="21" t="n"/>
      <c r="K115" s="21" t="n"/>
    </row>
    <row r="116" ht="32" customHeight="1">
      <c r="B116" s="61" t="inlineStr">
        <is>
          <t>AI-Driven Automation &amp; Data</t>
        </is>
      </c>
      <c r="C116" s="21" t="n"/>
      <c r="D116" s="21" t="n"/>
      <c r="E116" s="68" t="str">
        <f>Calc!E124</f>
        <v>Advised</v>
      </c>
      <c r="F116" s="62" t="inlineStr">
        <is>
          <t>Technology evaluation, data readiness, reference architecture, model validation and integration. GT AI apps in preparation: AI-powered BCP tool and AI-powered Financial Statements tool.</t>
        </is>
      </c>
      <c r="G116" s="21" t="n"/>
      <c r="H116" s="21" t="n"/>
      <c r="I116" s="21" t="n"/>
      <c r="J116" s="21" t="n"/>
      <c r="K116" s="21" t="n"/>
    </row>
    <row r="117"/>
    <row r="118" ht="22" customHeight="1">
      <c r="B118" s="47" t="inlineStr">
        <is>
          <t>10. NEXT STEPS &amp; SIGN-OFF</t>
        </is>
      </c>
    </row>
    <row r="119" ht="72" customHeight="1">
      <c r="B119"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9" s="21" t="n"/>
      <c r="D119" s="21" t="n"/>
      <c r="E119" s="21" t="n"/>
      <c r="F119" s="21" t="n"/>
      <c r="G119" s="21" t="n"/>
      <c r="H119" s="21" t="n"/>
      <c r="I119" s="21" t="n"/>
      <c r="J119" s="21" t="n"/>
      <c r="K119" s="21" t="n"/>
    </row>
    <row r="120"/>
    <row r="121" ht="20" customHeight="1">
      <c r="B121" s="23" t="inlineStr">
        <is>
          <t>Role</t>
        </is>
      </c>
      <c r="C121" s="21" t="n"/>
      <c r="D121" s="21" t="n"/>
      <c r="E121" s="23" t="inlineStr">
        <is>
          <t>Name</t>
        </is>
      </c>
      <c r="F121" s="21" t="n"/>
      <c r="G121" s="21" t="n"/>
      <c r="H121" s="23" t="inlineStr">
        <is>
          <t>Signature</t>
        </is>
      </c>
      <c r="I121" s="21" t="n"/>
      <c r="J121" s="21" t="n"/>
      <c r="K121" s="23" t="inlineStr">
        <is>
          <t>Date</t>
        </is>
      </c>
    </row>
    <row r="122" ht="28" customHeight="1">
      <c r="B122" s="74" t="inlineStr">
        <is>
          <t>Assessment completed by</t>
        </is>
      </c>
      <c r="C122" s="21" t="n"/>
      <c r="D122" s="21" t="n"/>
      <c r="E122" s="75" t="str">
        <f>IF('1. Profile'!$C$9="","",'1. Profile'!$C$9)</f>
        <v>AI Service Line Lead</v>
      </c>
      <c r="F122" s="76" t="n"/>
      <c r="G122" s="76" t="n"/>
      <c r="H122" s="77" t="inlineStr"/>
      <c r="I122" s="76" t="n"/>
      <c r="J122" s="76" t="n"/>
      <c r="K122" s="77" t="n"/>
    </row>
    <row r="123" ht="28" customHeight="1">
      <c r="B123" s="74" t="inlineStr">
        <is>
          <t>Reviewed by (risk / compliance)</t>
        </is>
      </c>
      <c r="C123" s="21" t="n"/>
      <c r="D123" s="21" t="n"/>
      <c r="E123" s="75" t="inlineStr"/>
      <c r="F123" s="76" t="n"/>
      <c r="G123" s="76" t="n"/>
      <c r="H123" s="77" t="inlineStr"/>
      <c r="I123" s="76" t="n"/>
      <c r="J123" s="76" t="n"/>
      <c r="K123" s="77" t="n"/>
    </row>
    <row r="124" ht="28" customHeight="1">
      <c r="B124" s="74" t="inlineStr">
        <is>
          <t>Executive sponsor</t>
        </is>
      </c>
      <c r="C124" s="21" t="n"/>
      <c r="D124" s="21" t="n"/>
      <c r="E124" s="75" t="inlineStr"/>
      <c r="F124" s="76" t="n"/>
      <c r="G124" s="76" t="n"/>
      <c r="H124" s="77" t="inlineStr"/>
      <c r="I124" s="76" t="n"/>
      <c r="J124" s="76" t="n"/>
      <c r="K124" s="77" t="n"/>
    </row>
    <row r="125"/>
    <row r="126" ht="58" customHeight="1">
      <c r="B126" s="78" t="inlineStr">
        <is>
          <t>Methodology: Part A (4 questions) derives an inherent-risk tier from the NSW AI Assessment Framework risk factors (AI use, decision impact, data sensitivity, oversight &amp; reversibility). Part B (16 questions) scores readiness 0-100% across 5 domains (AI Governance; AI Risk &amp; Security; Training &amp; Awareness; Strategy &amp; Value; Data &amp; Technology); domain scores are averaged equally into the overall score and mapped to a four-band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90">
    <mergeCell ref="B91:C91"/>
    <mergeCell ref="B42:D42"/>
    <mergeCell ref="I54:K54"/>
    <mergeCell ref="F113:K113"/>
    <mergeCell ref="H123:J123"/>
    <mergeCell ref="F114:K114"/>
    <mergeCell ref="B22:C22"/>
    <mergeCell ref="E41"/>
    <mergeCell ref="D66:F66"/>
    <mergeCell ref="B6:K6"/>
    <mergeCell ref="B44:D44"/>
    <mergeCell ref="I56:K56"/>
    <mergeCell ref="D53:F53"/>
    <mergeCell ref="D84:E84"/>
    <mergeCell ref="B93:C93"/>
    <mergeCell ref="E8:F8"/>
    <mergeCell ref="H42:K42"/>
    <mergeCell ref="B21:C21"/>
    <mergeCell ref="F83:J83"/>
    <mergeCell ref="B86:C86"/>
    <mergeCell ref="D86:E86"/>
    <mergeCell ref="B4:K4"/>
    <mergeCell ref="B108:D108"/>
    <mergeCell ref="K121"/>
    <mergeCell ref="B67:C67"/>
    <mergeCell ref="G103:K103"/>
    <mergeCell ref="I8:K8"/>
    <mergeCell ref="G57:H57"/>
    <mergeCell ref="B61:C61"/>
    <mergeCell ref="G66:H66"/>
    <mergeCell ref="D27:K27"/>
    <mergeCell ref="B72"/>
    <mergeCell ref="F85:J85"/>
    <mergeCell ref="E124:G124"/>
    <mergeCell ref="I63:K63"/>
    <mergeCell ref="G68:H68"/>
    <mergeCell ref="I59:K59"/>
    <mergeCell ref="B70:K70"/>
    <mergeCell ref="F21"/>
    <mergeCell ref="G58:H58"/>
    <mergeCell ref="I65:K65"/>
    <mergeCell ref="G104:K104"/>
    <mergeCell ref="I34:K34"/>
    <mergeCell ref="E121:G121"/>
    <mergeCell ref="F116:K116"/>
    <mergeCell ref="B98:K98"/>
    <mergeCell ref="F43:G43"/>
    <mergeCell ref="B55:C55"/>
    <mergeCell ref="F92:J92"/>
    <mergeCell ref="B64:C64"/>
    <mergeCell ref="B33:C33"/>
    <mergeCell ref="D17"/>
    <mergeCell ref="D25:K25"/>
    <mergeCell ref="I36:K36"/>
    <mergeCell ref="H122:J122"/>
    <mergeCell ref="E123:G123"/>
    <mergeCell ref="B105:D105"/>
    <mergeCell ref="H45:K45"/>
    <mergeCell ref="B26:C26"/>
    <mergeCell ref="B43:D43"/>
    <mergeCell ref="B63:C63"/>
    <mergeCell ref="D88:E88"/>
    <mergeCell ref="B35:C35"/>
    <mergeCell ref="D57:F57"/>
    <mergeCell ref="B111:D111"/>
    <mergeCell ref="G59:H59"/>
    <mergeCell ref="B99:K99"/>
    <mergeCell ref="J73:K73"/>
    <mergeCell ref="B25:C25"/>
    <mergeCell ref="F87:J87"/>
    <mergeCell ref="H47:K47"/>
    <mergeCell ref="B90:C90"/>
    <mergeCell ref="B8:D8"/>
    <mergeCell ref="I37:K37"/>
    <mergeCell ref="D90:E90"/>
    <mergeCell ref="B107:D107"/>
    <mergeCell ref="G67:H67"/>
    <mergeCell ref="B66:C66"/>
    <mergeCell ref="D33:G33"/>
    <mergeCell ref="H33"/>
    <mergeCell ref="G61:H61"/>
    <mergeCell ref="B18:C18"/>
    <mergeCell ref="B27:C27"/>
    <mergeCell ref="F89:J89"/>
    <mergeCell ref="B110:K110"/>
    <mergeCell ref="I62:K62"/>
    <mergeCell ref="J77:K77"/>
    <mergeCell ref="G7:H7"/>
    <mergeCell ref="B11:C11"/>
    <mergeCell ref="D35:G35"/>
    <mergeCell ref="G101:K101"/>
    <mergeCell ref="B126:K126"/>
    <mergeCell ref="B9:D9"/>
    <mergeCell ref="F45:G45"/>
    <mergeCell ref="F42:G42"/>
    <mergeCell ref="D34:G34"/>
    <mergeCell ref="G62:H62"/>
    <mergeCell ref="I64:K64"/>
    <mergeCell ref="D68:F68"/>
    <mergeCell ref="E111"/>
    <mergeCell ref="H124:J124"/>
    <mergeCell ref="B53:C53"/>
    <mergeCell ref="H41:K41"/>
    <mergeCell ref="D55:F55"/>
    <mergeCell ref="B124:D124"/>
    <mergeCell ref="F47:G47"/>
    <mergeCell ref="B29:C29"/>
    <mergeCell ref="E17"/>
    <mergeCell ref="B45:D45"/>
    <mergeCell ref="D67:F67"/>
    <mergeCell ref="D36:G36"/>
    <mergeCell ref="E77:I77"/>
    <mergeCell ref="B37:C37"/>
    <mergeCell ref="F91:J91"/>
    <mergeCell ref="D54:F54"/>
    <mergeCell ref="F46:G46"/>
    <mergeCell ref="G65:H65"/>
    <mergeCell ref="B84:C84"/>
    <mergeCell ref="D60:F60"/>
    <mergeCell ref="B100:D100"/>
    <mergeCell ref="J75:K75"/>
    <mergeCell ref="F93:J93"/>
    <mergeCell ref="H49:K49"/>
    <mergeCell ref="B47:D47"/>
    <mergeCell ref="B1:K1"/>
    <mergeCell ref="F48:G48"/>
    <mergeCell ref="B46:D46"/>
    <mergeCell ref="B102:D102"/>
    <mergeCell ref="B80:C80"/>
    <mergeCell ref="B95:C95"/>
    <mergeCell ref="D72"/>
    <mergeCell ref="E72:I72"/>
    <mergeCell ref="B89:C89"/>
    <mergeCell ref="D89:E89"/>
    <mergeCell ref="F23"/>
    <mergeCell ref="G60:H60"/>
    <mergeCell ref="G106:K106"/>
    <mergeCell ref="G9:H9"/>
    <mergeCell ref="D37:G37"/>
    <mergeCell ref="B48:D48"/>
    <mergeCell ref="B54:C54"/>
    <mergeCell ref="G105:K105"/>
    <mergeCell ref="I66:K66"/>
    <mergeCell ref="B81:C81"/>
    <mergeCell ref="E100"/>
    <mergeCell ref="I53:K53"/>
    <mergeCell ref="D81:E81"/>
    <mergeCell ref="H48:K48"/>
    <mergeCell ref="C72"/>
    <mergeCell ref="B51:K51"/>
    <mergeCell ref="B56:C56"/>
    <mergeCell ref="B96:C96"/>
    <mergeCell ref="G107:K107"/>
    <mergeCell ref="D96:E96"/>
    <mergeCell ref="I68:K68"/>
    <mergeCell ref="B58:C58"/>
    <mergeCell ref="B38:G38"/>
    <mergeCell ref="B52:C52"/>
    <mergeCell ref="I55:K55"/>
    <mergeCell ref="I52:K52"/>
    <mergeCell ref="I67:K67"/>
    <mergeCell ref="F95:J95"/>
    <mergeCell ref="D11:K11"/>
    <mergeCell ref="B49:D49"/>
    <mergeCell ref="D58:F58"/>
    <mergeCell ref="H38:K38"/>
    <mergeCell ref="B60:C60"/>
    <mergeCell ref="F19"/>
    <mergeCell ref="B17:C17"/>
    <mergeCell ref="H43:K43"/>
    <mergeCell ref="B57:C57"/>
    <mergeCell ref="J74:K74"/>
    <mergeCell ref="K80"/>
    <mergeCell ref="B82:C82"/>
    <mergeCell ref="B88:C88"/>
    <mergeCell ref="E74:I74"/>
    <mergeCell ref="D91:E91"/>
    <mergeCell ref="B114:D114"/>
    <mergeCell ref="G108:K108"/>
    <mergeCell ref="B41:D41"/>
    <mergeCell ref="B19:C19"/>
    <mergeCell ref="B34:C34"/>
    <mergeCell ref="F81:J81"/>
    <mergeCell ref="B123:D123"/>
    <mergeCell ref="B28:C28"/>
    <mergeCell ref="F90:J90"/>
    <mergeCell ref="B12:K12"/>
    <mergeCell ref="D93:E93"/>
    <mergeCell ref="F20"/>
    <mergeCell ref="D59:F59"/>
    <mergeCell ref="B113:D113"/>
    <mergeCell ref="G64:H64"/>
    <mergeCell ref="B83:C83"/>
    <mergeCell ref="E122:G122"/>
    <mergeCell ref="D83:E83"/>
    <mergeCell ref="B92:C92"/>
    <mergeCell ref="B30:C30"/>
    <mergeCell ref="D92:E92"/>
    <mergeCell ref="B14:K14"/>
    <mergeCell ref="G100:K100"/>
    <mergeCell ref="E7:F7"/>
    <mergeCell ref="G54:H54"/>
    <mergeCell ref="B115:D115"/>
    <mergeCell ref="B20:C20"/>
    <mergeCell ref="G63:H63"/>
    <mergeCell ref="B119:K119"/>
    <mergeCell ref="F82:J82"/>
    <mergeCell ref="F49:G49"/>
    <mergeCell ref="B85:C85"/>
    <mergeCell ref="I57:K57"/>
    <mergeCell ref="D85:E85"/>
    <mergeCell ref="B94:C94"/>
    <mergeCell ref="D94:E94"/>
    <mergeCell ref="G102:K102"/>
    <mergeCell ref="I7:K7"/>
    <mergeCell ref="G56:H56"/>
    <mergeCell ref="D26:K26"/>
    <mergeCell ref="B62:C62"/>
    <mergeCell ref="B118:K118"/>
    <mergeCell ref="G52:H52"/>
    <mergeCell ref="B40:K40"/>
    <mergeCell ref="B59:C59"/>
    <mergeCell ref="D61:F61"/>
    <mergeCell ref="J72:K72"/>
    <mergeCell ref="B101:D101"/>
    <mergeCell ref="I58:K58"/>
    <mergeCell ref="B116:D116"/>
    <mergeCell ref="G8:H8"/>
    <mergeCell ref="D80:E80"/>
    <mergeCell ref="F84:J84"/>
    <mergeCell ref="B103:D103"/>
    <mergeCell ref="I33:K33"/>
    <mergeCell ref="B112:D112"/>
    <mergeCell ref="B79:K79"/>
    <mergeCell ref="E73:I73"/>
    <mergeCell ref="D95:E95"/>
    <mergeCell ref="B32:K32"/>
    <mergeCell ref="F115:K115"/>
    <mergeCell ref="D62:F62"/>
    <mergeCell ref="F86:J86"/>
    <mergeCell ref="B23:C23"/>
    <mergeCell ref="D56:F56"/>
    <mergeCell ref="F80:J80"/>
    <mergeCell ref="G53:H53"/>
    <mergeCell ref="F94:J94"/>
    <mergeCell ref="I35:K35"/>
    <mergeCell ref="F111:K111"/>
    <mergeCell ref="B16:K16"/>
    <mergeCell ref="E9:F9"/>
    <mergeCell ref="F41:G41"/>
    <mergeCell ref="B3:K3"/>
    <mergeCell ref="D64:F64"/>
    <mergeCell ref="B87:C87"/>
    <mergeCell ref="H44:K44"/>
    <mergeCell ref="B104:D104"/>
    <mergeCell ref="B71:K71"/>
    <mergeCell ref="D87:E87"/>
    <mergeCell ref="I60:K60"/>
    <mergeCell ref="I9:K9"/>
    <mergeCell ref="D28:K28"/>
    <mergeCell ref="H46:K46"/>
    <mergeCell ref="B106:D106"/>
    <mergeCell ref="B2:K2"/>
    <mergeCell ref="M2:M4"/>
    <mergeCell ref="B7:D7"/>
    <mergeCell ref="B65:C65"/>
    <mergeCell ref="F18"/>
    <mergeCell ref="D63:F63"/>
    <mergeCell ref="G55:H55"/>
    <mergeCell ref="F96:J96"/>
    <mergeCell ref="F112:K112"/>
    <mergeCell ref="B121:D121"/>
    <mergeCell ref="B68:C68"/>
    <mergeCell ref="E76:I76"/>
    <mergeCell ref="D30:K30"/>
    <mergeCell ref="D82:E82"/>
    <mergeCell ref="F17"/>
    <mergeCell ref="B122:D122"/>
    <mergeCell ref="D65:F65"/>
    <mergeCell ref="F100"/>
    <mergeCell ref="I61:K61"/>
    <mergeCell ref="B36:C36"/>
    <mergeCell ref="J76:K76"/>
    <mergeCell ref="D29:K29"/>
    <mergeCell ref="H121:J121"/>
    <mergeCell ref="E75:I75"/>
    <mergeCell ref="D52:F52"/>
    <mergeCell ref="F22"/>
    <mergeCell ref="F44:G44"/>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E18:E22">
    <cfRule type="cellIs" priority="31" operator="equal" dxfId="6">
      <formula>"Partial"</formula>
    </cfRule>
    <cfRule type="cellIs" priority="32" operator="equal" dxfId="1">
      <formula>"Informed"</formula>
    </cfRule>
    <cfRule type="cellIs" priority="33" operator="equal" dxfId="0">
      <formula>"Repeatable"</formula>
    </cfRule>
    <cfRule type="cellIs" priority="34" operator="equal" dxfId="4">
      <formula>"Adaptive"</formula>
    </cfRule>
  </conditionalFormatting>
  <conditionalFormatting sqref="H34:H37">
    <cfRule type="cellIs" priority="35" operator="equal" dxfId="0">
      <formula>"Low"</formula>
    </cfRule>
    <cfRule type="cellIs" priority="36" operator="equal" dxfId="1">
      <formula>"Medium"</formula>
    </cfRule>
    <cfRule type="cellIs" priority="37" operator="equal" dxfId="2">
      <formula>"High"</formula>
    </cfRule>
    <cfRule type="cellIs" priority="38" operator="equal" dxfId="3">
      <formula>"Very high"</formula>
    </cfRule>
  </conditionalFormatting>
  <conditionalFormatting sqref="F42:F49">
    <cfRule type="cellIs" priority="39" operator="equal" dxfId="0">
      <formula>"Well addressed"</formula>
    </cfRule>
    <cfRule type="cellIs" priority="40" operator="equal" dxfId="1">
      <formula>"Partially addressed"</formula>
    </cfRule>
    <cfRule type="cellIs" priority="41" operator="equal" dxfId="2">
      <formula>"Needs attention"</formula>
    </cfRule>
  </conditionalFormatting>
  <conditionalFormatting sqref="D53:D68">
    <cfRule type="expression" priority="42" dxfId="3">
      <formula>ISNUMBER(SEARCH("Not met",LEFT($D53,25)))</formula>
    </cfRule>
    <cfRule type="expression" priority="43" dxfId="2">
      <formula>ISNUMBER(SEARCH("Minimal",LEFT($D53,25)))</formula>
    </cfRule>
    <cfRule type="expression" priority="44" dxfId="1">
      <formula>ISNUMBER(SEARCH("Partially",LEFT($D53,25)))</formula>
    </cfRule>
    <cfRule type="expression" priority="45" dxfId="0">
      <formula>ISNUMBER(SEARCH("Largely",LEFT($D53,25)))</formula>
    </cfRule>
    <cfRule type="expression" priority="46" dxfId="4">
      <formula>ISNUMBER(SEARCH("Fully",LEFT($D53,25)))</formula>
    </cfRule>
  </conditionalFormatting>
  <conditionalFormatting sqref="B81:B96">
    <cfRule type="expression" priority="47" dxfId="2">
      <formula>LEFT($B81,9)="Immediate"</formula>
    </cfRule>
    <cfRule type="expression" priority="48" dxfId="1">
      <formula>LEFT($B81,5)="Short"</formula>
    </cfRule>
    <cfRule type="expression" priority="49" dxfId="0">
      <formula>LEFT($B81,6)="Medium"</formula>
    </cfRule>
  </conditionalFormatting>
  <conditionalFormatting sqref="F101:F108">
    <cfRule type="cellIs" priority="50" operator="equal" dxfId="0">
      <formula>"On track"</formula>
    </cfRule>
    <cfRule type="cellIs" priority="51" operator="equal" dxfId="1">
      <formula>"Partial gap"</formula>
    </cfRule>
    <cfRule type="cellIs" priority="52" operator="equal" dxfId="2">
      <formula>"Significant gap"</formula>
    </cfRule>
  </conditionalFormatting>
  <conditionalFormatting sqref="E101:E108">
    <cfRule type="cellIs" priority="53" operator="equal" dxfId="8">
      <formula>"Yes"</formula>
    </cfRule>
  </conditionalFormatting>
  <conditionalFormatting sqref="E112:E116">
    <cfRule type="cellIs" priority="54" operator="equal" dxfId="2">
      <formula>"Priority"</formula>
    </cfRule>
    <cfRule type="cellIs" priority="55" operator="equal" dxfId="1">
      <formula>"Advised"</formula>
    </cfRule>
    <cfRule type="cellIs" priority="56" operator="equal" dxfId="0">
      <formula>"Optional"</formula>
    </cfRule>
    <cfRule type="cellIs" priority="57"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4" min="0" max="16383" man="1"/>
    <brk id="50" min="0" max="16383" man="1"/>
    <brk id="61" min="0" max="16383" man="1"/>
    <brk id="75" min="0" max="16383" man="1"/>
    <brk id="97" min="0" max="16383" man="1"/>
    <brk id="117"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governance structure &amp; accountability
(AI Governance)</t>
        </is>
      </c>
      <c r="D5" s="37">
        <f>IF(Calc!E204="","-",Calc!E204)</f>
        <v>0.5</v>
      </c>
      <c r="E5" s="79">
        <f>IFERROR(MATCH(204,Calc!$B$87:$B$102,0),"-")</f>
        <v>2</v>
      </c>
      <c r="F5" s="7" t="str">
        <f>Calc!I204</f>
        <v>Immediate (0-3 months)</v>
      </c>
      <c r="G5" s="7" t="str">
        <f>Calc!L204</f>
        <v>Assign named business and technical owners to every AI system and publish a RACI across the three lines of defence.</v>
      </c>
      <c r="H5" s="7" t="inlineStr">
        <is>
          <t>GL-1, GL-2, GL-7, AA-1</t>
        </is>
      </c>
      <c r="I5" s="6" t="n"/>
      <c r="J5" s="80" t="n"/>
      <c r="K5" s="6" t="n"/>
      <c r="L5" s="6" t="n"/>
    </row>
    <row r="6" ht="48" customHeight="1">
      <c r="B6" s="30" t="inlineStr">
        <is>
          <t>Q6</t>
        </is>
      </c>
      <c r="C6" s="61" t="inlineStr">
        <is>
          <t>AI policy, acceptable use &amp; regulatory compliance
(AI Governance)</t>
        </is>
      </c>
      <c r="D6" s="37">
        <f>IF(Calc!E205="","-",Calc!E205)</f>
        <v>0.75</v>
      </c>
      <c r="E6" s="79">
        <f>IFERROR(MATCH(205,Calc!$B$87:$B$102,0),"-")</f>
        <v>12</v>
      </c>
      <c r="F6" s="7" t="str">
        <f>Calc!I205</f>
        <v>Medium term (6-12 months)</v>
      </c>
      <c r="G6" s="7" t="str">
        <f>Calc!L205</f>
        <v>Establish monthly regulatory horizon scanning and periodic compliance testing with evidence retention.</v>
      </c>
      <c r="H6" s="7" t="inlineStr">
        <is>
          <t>GL-5, RO-1, RO-5</t>
        </is>
      </c>
      <c r="I6" s="6" t="n"/>
      <c r="J6" s="80" t="n"/>
      <c r="K6" s="6" t="n"/>
      <c r="L6" s="6" t="n"/>
    </row>
    <row r="7" ht="48" customHeight="1">
      <c r="B7" s="30" t="inlineStr">
        <is>
          <t>Q7</t>
        </is>
      </c>
      <c r="C7" s="61" t="inlineStr">
        <is>
          <t>Responsible-AI guardrails &amp; human oversight
(AI Governance)</t>
        </is>
      </c>
      <c r="D7" s="37">
        <f>IF(Calc!E206="","-",Calc!E206)</f>
        <v>0.5</v>
      </c>
      <c r="E7" s="79">
        <f>IFERROR(MATCH(206,Calc!$B$87:$B$102,0),"-")</f>
        <v>7</v>
      </c>
      <c r="F7" s="7" t="str">
        <f>Calc!I206</f>
        <v>Short term (3-6 months)</v>
      </c>
      <c r="G7" s="7" t="str">
        <f>Calc!L206</f>
        <v>Apply mandatory human-in-charge controls and AI disclosure to all relevant AI; require committee approval for High / Critical uses.</v>
      </c>
      <c r="H7" s="7" t="inlineStr">
        <is>
          <t>GL-7, RS-1, RS-4, RS-5, CO-1, CO-3</t>
        </is>
      </c>
      <c r="I7" s="6" t="n"/>
      <c r="J7" s="80" t="n"/>
      <c r="K7" s="6" t="n"/>
      <c r="L7" s="6" t="n"/>
    </row>
    <row r="8" ht="48" customHeight="1">
      <c r="B8" s="30" t="inlineStr">
        <is>
          <t>Q8</t>
        </is>
      </c>
      <c r="C8" s="61" t="inlineStr">
        <is>
          <t>AI incidents, monitoring &amp; assurance
(AI Governance)</t>
        </is>
      </c>
      <c r="D8" s="37">
        <f>IF(Calc!E207="","-",Calc!E207)</f>
        <v>0.75</v>
      </c>
      <c r="E8" s="79">
        <f>IFERROR(MATCH(207,Calc!$B$87:$B$102,0),"-")</f>
        <v>13</v>
      </c>
      <c r="F8" s="7" t="str">
        <f>Calc!I207</f>
        <v>Medium term (6-12 months)</v>
      </c>
      <c r="G8" s="7" t="str">
        <f>Calc!L207</f>
        <v>Implement post-incident learning and an ISO/IEC 42001 certification-readiness review.</v>
      </c>
      <c r="H8" s="7" t="inlineStr">
        <is>
          <t>IM-1, IM-2, IM-3, AA-1, AA-2, RO-4</t>
        </is>
      </c>
      <c r="I8" s="6" t="n"/>
      <c r="J8" s="80" t="n"/>
      <c r="K8" s="6" t="n"/>
      <c r="L8" s="6" t="n"/>
    </row>
    <row r="9" ht="48" customHeight="1">
      <c r="B9" s="30" t="inlineStr">
        <is>
          <t>Q9</t>
        </is>
      </c>
      <c r="C9" s="61" t="inlineStr">
        <is>
          <t>AI risk management framework
(AI Risk &amp; Security)</t>
        </is>
      </c>
      <c r="D9" s="37">
        <f>IF(Calc!E208="","-",Calc!E208)</f>
        <v>0.25</v>
      </c>
      <c r="E9" s="79">
        <f>IFERROR(MATCH(208,Calc!$B$87:$B$102,0),"-")</f>
        <v>1</v>
      </c>
      <c r="F9" s="7" t="str">
        <f>Calc!I208</f>
        <v>Immediate (0-3 months)</v>
      </c>
      <c r="G9" s="7" t="str">
        <f>Calc!L208</f>
        <v>Formalise the methodology, approve it at executive level and pilot it on current AI initiatives.</v>
      </c>
      <c r="H9" s="7" t="inlineStr">
        <is>
          <t>RM-1, RM-2, RM-3, RM-5</t>
        </is>
      </c>
      <c r="I9" s="6" t="n"/>
      <c r="J9" s="80" t="n"/>
      <c r="K9" s="6" t="n"/>
      <c r="L9" s="6" t="n"/>
    </row>
    <row r="10" ht="48" customHeight="1">
      <c r="B10" s="30" t="inlineStr">
        <is>
          <t>Q10</t>
        </is>
      </c>
      <c r="C10" s="61" t="inlineStr">
        <is>
          <t>AI risk appetite, KRIs &amp; reporting
(AI Risk &amp; Security)</t>
        </is>
      </c>
      <c r="D10" s="37">
        <f>IF(Calc!E209="","-",Calc!E209)</f>
        <v>0.5</v>
      </c>
      <c r="E10" s="79">
        <f>IFERROR(MATCH(209,Calc!$B$87:$B$102,0),"-")</f>
        <v>3</v>
      </c>
      <c r="F10" s="7" t="str">
        <f>Calc!I209</f>
        <v>Immediate (0-3 months)</v>
      </c>
      <c r="G10" s="7" t="str">
        <f>Calc!L209</f>
        <v>Define KRIs with thresholds and escalation for each risk category and report them to the AI committee quarterly.</v>
      </c>
      <c r="H10" s="7" t="inlineStr">
        <is>
          <t>RM-6, RM-4, GL-1</t>
        </is>
      </c>
      <c r="I10" s="6" t="n"/>
      <c r="J10" s="80" t="n"/>
      <c r="K10" s="6" t="n"/>
      <c r="L10" s="6" t="n"/>
    </row>
    <row r="11" ht="48" customHeight="1">
      <c r="B11" s="30" t="inlineStr">
        <is>
          <t>Q11</t>
        </is>
      </c>
      <c r="C11" s="61" t="inlineStr">
        <is>
          <t>AI inventory &amp; risk / impact assessment
(AI Risk &amp; Security)</t>
        </is>
      </c>
      <c r="D11" s="37">
        <f>IF(Calc!E210="","-",Calc!E210)</f>
        <v>0.5</v>
      </c>
      <c r="E11" s="79">
        <f>IFERROR(MATCH(210,Calc!$B$87:$B$102,0),"-")</f>
        <v>4</v>
      </c>
      <c r="F11" s="7" t="str">
        <f>Calc!I210</f>
        <v>Immediate (0-3 months)</v>
      </c>
      <c r="G11" s="7" t="str">
        <f>Calc!L210</f>
        <v>Extend assessments to all AI systems and third-party AI; set approval authority by risk tier.</v>
      </c>
      <c r="H11" s="7" t="inlineStr">
        <is>
          <t>GL-8, RM-2, RM-5, TP-2</t>
        </is>
      </c>
      <c r="I11" s="6" t="n"/>
      <c r="J11" s="80" t="n"/>
      <c r="K11" s="6" t="n"/>
      <c r="L11" s="6" t="n"/>
    </row>
    <row r="12" ht="48" customHeight="1">
      <c r="B12" s="30" t="inlineStr">
        <is>
          <t>Q12</t>
        </is>
      </c>
      <c r="C12" s="61" t="inlineStr">
        <is>
          <t>Third-party &amp; AI supply-chain risk
(AI Risk &amp; Security)</t>
        </is>
      </c>
      <c r="D12" s="37">
        <f>IF(Calc!E211="","-",Calc!E211)</f>
        <v>0.5</v>
      </c>
      <c r="E12" s="79">
        <f>IFERROR(MATCH(211,Calc!$B$87:$B$102,0),"-")</f>
        <v>5</v>
      </c>
      <c r="F12" s="7" t="str">
        <f>Calc!I211</f>
        <v>Immediate (0-3 months)</v>
      </c>
      <c r="G12" s="7" t="str">
        <f>Calc!L211</f>
        <v>Make AI due diligence mandatory and adopt standard AI contract clauses (no training on client data, residency, audit, incident notice).</v>
      </c>
      <c r="H12" s="7" t="inlineStr">
        <is>
          <t>TP-1, TP-2, TP-3, SE-7, LC-6</t>
        </is>
      </c>
      <c r="I12" s="6" t="n"/>
      <c r="J12" s="80" t="n"/>
      <c r="K12" s="6" t="n"/>
      <c r="L12" s="6" t="n"/>
    </row>
    <row r="13" ht="48" customHeight="1">
      <c r="B13" s="30" t="inlineStr">
        <is>
          <t>Q13</t>
        </is>
      </c>
      <c r="C13" s="61" t="inlineStr">
        <is>
          <t>Securing AI systems
(AI Risk &amp; Security)</t>
        </is>
      </c>
      <c r="D13" s="37">
        <f>IF(Calc!E212="","-",Calc!E212)</f>
        <v>0.5</v>
      </c>
      <c r="E13" s="79">
        <f>IFERROR(MATCH(212,Calc!$B$87:$B$102,0),"-")</f>
        <v>6</v>
      </c>
      <c r="F13" s="7" t="str">
        <f>Calc!I212</f>
        <v>Immediate (0-3 months)</v>
      </c>
      <c r="G13" s="7" t="str">
        <f>Calc!L212</f>
        <v>Introduce AI red teaming before release, runtime guardrails (input / output filtering) and audit logging.</v>
      </c>
      <c r="H13" s="7" t="inlineStr">
        <is>
          <t>SE-2, SE-3, SE-6 to SE-10, OM-2, AA-3</t>
        </is>
      </c>
      <c r="I13" s="6" t="n"/>
      <c r="J13" s="80" t="n"/>
      <c r="K13" s="6" t="n"/>
      <c r="L13" s="6" t="n"/>
    </row>
    <row r="14" ht="48" customHeight="1">
      <c r="B14" s="30" t="inlineStr">
        <is>
          <t>Q14</t>
        </is>
      </c>
      <c r="C14" s="61" t="inlineStr">
        <is>
          <t>Defending against AI-enabled threats
(AI Risk &amp; Security)</t>
        </is>
      </c>
      <c r="D14" s="37">
        <f>IF(Calc!E213="","-",Calc!E213)</f>
        <v>0.75</v>
      </c>
      <c r="E14" s="79">
        <f>IFERROR(MATCH(213,Calc!$B$87:$B$102,0),"-")</f>
        <v>16</v>
      </c>
      <c r="F14" s="7" t="str">
        <f>Calc!I213</f>
        <v>Medium term (6-12 months)</v>
      </c>
      <c r="G14" s="7" t="str">
        <f>Calc!L213</f>
        <v>Adopt continuous exposure management and AI-specific red teaming; reduce patch cycles to days.</v>
      </c>
      <c r="H14" s="7" t="inlineStr">
        <is>
          <t>AT-1, AT-2, AT-3, AT-4</t>
        </is>
      </c>
      <c r="I14" s="6" t="n"/>
      <c r="J14" s="80" t="n"/>
      <c r="K14" s="6" t="n"/>
      <c r="L14" s="6" t="n"/>
    </row>
    <row r="15" ht="48" customHeight="1">
      <c r="B15" s="30" t="inlineStr">
        <is>
          <t>Q15</t>
        </is>
      </c>
      <c r="C15" s="61" t="inlineStr">
        <is>
          <t>AI training, literacy &amp; awareness
(Training &amp; Awareness)</t>
        </is>
      </c>
      <c r="D15" s="37">
        <f>IF(Calc!E214="","-",Calc!E214)</f>
        <v>0.75</v>
      </c>
      <c r="E15" s="79">
        <f>IFERROR(MATCH(214,Calc!$B$87:$B$102,0),"-")</f>
        <v>14</v>
      </c>
      <c r="F15" s="7" t="str">
        <f>Calc!I214</f>
        <v>Medium term (6-12 months)</v>
      </c>
      <c r="G15" s="7" t="str">
        <f>Calc!L214</f>
        <v>Measure competence, refresh annually, and build an AI champions network and workforce plan.</v>
      </c>
      <c r="H15" s="7" t="inlineStr">
        <is>
          <t>GL-4, RS-9</t>
        </is>
      </c>
      <c r="I15" s="6" t="n"/>
      <c r="J15" s="80" t="n"/>
      <c r="K15" s="6" t="n"/>
      <c r="L15" s="6" t="n"/>
    </row>
    <row r="16" ht="48" customHeight="1">
      <c r="B16" s="30" t="inlineStr">
        <is>
          <t>Q16</t>
        </is>
      </c>
      <c r="C16" s="61" t="inlineStr">
        <is>
          <t>AI strategy &amp; executive ownership
(Strategy &amp; Value)</t>
        </is>
      </c>
      <c r="D16" s="37">
        <f>IF(Calc!E215="","-",Calc!E215)</f>
        <v>0.5</v>
      </c>
      <c r="E16" s="79">
        <f>IFERROR(MATCH(215,Calc!$B$87:$B$102,0),"-")</f>
        <v>8</v>
      </c>
      <c r="F16" s="7" t="str">
        <f>Calc!I215</f>
        <v>Short term (3-6 months)</v>
      </c>
      <c r="G16" s="7" t="str">
        <f>Calc!L215</f>
        <v>Link the strategy to business objectives and budget; define experimentation ('sandbox') boundaries and communicate them.</v>
      </c>
      <c r="H16" s="7" t="inlineStr">
        <is>
          <t>GL-1, GL-3</t>
        </is>
      </c>
      <c r="I16" s="6" t="n"/>
      <c r="J16" s="80" t="n"/>
      <c r="K16" s="6" t="n"/>
      <c r="L16" s="6" t="n"/>
    </row>
    <row r="17" ht="48" customHeight="1">
      <c r="B17" s="30" t="inlineStr">
        <is>
          <t>Q17</t>
        </is>
      </c>
      <c r="C17" s="61" t="inlineStr">
        <is>
          <t>Use-case portfolio &amp; value realisation
(Strategy &amp; Value)</t>
        </is>
      </c>
      <c r="D17" s="37">
        <f>IF(Calc!E216="","-",Calc!E216)</f>
        <v>0.5</v>
      </c>
      <c r="E17" s="79">
        <f>IFERROR(MATCH(216,Calc!$B$87:$B$102,0),"-")</f>
        <v>9</v>
      </c>
      <c r="F17" s="7" t="str">
        <f>Calc!I216</f>
        <v>Short term (3-6 months)</v>
      </c>
      <c r="G17" s="7" t="str">
        <f>Calc!L216</f>
        <v>Define benefit KPIs (financial and non-financial) at approval and assign benefit owners.</v>
      </c>
      <c r="H17" s="7" t="inlineStr">
        <is>
          <t>GL-6, GL-5</t>
        </is>
      </c>
      <c r="I17" s="6" t="n"/>
      <c r="J17" s="80" t="n"/>
      <c r="K17" s="6" t="n"/>
      <c r="L17" s="6" t="n"/>
    </row>
    <row r="18" ht="48" customHeight="1">
      <c r="B18" s="30" t="inlineStr">
        <is>
          <t>Q18</t>
        </is>
      </c>
      <c r="C18" s="61" t="inlineStr">
        <is>
          <t>Data governance, quality &amp; privacy for AI
(Data &amp; Technology)</t>
        </is>
      </c>
      <c r="D18" s="37">
        <f>IF(Calc!E217="","-",Calc!E217)</f>
        <v>0.75</v>
      </c>
      <c r="E18" s="79">
        <f>IFERROR(MATCH(217,Calc!$B$87:$B$102,0),"-")</f>
        <v>15</v>
      </c>
      <c r="F18" s="7" t="str">
        <f>Calc!I217</f>
        <v>Medium term (6-12 months)</v>
      </c>
      <c r="G18" s="7" t="str">
        <f>Calc!L217</f>
        <v>Automate data-quality and lineage monitoring; operationalise data-subject rights and transfer assessments for AI.</v>
      </c>
      <c r="H18" s="7" t="inlineStr">
        <is>
          <t>LC-1, SE-4, PR-1, PR-4, PR-5, PR-6</t>
        </is>
      </c>
      <c r="I18" s="6" t="n"/>
      <c r="J18" s="80" t="n"/>
      <c r="K18" s="6" t="n"/>
      <c r="L18" s="6" t="n"/>
    </row>
    <row r="19" ht="48" customHeight="1">
      <c r="B19" s="30" t="inlineStr">
        <is>
          <t>Q19</t>
        </is>
      </c>
      <c r="C19" s="61" t="inlineStr">
        <is>
          <t>AI architecture, integration &amp; monitoring
(Data &amp; Technology)</t>
        </is>
      </c>
      <c r="D19" s="37">
        <f>IF(Calc!E218="","-",Calc!E218)</f>
        <v>0.5</v>
      </c>
      <c r="E19" s="79">
        <f>IFERROR(MATCH(218,Calc!$B$87:$B$102,0),"-")</f>
        <v>10</v>
      </c>
      <c r="F19" s="7" t="str">
        <f>Calc!I218</f>
        <v>Short term (3-6 months)</v>
      </c>
      <c r="G19" s="7" t="str">
        <f>Calc!L218</f>
        <v>Centralise API / access control for AI, define agent execution authority and implement drift / performance monitoring with thresholds.</v>
      </c>
      <c r="H19" s="7" t="inlineStr">
        <is>
          <t>LC-2, LC-3, LC-8, LC-12, OM-1, OM-4, RM-6</t>
        </is>
      </c>
      <c r="I19" s="6" t="n"/>
      <c r="J19" s="80" t="n"/>
      <c r="K19" s="6" t="n"/>
      <c r="L19" s="6" t="n"/>
    </row>
    <row r="20" ht="48" customHeight="1">
      <c r="B20" s="30" t="inlineStr">
        <is>
          <t>Q20</t>
        </is>
      </c>
      <c r="C20" s="61" t="inlineStr">
        <is>
          <t>Model risk management &amp; validation
(Data &amp; Technology)</t>
        </is>
      </c>
      <c r="D20" s="37">
        <f>IF(Calc!E219="","-",Calc!E219)</f>
        <v>0.5</v>
      </c>
      <c r="E20" s="79">
        <f>IFERROR(MATCH(219,Calc!$B$87:$B$102,0),"-")</f>
        <v>11</v>
      </c>
      <c r="F20" s="7" t="str">
        <f>Calc!I219</f>
        <v>Short term (3-6 months)</v>
      </c>
      <c r="G20" s="7" t="str">
        <f>Calc!L219</f>
        <v>Validate all material models before use and on a risk-based cycle; document thresholds, limitations and conditions of use.</v>
      </c>
      <c r="H20" s="7" t="inlineStr">
        <is>
          <t>LC-9, RS-6, LC-13, OM-1</t>
        </is>
      </c>
      <c r="I20" s="6" t="n"/>
      <c r="J20" s="80"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84"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governance structure &amp; accountability</t>
        </is>
      </c>
      <c r="D31" s="62" t="inlineStr">
        <is>
          <t>AI Governance (1.1, 2.3)</t>
        </is>
      </c>
      <c r="E31" s="62" t="inlineStr">
        <is>
          <t>⚠ Mandatory Requirement</t>
        </is>
      </c>
      <c r="F31" s="62" t="inlineStr">
        <is>
          <t>Accountability</t>
        </is>
      </c>
      <c r="G31" s="62" t="inlineStr">
        <is>
          <t>GL-1, GL-2, GL-7, AA-1</t>
        </is>
      </c>
      <c r="H31" s="62" t="inlineStr">
        <is>
          <t>ISO/IEC 42001 cl.5, 6.2; NIST AI RMF Govern 1</t>
        </is>
      </c>
    </row>
    <row r="32" ht="30" customHeight="1">
      <c r="B32" s="62" t="inlineStr">
        <is>
          <t>Q6</t>
        </is>
      </c>
      <c r="C32" s="62" t="inlineStr">
        <is>
          <t>AI policy, acceptable use &amp; regulatory compliance</t>
        </is>
      </c>
      <c r="D32" s="62" t="inlineStr">
        <is>
          <t>AI Governance (2.1, 2.2)</t>
        </is>
      </c>
      <c r="E32" s="62" t="inlineStr">
        <is>
          <t>⟳ Compliance Obligation</t>
        </is>
      </c>
      <c r="F32" s="62" t="inlineStr">
        <is>
          <t>Accountability, Privacy &amp; Security</t>
        </is>
      </c>
      <c r="G32" s="62" t="inlineStr">
        <is>
          <t>GL-5, RO-1, RO-5</t>
        </is>
      </c>
      <c r="H32" s="62" t="inlineStr">
        <is>
          <t>ISO/IEC 42001 6.2; NIST AI RMF Map 3</t>
        </is>
      </c>
    </row>
    <row r="33" ht="30" customHeight="1">
      <c r="B33" s="62" t="inlineStr">
        <is>
          <t>Q7</t>
        </is>
      </c>
      <c r="C33" s="62" t="inlineStr">
        <is>
          <t>Responsible-AI guardrails &amp; human oversight</t>
        </is>
      </c>
      <c r="D33" s="62" t="inlineStr">
        <is>
          <t>AI Governance (2.3, 5.2)</t>
        </is>
      </c>
      <c r="E33" s="62" t="inlineStr">
        <is>
          <t>⚖ Ethical Consideration</t>
        </is>
      </c>
      <c r="F33" s="62" t="inlineStr">
        <is>
          <t>Fairness, Transparency &amp; Explainability, Human-Centred Values, Contestability</t>
        </is>
      </c>
      <c r="G33" s="62" t="inlineStr">
        <is>
          <t>GL-7, RS-1, RS-4, RS-5, CO-1, CO-3</t>
        </is>
      </c>
      <c r="H33" s="62" t="inlineStr">
        <is>
          <t>ISO/IEC 42001 cl.5.1-5.3, A.3; NIST AI RMF Govern 2; IIA Three Lines Model</t>
        </is>
      </c>
    </row>
    <row r="34" ht="30" customHeight="1">
      <c r="B34" s="62" t="inlineStr">
        <is>
          <t>Q8</t>
        </is>
      </c>
      <c r="C34" s="62" t="inlineStr">
        <is>
          <t>AI incidents, monitoring &amp; assurance</t>
        </is>
      </c>
      <c r="D34" s="62" t="inlineStr">
        <is>
          <t>AI Governance (2.2, 7.4)</t>
        </is>
      </c>
      <c r="E34" s="62" t="inlineStr">
        <is>
          <t>⟳ Compliance Obligation</t>
        </is>
      </c>
      <c r="F34" s="62" t="inlineStr">
        <is>
          <t>Accountability, Reliability &amp; Safety, Contestability, Transparency &amp; Explainability</t>
        </is>
      </c>
      <c r="G34" s="62" t="inlineStr">
        <is>
          <t>IM-1, IM-2, IM-3, AA-1, AA-2, RO-4</t>
        </is>
      </c>
      <c r="H34" s="62" t="inlineStr">
        <is>
          <t>ISO/IEC 42001 A.2; EU AI Act Art. 5; Bahrain PDPL; CBB</t>
        </is>
      </c>
    </row>
    <row r="35" ht="30" customHeight="1">
      <c r="B35" s="62" t="inlineStr">
        <is>
          <t>Q9</t>
        </is>
      </c>
      <c r="C35" s="62" t="inlineStr">
        <is>
          <t>AI risk management framework</t>
        </is>
      </c>
      <c r="D35" s="62" t="inlineStr">
        <is>
          <t>AI Risk &amp; Security (2.4)</t>
        </is>
      </c>
      <c r="E35" s="62" t="inlineStr">
        <is>
          <t>⚠ Mandatory Requirement</t>
        </is>
      </c>
      <c r="F35" s="62" t="inlineStr">
        <is>
          <t>Accountability, Reliability &amp; Safety</t>
        </is>
      </c>
      <c r="G35" s="62" t="inlineStr">
        <is>
          <t>RM-1, RM-2, RM-3, RM-5</t>
        </is>
      </c>
      <c r="H35" s="62" t="inlineStr">
        <is>
          <t>ISO/IEC 23894; ISO/IEC 42001 6.1; NIST AI RMF Map/Measure/Manage</t>
        </is>
      </c>
    </row>
    <row r="36" ht="30" customHeight="1">
      <c r="B36" s="62" t="inlineStr">
        <is>
          <t>Q10</t>
        </is>
      </c>
      <c r="C36" s="62" t="inlineStr">
        <is>
          <t>AI risk appetite, KRIs &amp; reporting</t>
        </is>
      </c>
      <c r="D36" s="62" t="inlineStr">
        <is>
          <t>AI Risk &amp; Security (1.1, 4.4)</t>
        </is>
      </c>
      <c r="E36" s="62" t="inlineStr">
        <is>
          <t>⚠ Mandatory Requirement</t>
        </is>
      </c>
      <c r="F36" s="62" t="inlineStr">
        <is>
          <t>Accountability</t>
        </is>
      </c>
      <c r="G36" s="62" t="inlineStr">
        <is>
          <t>RM-6, RM-4, GL-1</t>
        </is>
      </c>
      <c r="H36" s="62" t="inlineStr">
        <is>
          <t>NIST AI RMF Govern 1.3; ISO 31000; CBB RM Module</t>
        </is>
      </c>
    </row>
    <row r="37" ht="30" customHeight="1">
      <c r="B37" s="62" t="inlineStr">
        <is>
          <t>Q11</t>
        </is>
      </c>
      <c r="C37" s="62" t="inlineStr">
        <is>
          <t>AI inventory &amp; risk / impact assessment</t>
        </is>
      </c>
      <c r="D37" s="62" t="inlineStr">
        <is>
          <t>AI Risk &amp; Security (2.4, 2.5)</t>
        </is>
      </c>
      <c r="E37" s="62" t="inlineStr">
        <is>
          <t>⚠ Mandatory Requirement</t>
        </is>
      </c>
      <c r="F37" s="62" t="inlineStr">
        <is>
          <t>Accountability, Human, Social &amp; Environmental Wellbeing</t>
        </is>
      </c>
      <c r="G37" s="62" t="inlineStr">
        <is>
          <t>GL-8, RM-2, RM-5, TP-2</t>
        </is>
      </c>
      <c r="H37" s="62" t="inlineStr">
        <is>
          <t>ISO/IEC 42001 6.1, A.4, A.5; ISO/IEC 42005; EU AI Act Art. 9, 27</t>
        </is>
      </c>
    </row>
    <row r="38" ht="30" customHeight="1">
      <c r="B38" s="62" t="inlineStr">
        <is>
          <t>Q12</t>
        </is>
      </c>
      <c r="C38" s="62" t="inlineStr">
        <is>
          <t>Third-party &amp; AI supply-chain risk</t>
        </is>
      </c>
      <c r="D38" s="62" t="inlineStr">
        <is>
          <t>AI Risk &amp; Security (2.4, 6.2)</t>
        </is>
      </c>
      <c r="E38" s="62" t="inlineStr">
        <is>
          <t>⟳ Compliance Obligation</t>
        </is>
      </c>
      <c r="F38" s="62" t="inlineStr">
        <is>
          <t>Privacy &amp; Security, Accountability</t>
        </is>
      </c>
      <c r="G38" s="62" t="inlineStr">
        <is>
          <t>TP-1, TP-2, TP-3, SE-7, LC-6</t>
        </is>
      </c>
      <c r="H38" s="62" t="inlineStr">
        <is>
          <t>ISO/IEC 42001 A.10; EU AI Act Art. 25; ISACA AI agents (supply chain); CBB outsourcing</t>
        </is>
      </c>
    </row>
    <row r="39" ht="30" customHeight="1">
      <c r="B39" s="62" t="inlineStr">
        <is>
          <t>Q13</t>
        </is>
      </c>
      <c r="C39" s="62" t="inlineStr">
        <is>
          <t>Securing AI systems</t>
        </is>
      </c>
      <c r="D39" s="62" t="inlineStr">
        <is>
          <t>AI Risk &amp; Security (6.1, 6.2, 6.3, 6.4, 6.5)</t>
        </is>
      </c>
      <c r="E39" s="62" t="inlineStr">
        <is>
          <t>⚠ Mandatory Requirement</t>
        </is>
      </c>
      <c r="F39" s="62" t="inlineStr">
        <is>
          <t>Privacy &amp; Security, Reliability &amp; Safety</t>
        </is>
      </c>
      <c r="G39" s="62" t="inlineStr">
        <is>
          <t>SE-2, SE-3, SE-6 to SE-10, OM-2, AA-3</t>
        </is>
      </c>
      <c r="H39" s="62" t="inlineStr">
        <is>
          <t>EU AI Act Art. 14, 50, 86; GCC AI Ethics Manual</t>
        </is>
      </c>
    </row>
    <row r="40" ht="30" customHeight="1">
      <c r="B40" s="62" t="inlineStr">
        <is>
          <t>Q14</t>
        </is>
      </c>
      <c r="C40" s="62" t="inlineStr">
        <is>
          <t>Defending against AI-enabled threats</t>
        </is>
      </c>
      <c r="D40" s="62" t="inlineStr">
        <is>
          <t>AI Risk &amp; Security (7.1, 7.2, 7.3, 7.4, 7.5)</t>
        </is>
      </c>
      <c r="E40" s="62" t="inlineStr">
        <is>
          <t>☆ Recommended</t>
        </is>
      </c>
      <c r="F40" s="62" t="inlineStr">
        <is>
          <t>Privacy &amp; Security</t>
        </is>
      </c>
      <c r="G40" s="62" t="inlineStr">
        <is>
          <t>AT-1, AT-2, AT-3, AT-4</t>
        </is>
      </c>
      <c r="H40" s="62" t="inlineStr">
        <is>
          <t>EU AI Act Art. 72-73; ISO/IEC 42001 9-10</t>
        </is>
      </c>
    </row>
    <row r="41" ht="30" customHeight="1">
      <c r="B41" s="62" t="inlineStr">
        <is>
          <t>Q15</t>
        </is>
      </c>
      <c r="C41" s="62" t="inlineStr">
        <is>
          <t>AI training, literacy &amp; awareness</t>
        </is>
      </c>
      <c r="D41" s="62" t="inlineStr">
        <is>
          <t>Training &amp; Awareness (3.1, 3.2, 3.3, 3.4)</t>
        </is>
      </c>
      <c r="E41" s="62" t="inlineStr">
        <is>
          <t>⟳ Compliance Obligation</t>
        </is>
      </c>
      <c r="F41" s="62" t="inlineStr">
        <is>
          <t>Human-Centred Values</t>
        </is>
      </c>
      <c r="G41" s="62" t="inlineStr">
        <is>
          <t>GL-4, RS-9</t>
        </is>
      </c>
      <c r="H41" s="62" t="inlineStr">
        <is>
          <t>EU AI Act Art. 4; ISO/IEC 42001 7.2</t>
        </is>
      </c>
    </row>
    <row r="42" ht="30" customHeight="1">
      <c r="B42" s="62" t="inlineStr">
        <is>
          <t>Q16</t>
        </is>
      </c>
      <c r="C42" s="62" t="inlineStr">
        <is>
          <t>AI strategy &amp; executive ownership</t>
        </is>
      </c>
      <c r="D42" s="62" t="inlineStr">
        <is>
          <t>Strategy &amp; Value (1.1)</t>
        </is>
      </c>
      <c r="E42" s="62" t="inlineStr">
        <is>
          <t>☆ Recommended</t>
        </is>
      </c>
      <c r="F42" s="62" t="inlineStr">
        <is>
          <t>Accountability</t>
        </is>
      </c>
      <c r="G42" s="62" t="inlineStr">
        <is>
          <t>GL-1, GL-3</t>
        </is>
      </c>
      <c r="H42" s="62" t="inlineStr">
        <is>
          <t>EU AI Act Art. 10; Bahrain PDPL; ISO/IEC 5259</t>
        </is>
      </c>
    </row>
    <row r="43" ht="30" customHeight="1">
      <c r="B43" s="62" t="inlineStr">
        <is>
          <t>Q17</t>
        </is>
      </c>
      <c r="C43" s="62" t="inlineStr">
        <is>
          <t>Use-case portfolio &amp; value realisation</t>
        </is>
      </c>
      <c r="D43" s="62" t="inlineStr">
        <is>
          <t>Strategy &amp; Value (1.2, 1.3)</t>
        </is>
      </c>
      <c r="E43" s="62" t="inlineStr">
        <is>
          <t>☆ Recommended</t>
        </is>
      </c>
      <c r="F43" s="62" t="inlineStr">
        <is>
          <t>Human, Social &amp; Environmental Wellbeing</t>
        </is>
      </c>
      <c r="G43" s="62" t="inlineStr">
        <is>
          <t>GL-6, GL-5</t>
        </is>
      </c>
      <c r="H43" s="62" t="inlineStr">
        <is>
          <t>ISO/IEC 42001 A.6; NIST AI RMF Measure 2; ISACA AI agents</t>
        </is>
      </c>
    </row>
    <row r="44" ht="30" customHeight="1">
      <c r="B44" s="62" t="inlineStr">
        <is>
          <t>Q18</t>
        </is>
      </c>
      <c r="C44" s="62" t="inlineStr">
        <is>
          <t>Data governance, quality &amp; privacy for AI</t>
        </is>
      </c>
      <c r="D44" s="62" t="inlineStr">
        <is>
          <t>Data &amp; Technology (5.1, 5.3, 5.4, 5.5)</t>
        </is>
      </c>
      <c r="E44" s="62" t="inlineStr">
        <is>
          <t>⟳ Compliance Obligation</t>
        </is>
      </c>
      <c r="F44" s="62" t="inlineStr">
        <is>
          <t>Privacy &amp; Security, Fairness</t>
        </is>
      </c>
      <c r="G44" s="62" t="inlineStr">
        <is>
          <t>LC-1, SE-4, PR-1, PR-4, PR-5, PR-6</t>
        </is>
      </c>
      <c r="H44" s="62" t="inlineStr">
        <is>
          <t>SR 11-7; PRA SS1/23; ISO/IEC 25059</t>
        </is>
      </c>
    </row>
    <row r="45" ht="30" customHeight="1">
      <c r="B45" s="62" t="inlineStr">
        <is>
          <t>Q19</t>
        </is>
      </c>
      <c r="C45" s="62" t="inlineStr">
        <is>
          <t>AI architecture, integration &amp; monitoring</t>
        </is>
      </c>
      <c r="D45" s="62" t="inlineStr">
        <is>
          <t>Data &amp; Technology (4.1, 4.2, 4.3, 4.4, 4.5)</t>
        </is>
      </c>
      <c r="E45" s="62" t="inlineStr">
        <is>
          <t>☆ Recommended</t>
        </is>
      </c>
      <c r="F45" s="62" t="inlineStr">
        <is>
          <t>Reliability &amp; Safety</t>
        </is>
      </c>
      <c r="G45" s="62" t="inlineStr">
        <is>
          <t>LC-2, LC-3, LC-8, LC-12, OM-1, OM-4, RM-6</t>
        </is>
      </c>
      <c r="H45" s="62" t="inlineStr">
        <is>
          <t>OWASP LLM Top 10; MITRE ATLAS; EU AI Act Art. 15; AI Security Audit Checklist</t>
        </is>
      </c>
    </row>
    <row r="46" ht="30" customHeight="1">
      <c r="B46" s="62" t="inlineStr">
        <is>
          <t>Q20</t>
        </is>
      </c>
      <c r="C46" s="62" t="inlineStr">
        <is>
          <t>Model risk management &amp; validation</t>
        </is>
      </c>
      <c r="D46" s="62" t="inlineStr">
        <is>
          <t>Data &amp; Technology (4.4, 6.3)</t>
        </is>
      </c>
      <c r="E46" s="62" t="inlineStr">
        <is>
          <t>☆ Recommended</t>
        </is>
      </c>
      <c r="F46" s="62" t="inlineStr">
        <is>
          <t>Reliability &amp; Safety, Fairness</t>
        </is>
      </c>
      <c r="G46" s="62" t="inlineStr">
        <is>
          <t>LC-9, RS-6, LC-13, OM-1</t>
        </is>
      </c>
      <c r="H46" s="62"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RCM;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20</v>
      </c>
    </row>
    <row r="21">
      <c r="A21" t="inlineStr">
        <is>
          <t>Complete</t>
        </is>
      </c>
      <c r="B21">
        <f>IF(B20=20,1,0)</f>
        <v>1</v>
      </c>
    </row>
    <row r="25">
      <c r="A25" t="inlineStr">
        <is>
          <t>Inherent risk</t>
        </is>
      </c>
    </row>
    <row r="26">
      <c r="A26" t="inlineStr">
        <is>
          <t>A1</t>
        </is>
      </c>
      <c r="B26">
        <f>IF(E200="","",E200)</f>
        <v>2</v>
      </c>
      <c r="C26" t="n">
        <v>2</v>
      </c>
    </row>
    <row r="27">
      <c r="A27" t="inlineStr">
        <is>
          <t>A2</t>
        </is>
      </c>
      <c r="B27">
        <f>IF(E201="","",E201)</f>
        <v>2</v>
      </c>
      <c r="C27" t="n">
        <v>3</v>
      </c>
    </row>
    <row r="28">
      <c r="A28" t="inlineStr">
        <is>
          <t>A3</t>
        </is>
      </c>
      <c r="B28">
        <f>IF(E202="","",E202)</f>
        <v>2</v>
      </c>
      <c r="C28" t="n">
        <v>2</v>
      </c>
    </row>
    <row r="29">
      <c r="A29" t="inlineStr">
        <is>
          <t>A4</t>
        </is>
      </c>
      <c r="B29">
        <f>IF(E203="","",E203)</f>
        <v>1</v>
      </c>
      <c r="C29" t="n">
        <v>3</v>
      </c>
    </row>
    <row r="30">
      <c r="A30" t="inlineStr">
        <is>
          <t>Inherent %</t>
        </is>
      </c>
      <c r="C30">
        <f>IF(COUNT(B26:B29)&lt;4,"",SUMPRODUCT(B26:B29,C26:C29)/(4*SUM(C26:C29)))</f>
        <v>0.425</v>
      </c>
    </row>
    <row r="31">
      <c r="A31" t="inlineStr">
        <is>
          <t>Score tier</t>
        </is>
      </c>
      <c r="C31" t="str">
        <f>IF(C30="","",IF(C30&gt;=0.75,"Critical",IF(C30&gt;=0.5,"High",IF(C30&gt;=0.25,"Medium","Low"))))</f>
        <v>Medium</v>
      </c>
    </row>
    <row r="32">
      <c r="A32" t="inlineStr">
        <is>
          <t>Final tier</t>
        </is>
      </c>
      <c r="C32" t="str">
        <f>IF(C31="","",IF(AND(B27=4,B29&gt;=3),"Critical",IF(AND(B27=4,OR(C31="Low",C31="Medium")),"High",IF(AND(B28=4,C31="Low"),"Medium",C31))))</f>
        <v>Medium</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No override applied</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f>IFERROR(AVERAGEIF($C$204:$C$219,A37,$E$204:$E$219),"")</f>
        <v>0.625</v>
      </c>
      <c r="C37" t="str">
        <f>IF(B37="","",IF(B37&gt;=0.9,"Adaptive",IF(B37&gt;=0.7,"Repeatable",IF(B37&gt;=0.5,"Informed","Partial"))))</f>
        <v>Informed</v>
      </c>
      <c r="D37" t="n">
        <v>0.7</v>
      </c>
      <c r="E37" t="inlineStr">
        <is>
          <t>Without clear accountability, policy, oversight and assurance, AI is adopted inconsistently, misused and breaches regulation without anyone noticing or answering for it.</t>
        </is>
      </c>
      <c r="H37" t="inlineStr">
        <is>
          <t>Governance</t>
        </is>
      </c>
      <c r="I37">
        <f>IF(B37="",0,B37*100)</f>
        <v>62.5</v>
      </c>
      <c r="J37" t="n">
        <v>70</v>
      </c>
    </row>
    <row r="38">
      <c r="A38" t="inlineStr">
        <is>
          <t>AI Risk &amp; Security</t>
        </is>
      </c>
      <c r="B38">
        <f>IFERROR(AVERAGEIF($C$204:$C$219,A38,$E$204:$E$219),"")</f>
        <v>0.5</v>
      </c>
      <c r="C38" t="str">
        <f>IF(B38="","",IF(B38&gt;=0.9,"Adaptive",IF(B38&gt;=0.7,"Repeatable",IF(B38&gt;=0.5,"Informed","Partial"))))</f>
        <v>Informed</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50</v>
      </c>
      <c r="J38" t="n">
        <v>70</v>
      </c>
    </row>
    <row r="39">
      <c r="A39" t="inlineStr">
        <is>
          <t>Training &amp; Awareness</t>
        </is>
      </c>
      <c r="B39">
        <f>IFERROR(AVERAGEIF($C$204:$C$219,A39,$E$204:$E$219),"")</f>
        <v>0.75</v>
      </c>
      <c r="C39" t="str">
        <f>IF(B39="","",IF(B39&gt;=0.9,"Adaptive",IF(B39&gt;=0.7,"Repeatable",IF(B39&gt;=0.5,"Informed","Partial"))))</f>
        <v>Repeatable</v>
      </c>
      <c r="D39" t="n">
        <v>0.7</v>
      </c>
      <c r="E39" t="inlineStr">
        <is>
          <t>Low AI literacy and awareness increase unsafe use of AI tools, unchecked or biased outputs and susceptibility to AI-enabled phishing and deepfakes.</t>
        </is>
      </c>
      <c r="H39" t="inlineStr">
        <is>
          <t>Training</t>
        </is>
      </c>
      <c r="I39">
        <f>IF(B39="",0,B39*100)</f>
        <v>75</v>
      </c>
      <c r="J39" t="n">
        <v>70</v>
      </c>
    </row>
    <row r="40">
      <c r="A40" t="inlineStr">
        <is>
          <t>Strategy &amp; Value</t>
        </is>
      </c>
      <c r="B40">
        <f>IFERROR(AVERAGEIF($C$204:$C$219,A40,$E$204:$E$219),"")</f>
        <v>0.5</v>
      </c>
      <c r="C40" t="str">
        <f>IF(B40="","",IF(B40&gt;=0.9,"Adaptive",IF(B40&gt;=0.7,"Repeatable",IF(B40&gt;=0.5,"Informed","Partial"))))</f>
        <v>Informed</v>
      </c>
      <c r="D40" t="n">
        <v>0.7</v>
      </c>
      <c r="E40" t="inlineStr">
        <is>
          <t>Without clear direction, ownership and value tracking, AI adoption is fragmented, duplicated and hard to justify.</t>
        </is>
      </c>
      <c r="H40" t="inlineStr">
        <is>
          <t>Strategy</t>
        </is>
      </c>
      <c r="I40">
        <f>IF(B40="",0,B40*100)</f>
        <v>50</v>
      </c>
      <c r="J40" t="n">
        <v>70</v>
      </c>
    </row>
    <row r="41">
      <c r="A41" t="inlineStr">
        <is>
          <t>Data &amp; Technology</t>
        </is>
      </c>
      <c r="B41">
        <f>IFERROR(AVERAGEIF($C$204:$C$219,A41,$E$204:$E$219),"")</f>
        <v>0.583333333333333</v>
      </c>
      <c r="C41" t="str">
        <f>IF(B41="","",IF(B41&gt;=0.9,"Adaptive",IF(B41&gt;=0.7,"Repeatable",IF(B41&gt;=0.5,"Informed","Partial"))))</f>
        <v>Informed</v>
      </c>
      <c r="D41" t="n">
        <v>0.7</v>
      </c>
      <c r="E41" t="inlineStr">
        <is>
          <t>Weak data governance, architecture and model validation lead to inaccurate or biased outputs, privacy breaches, undetected drift and unsustainable costs.</t>
        </is>
      </c>
      <c r="H41" t="inlineStr">
        <is>
          <t>Data &amp; Tech</t>
        </is>
      </c>
      <c r="I41">
        <f>IF(B41="",0,B41*100)</f>
        <v>58.3333333333333</v>
      </c>
      <c r="J41" t="n">
        <v>70</v>
      </c>
    </row>
    <row r="45">
      <c r="A45" t="inlineStr">
        <is>
          <t>Overall readiness</t>
        </is>
      </c>
      <c r="B45">
        <f>IF(COUNT(B37:B41)=0,"",AVERAGE(B37:B41))</f>
        <v>0.591666666666667</v>
      </c>
    </row>
    <row r="46">
      <c r="A46" t="inlineStr">
        <is>
          <t>Maturity</t>
        </is>
      </c>
      <c r="B46" t="str">
        <f>IF(B45="","",IF(B45&gt;=0.9,"Adaptive",IF(B45&gt;=0.7,"Repeatable",IF(B45&gt;=0.5,"Informed","Partial"))))</f>
        <v>Informed</v>
      </c>
    </row>
    <row r="47">
      <c r="A47" t="inlineStr">
        <is>
          <t>Strongest pillar</t>
        </is>
      </c>
      <c r="B47" t="str">
        <f>IFERROR(INDEX(A37:A41,MATCH(MAX(B37:B41),B37:B41,0)),"")</f>
        <v>Training &amp; Awareness</v>
      </c>
      <c r="C47">
        <f>IFERROR(MAX(B37:B41),"")</f>
        <v>0.75</v>
      </c>
    </row>
    <row r="48">
      <c r="A48" t="inlineStr">
        <is>
          <t>Weakest pillar</t>
        </is>
      </c>
      <c r="B48" t="str">
        <f>IFERROR(INDEX(A37:A41,MATCH(MIN(B37:B41),B37:B41,0)),"")</f>
        <v>AI Risk &amp; Security</v>
      </c>
      <c r="C48">
        <f>IFERROR(MIN(B37:B41),"")</f>
        <v>0.5</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Moderate</v>
      </c>
    </row>
    <row r="58">
      <c r="A58" t="inlineStr">
        <is>
          <t>Pathway</t>
        </is>
      </c>
      <c r="B58" t="str">
        <f>IFERROR(VLOOKUP(B57,$A$60:$C$63,2,FALSE),"")</f>
        <v>PROCEED WITH CONDITIONS</v>
      </c>
      <c r="C58" t="str">
        <f>IFERROR(VLOOKUP(B57,$A$60:$C$63,3,FALSE),"")</f>
        <v>Continue AI adoption, but address the identified gaps through a time-bound remediation plan (within 90 days for priority items). Obtain SME review (risk, privacy, security) for new AI use cases.</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Awareness and some defined practices exist, but they are not consistently implemented.</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Based on the responses provided, Grant Thornton Bahrain has an overall AI readiness score of 59%,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Awareness (75%) and the area requiring most attention is AI Risk &amp; Security (50%). Recommended pathway: PROCEED WITH CONDITIONS. Continue AI adoption, but address the identified gaps through a time-bound remediation plan (within 90 days for priority items). Obtain SME review (risk, privacy, security) for new AI use cases.</v>
      </c>
    </row>
    <row r="75">
      <c r="A75" t="inlineStr">
        <is>
          <t>AIAF principle coverage</t>
        </is>
      </c>
    </row>
    <row r="76">
      <c r="A76" t="inlineStr">
        <is>
          <t>Fairness</t>
        </is>
      </c>
      <c r="B76">
        <f>IFERROR(AVERAGE(E206,E217,E219),"")</f>
        <v>0.583333333333333</v>
      </c>
      <c r="C76" t="inlineStr">
        <is>
          <t>Q7, Q18, Q20</t>
        </is>
      </c>
      <c r="D76" t="str">
        <f>IF(B76="","",IF(B76&gt;=0.75,"Well addressed",IF(B76&gt;=0.5,"Partially addressed","Needs attention")))</f>
        <v>Partially addressed</v>
      </c>
    </row>
    <row r="77">
      <c r="A77" t="inlineStr">
        <is>
          <t>Privacy &amp; Security</t>
        </is>
      </c>
      <c r="B77">
        <f>IFERROR(AVERAGE(E205,E211,E212,E213,E217),"")</f>
        <v>0.65</v>
      </c>
      <c r="C77" t="inlineStr">
        <is>
          <t>Q6, Q12, Q13, Q14, Q18</t>
        </is>
      </c>
      <c r="D77" t="str">
        <f>IF(B77="","",IF(B77&gt;=0.75,"Well addressed",IF(B77&gt;=0.5,"Partially addressed","Needs attention")))</f>
        <v>Partially addressed</v>
      </c>
    </row>
    <row r="78">
      <c r="A78" t="inlineStr">
        <is>
          <t>Transparency &amp; Explainability</t>
        </is>
      </c>
      <c r="B78">
        <f>IFERROR(AVERAGE(E206,E207),"")</f>
        <v>0.625</v>
      </c>
      <c r="C78" t="inlineStr">
        <is>
          <t>Q7, Q8</t>
        </is>
      </c>
      <c r="D78" t="str">
        <f>IF(B78="","",IF(B78&gt;=0.75,"Well addressed",IF(B78&gt;=0.5,"Partially addressed","Needs attention")))</f>
        <v>Partially addressed</v>
      </c>
    </row>
    <row r="79">
      <c r="A79" t="inlineStr">
        <is>
          <t>Accountability</t>
        </is>
      </c>
      <c r="B79">
        <f>IFERROR(AVERAGE(E204,E205,E207,E208,E209,E210,E211,E215),"")</f>
        <v>0.53125</v>
      </c>
      <c r="C79" t="inlineStr">
        <is>
          <t>Q5, Q6, Q8, Q9, Q10, Q11, Q12, Q16</t>
        </is>
      </c>
      <c r="D79" t="str">
        <f>IF(B79="","",IF(B79&gt;=0.75,"Well addressed",IF(B79&gt;=0.5,"Partially addressed","Needs attention")))</f>
        <v>Partially addressed</v>
      </c>
    </row>
    <row r="80">
      <c r="A80" t="inlineStr">
        <is>
          <t>Human, Social &amp; Environmental Wellbeing</t>
        </is>
      </c>
      <c r="B80">
        <f>IFERROR(AVERAGE(E210,E216),"")</f>
        <v>0.5</v>
      </c>
      <c r="C80" t="inlineStr">
        <is>
          <t>Q11, Q17</t>
        </is>
      </c>
      <c r="D80" t="str">
        <f>IF(B80="","",IF(B80&gt;=0.75,"Well addressed",IF(B80&gt;=0.5,"Partially addressed","Needs attention")))</f>
        <v>Partially addressed</v>
      </c>
    </row>
    <row r="81">
      <c r="A81" t="inlineStr">
        <is>
          <t>Human-Centred Values</t>
        </is>
      </c>
      <c r="B81">
        <f>IFERROR(AVERAGE(E206,E214),"")</f>
        <v>0.625</v>
      </c>
      <c r="C81" t="inlineStr">
        <is>
          <t>Q7, Q15</t>
        </is>
      </c>
      <c r="D81" t="str">
        <f>IF(B81="","",IF(B81&gt;=0.75,"Well addressed",IF(B81&gt;=0.5,"Partially addressed","Needs attention")))</f>
        <v>Partially addressed</v>
      </c>
    </row>
    <row r="82">
      <c r="A82" t="inlineStr">
        <is>
          <t>Reliability &amp; Safety</t>
        </is>
      </c>
      <c r="B82">
        <f>IFERROR(AVERAGE(E207,E208,E212,E218,E219),"")</f>
        <v>0.5</v>
      </c>
      <c r="C82" t="inlineStr">
        <is>
          <t>Q8, Q9, Q13, Q19, Q20</t>
        </is>
      </c>
      <c r="D82" t="str">
        <f>IF(B82="","",IF(B82&gt;=0.75,"Well addressed",IF(B82&gt;=0.5,"Partially addressed","Needs attention")))</f>
        <v>Partially addressed</v>
      </c>
    </row>
    <row r="83">
      <c r="A83" t="inlineStr">
        <is>
          <t>Contestability</t>
        </is>
      </c>
      <c r="B83">
        <f>IFERROR(AVERAGE(E206,E207),"")</f>
        <v>0.625</v>
      </c>
      <c r="C83" t="inlineStr">
        <is>
          <t>Q7, Q8</t>
        </is>
      </c>
      <c r="D83" t="str">
        <f>IF(B83="","",IF(B83&gt;=0.75,"Well addressed",IF(B83&gt;=0.5,"Partially addressed","Needs attention")))</f>
        <v>Partially addressed</v>
      </c>
    </row>
    <row r="86">
      <c r="A86" t="inlineStr">
        <is>
          <t>Rank</t>
        </is>
      </c>
      <c r="B86" t="inlineStr">
        <is>
          <t>Priority row</t>
        </is>
      </c>
      <c r="C86" t="inlineStr">
        <is>
          <t>Roadmap row</t>
        </is>
      </c>
    </row>
    <row r="87">
      <c r="A87" t="n">
        <v>1</v>
      </c>
      <c r="B87">
        <f>IFERROR(IF(LARGE($H$204:$H$219,A87)&lt;0.5,"",MATCH(LARGE($H$204:$H$219,A87),$H$204:$H$219,0)+203),"")</f>
        <v>208</v>
      </c>
      <c r="C87">
        <f>IFERROR(IF(LARGE($K$204:$K$219,A87)&lt;1000,"",IF(INDEX($J$204:$J$219,MATCH(LARGE($K$204:$K$219,A87),$K$204:$K$219,0))&lt;2,"",MATCH(LARGE($K$204:$K$219,A87),$K$204:$K$219,0)+203)),"")</f>
        <v>208</v>
      </c>
    </row>
    <row r="88">
      <c r="A88" t="n">
        <v>2</v>
      </c>
      <c r="B88">
        <f>IFERROR(IF(LARGE($H$204:$H$219,A88)&lt;0.5,"",MATCH(LARGE($H$204:$H$219,A88),$H$204:$H$219,0)+203),"")</f>
        <v>204</v>
      </c>
      <c r="C88">
        <f>IFERROR(IF(LARGE($K$204:$K$219,A88)&lt;1000,"",IF(INDEX($J$204:$J$219,MATCH(LARGE($K$204:$K$219,A88),$K$204:$K$219,0))&lt;2,"",MATCH(LARGE($K$204:$K$219,A88),$K$204:$K$219,0)+203)),"")</f>
        <v>204</v>
      </c>
    </row>
    <row r="89">
      <c r="A89" t="n">
        <v>3</v>
      </c>
      <c r="B89">
        <f>IFERROR(IF(LARGE($H$204:$H$219,A89)&lt;0.5,"",MATCH(LARGE($H$204:$H$219,A89),$H$204:$H$219,0)+203),"")</f>
        <v>209</v>
      </c>
      <c r="C89">
        <f>IFERROR(IF(LARGE($K$204:$K$219,A89)&lt;1000,"",IF(INDEX($J$204:$J$219,MATCH(LARGE($K$204:$K$219,A89),$K$204:$K$219,0))&lt;2,"",MATCH(LARGE($K$204:$K$219,A89),$K$204:$K$219,0)+203)),"")</f>
        <v>209</v>
      </c>
    </row>
    <row r="90">
      <c r="A90" t="n">
        <v>4</v>
      </c>
      <c r="B90">
        <f>IFERROR(IF(LARGE($H$204:$H$219,A90)&lt;0.5,"",MATCH(LARGE($H$204:$H$219,A90),$H$204:$H$219,0)+203),"")</f>
        <v>210</v>
      </c>
      <c r="C90">
        <f>IFERROR(IF(LARGE($K$204:$K$219,A90)&lt;1000,"",IF(INDEX($J$204:$J$219,MATCH(LARGE($K$204:$K$219,A90),$K$204:$K$219,0))&lt;2,"",MATCH(LARGE($K$204:$K$219,A90),$K$204:$K$219,0)+203)),"")</f>
        <v>210</v>
      </c>
    </row>
    <row r="91">
      <c r="A91" t="n">
        <v>5</v>
      </c>
      <c r="B91">
        <f>IFERROR(IF(LARGE($H$204:$H$219,A91)&lt;0.5,"",MATCH(LARGE($H$204:$H$219,A91),$H$204:$H$219,0)+203),"")</f>
        <v>211</v>
      </c>
      <c r="C91">
        <f>IFERROR(IF(LARGE($K$204:$K$219,A91)&lt;1000,"",IF(INDEX($J$204:$J$219,MATCH(LARGE($K$204:$K$219,A91),$K$204:$K$219,0))&lt;2,"",MATCH(LARGE($K$204:$K$219,A91),$K$204:$K$219,0)+203)),"")</f>
        <v>211</v>
      </c>
    </row>
    <row r="92">
      <c r="A92" t="n">
        <v>6</v>
      </c>
      <c r="B92">
        <f>IFERROR(IF(LARGE($H$204:$H$219,A92)&lt;0.5,"",MATCH(LARGE($H$204:$H$219,A92),$H$204:$H$219,0)+203),"")</f>
        <v>212</v>
      </c>
      <c r="C92">
        <f>IFERROR(IF(LARGE($K$204:$K$219,A92)&lt;1000,"",IF(INDEX($J$204:$J$219,MATCH(LARGE($K$204:$K$219,A92),$K$204:$K$219,0))&lt;2,"",MATCH(LARGE($K$204:$K$219,A92),$K$204:$K$219,0)+203)),"")</f>
        <v>212</v>
      </c>
    </row>
    <row r="93">
      <c r="A93" t="n">
        <v>7</v>
      </c>
      <c r="B93">
        <f>IFERROR(IF(LARGE($H$204:$H$219,A93)&lt;0.5,"",MATCH(LARGE($H$204:$H$219,A93),$H$204:$H$219,0)+203),"")</f>
        <v>206</v>
      </c>
      <c r="C93">
        <f>IFERROR(IF(LARGE($K$204:$K$219,A93)&lt;1000,"",IF(INDEX($J$204:$J$219,MATCH(LARGE($K$204:$K$219,A93),$K$204:$K$219,0))&lt;2,"",MATCH(LARGE($K$204:$K$219,A93),$K$204:$K$219,0)+203)),"")</f>
        <v>206</v>
      </c>
    </row>
    <row r="94">
      <c r="A94" t="n">
        <v>8</v>
      </c>
      <c r="B94">
        <f>IFERROR(IF(LARGE($H$204:$H$219,A94)&lt;0.5,"",MATCH(LARGE($H$204:$H$219,A94),$H$204:$H$219,0)+203),"")</f>
        <v>215</v>
      </c>
      <c r="C94">
        <f>IFERROR(IF(LARGE($K$204:$K$219,A94)&lt;1000,"",IF(INDEX($J$204:$J$219,MATCH(LARGE($K$204:$K$219,A94),$K$204:$K$219,0))&lt;2,"",MATCH(LARGE($K$204:$K$219,A94),$K$204:$K$219,0)+203)),"")</f>
        <v>215</v>
      </c>
    </row>
    <row r="95">
      <c r="A95" t="n">
        <v>9</v>
      </c>
      <c r="B95">
        <f>IFERROR(IF(LARGE($H$204:$H$219,A95)&lt;0.5,"",MATCH(LARGE($H$204:$H$219,A95),$H$204:$H$219,0)+203),"")</f>
        <v>216</v>
      </c>
      <c r="C95">
        <f>IFERROR(IF(LARGE($K$204:$K$219,A95)&lt;1000,"",IF(INDEX($J$204:$J$219,MATCH(LARGE($K$204:$K$219,A95),$K$204:$K$219,0))&lt;2,"",MATCH(LARGE($K$204:$K$219,A95),$K$204:$K$219,0)+203)),"")</f>
        <v>216</v>
      </c>
    </row>
    <row r="96">
      <c r="A96" t="n">
        <v>10</v>
      </c>
      <c r="B96">
        <f>IFERROR(IF(LARGE($H$204:$H$219,A96)&lt;0.5,"",MATCH(LARGE($H$204:$H$219,A96),$H$204:$H$219,0)+203),"")</f>
        <v>218</v>
      </c>
      <c r="C96">
        <f>IFERROR(IF(LARGE($K$204:$K$219,A96)&lt;1000,"",IF(INDEX($J$204:$J$219,MATCH(LARGE($K$204:$K$219,A96),$K$204:$K$219,0))&lt;2,"",MATCH(LARGE($K$204:$K$219,A96),$K$204:$K$219,0)+203)),"")</f>
        <v>218</v>
      </c>
    </row>
    <row r="97">
      <c r="A97" t="n">
        <v>11</v>
      </c>
      <c r="B97">
        <f>IFERROR(IF(LARGE($H$204:$H$219,A97)&lt;0.5,"",MATCH(LARGE($H$204:$H$219,A97),$H$204:$H$219,0)+203),"")</f>
        <v>219</v>
      </c>
      <c r="C97">
        <f>IFERROR(IF(LARGE($K$204:$K$219,A97)&lt;1000,"",IF(INDEX($J$204:$J$219,MATCH(LARGE($K$204:$K$219,A97),$K$204:$K$219,0))&lt;2,"",MATCH(LARGE($K$204:$K$219,A97),$K$204:$K$219,0)+203)),"")</f>
        <v>219</v>
      </c>
    </row>
    <row r="98">
      <c r="A98" t="n">
        <v>12</v>
      </c>
      <c r="B98">
        <f>IFERROR(IF(LARGE($H$204:$H$219,A98)&lt;0.5,"",MATCH(LARGE($H$204:$H$219,A98),$H$204:$H$219,0)+203),"")</f>
        <v>205</v>
      </c>
      <c r="C98">
        <f>IFERROR(IF(LARGE($K$204:$K$219,A98)&lt;1000,"",IF(INDEX($J$204:$J$219,MATCH(LARGE($K$204:$K$219,A98),$K$204:$K$219,0))&lt;2,"",MATCH(LARGE($K$204:$K$219,A98),$K$204:$K$219,0)+203)),"")</f>
        <v>205</v>
      </c>
    </row>
    <row r="99">
      <c r="A99" t="n">
        <v>13</v>
      </c>
      <c r="B99">
        <f>IFERROR(IF(LARGE($H$204:$H$219,A99)&lt;0.5,"",MATCH(LARGE($H$204:$H$219,A99),$H$204:$H$219,0)+203),"")</f>
        <v>207</v>
      </c>
      <c r="C99">
        <f>IFERROR(IF(LARGE($K$204:$K$219,A99)&lt;1000,"",IF(INDEX($J$204:$J$219,MATCH(LARGE($K$204:$K$219,A99),$K$204:$K$219,0))&lt;2,"",MATCH(LARGE($K$204:$K$219,A99),$K$204:$K$219,0)+203)),"")</f>
        <v>207</v>
      </c>
    </row>
    <row r="100">
      <c r="A100" t="n">
        <v>14</v>
      </c>
      <c r="B100">
        <f>IFERROR(IF(LARGE($H$204:$H$219,A100)&lt;0.5,"",MATCH(LARGE($H$204:$H$219,A100),$H$204:$H$219,0)+203),"")</f>
        <v>214</v>
      </c>
      <c r="C100">
        <f>IFERROR(IF(LARGE($K$204:$K$219,A100)&lt;1000,"",IF(INDEX($J$204:$J$219,MATCH(LARGE($K$204:$K$219,A100),$K$204:$K$219,0))&lt;2,"",MATCH(LARGE($K$204:$K$219,A100),$K$204:$K$219,0)+203)),"")</f>
        <v>214</v>
      </c>
    </row>
    <row r="101">
      <c r="A101" t="n">
        <v>15</v>
      </c>
      <c r="B101">
        <f>IFERROR(IF(LARGE($H$204:$H$219,A101)&lt;0.5,"",MATCH(LARGE($H$204:$H$219,A101),$H$204:$H$219,0)+203),"")</f>
        <v>217</v>
      </c>
      <c r="C101">
        <f>IFERROR(IF(LARGE($K$204:$K$219,A101)&lt;1000,"",IF(INDEX($J$204:$J$219,MATCH(LARGE($K$204:$K$219,A101),$K$204:$K$219,0))&lt;2,"",MATCH(LARGE($K$204:$K$219,A101),$K$204:$K$219,0)+203)),"")</f>
        <v>217</v>
      </c>
    </row>
    <row r="102">
      <c r="A102" t="n">
        <v>16</v>
      </c>
      <c r="B102">
        <f>IFERROR(IF(LARGE($H$204:$H$219,A102)&lt;0.5,"",MATCH(LARGE($H$204:$H$219,A102),$H$204:$H$219,0)+203),"")</f>
        <v>213</v>
      </c>
      <c r="C102">
        <f>IFERROR(IF(LARGE($K$204:$K$219,A102)&lt;1000,"",IF(INDEX($J$204:$J$219,MATCH(LARGE($K$204:$K$219,A102),$K$204:$K$219,0))&lt;2,"",MATCH(LARGE($K$204:$K$219,A102),$K$204:$K$219,0)+203)),"")</f>
        <v>213</v>
      </c>
    </row>
    <row r="120">
      <c r="A120" t="inlineStr">
        <is>
          <t>AI Governance, Risk &amp; Compliance</t>
        </is>
      </c>
      <c r="B120" t="inlineStr">
        <is>
          <t>AI Governance</t>
        </is>
      </c>
      <c r="C120" t="inlineStr">
        <is>
          <t>AI governance structure, policies and acceptable use, AI register, guardrails and human-oversight standards, RCM-based compliance reviews, ISO/IEC 42001 readiness and internal audit.</t>
        </is>
      </c>
      <c r="D120">
        <f>IFERROR(B37,"")</f>
        <v>0.625</v>
      </c>
      <c r="E120" t="str">
        <f>IF(D120="","",IF(D120&lt;0.5,"Priority",IF(D120&lt;0.7,"Advised",IF(D120&lt;0.9,"Optional","Sustain"))))</f>
        <v>Advised</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f>IFERROR(B38,"")</f>
        <v>0.5</v>
      </c>
      <c r="E121" t="str">
        <f>IF(D121="","",IF(D121&lt;0.5,"Priority",IF(D121&lt;0.7,"Advised",IF(D121&lt;0.9,"Optional","Sustain"))))</f>
        <v>Advised</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f>IFERROR(B39,"")</f>
        <v>0.75</v>
      </c>
      <c r="E122" t="str">
        <f>IF(D122="","",IF(D122&lt;0.5,"Priority",IF(D122&lt;0.7,"Advised",IF(D122&lt;0.9,"Optional","Sustain"))))</f>
        <v>Optional</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f>IFERROR(B40,"")</f>
        <v>0.5</v>
      </c>
      <c r="E123" t="str">
        <f>IF(D123="","",IF(D123&lt;0.5,"Priority",IF(D123&lt;0.7,"Advised",IF(D123&lt;0.9,"Optional","Sustain"))))</f>
        <v>Advised</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f>IFERROR(B41,"")</f>
        <v>0.583333333333333</v>
      </c>
      <c r="E124" t="str">
        <f>IF(D124="","",IF(D124&lt;0.5,"Priority",IF(D124&lt;0.7,"Advised",IF(D124&lt;0.9,"Optional","Sustain"))))</f>
        <v>Advised</v>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1</v>
      </c>
      <c r="E200">
        <f>IF(D200=0,"",'2. Assessment'!F10)</f>
        <v>2</v>
      </c>
      <c r="O200" t="str">
        <f>'2. Assessment'!E10</f>
        <v>Approved enterprise GenAI tools and AI features embedded in business software across teams</v>
      </c>
      <c r="P200" t="str">
        <f>'2. Assessment'!G10</f>
        <v>Medium</v>
      </c>
    </row>
    <row r="201">
      <c r="A201" t="inlineStr">
        <is>
          <t>A2</t>
        </is>
      </c>
      <c r="B201" t="inlineStr">
        <is>
          <t>Decision impact</t>
        </is>
      </c>
      <c r="C201" t="inlineStr">
        <is>
          <t>Context</t>
        </is>
      </c>
      <c r="D201">
        <f>IF('2. Assessment'!L11="",0,1)</f>
        <v>1</v>
      </c>
      <c r="E201">
        <f>IF(D201=0,"",'2. Assessment'!F11)</f>
        <v>2</v>
      </c>
      <c r="O201" t="str">
        <f>'2. Assessment'!E11</f>
        <v>Customer- or client-facing outputs with limited individual impact (e.g., FAQ chatbots, marketing content)</v>
      </c>
      <c r="P201" t="str">
        <f>'2. Assessment'!G11</f>
        <v>Medium</v>
      </c>
    </row>
    <row r="202">
      <c r="A202" t="inlineStr">
        <is>
          <t>A3</t>
        </is>
      </c>
      <c r="B202" t="inlineStr">
        <is>
          <t>Data sensitivity</t>
        </is>
      </c>
      <c r="C202" t="inlineStr">
        <is>
          <t>Context</t>
        </is>
      </c>
      <c r="D202">
        <f>IF('2. Assessment'!L12="",0,1)</f>
        <v>1</v>
      </c>
      <c r="E202">
        <f>IF(D202=0,"",'2. Assessment'!F12)</f>
        <v>2</v>
      </c>
      <c r="O202" t="str">
        <f>'2. Assessment'!E12</f>
        <v>Confidential business or client information</v>
      </c>
      <c r="P202" t="str">
        <f>'2. Assessment'!G12</f>
        <v>Medium</v>
      </c>
    </row>
    <row r="203">
      <c r="A203" t="inlineStr">
        <is>
          <t>A4</t>
        </is>
      </c>
      <c r="B203" t="inlineStr">
        <is>
          <t>Oversight &amp; reversibility</t>
        </is>
      </c>
      <c r="C203" t="inlineStr">
        <is>
          <t>Context</t>
        </is>
      </c>
      <c r="D203">
        <f>IF('2. Assessment'!L13="",0,1)</f>
        <v>1</v>
      </c>
      <c r="E203">
        <f>IF(D203=0,"",'2. Assessment'!F13)</f>
        <v>1</v>
      </c>
      <c r="O203" t="str">
        <f>'2. Assessment'!E13</f>
        <v>A qualified human reviews and approves every AI output before it is used</v>
      </c>
      <c r="P203" t="str">
        <f>'2. Assessment'!G13</f>
        <v>Low</v>
      </c>
    </row>
    <row r="204">
      <c r="A204" t="inlineStr">
        <is>
          <t>Q5</t>
        </is>
      </c>
      <c r="B204" t="inlineStr">
        <is>
          <t>AI governance structure &amp; accountability</t>
        </is>
      </c>
      <c r="C204" t="inlineStr">
        <is>
          <t>AI Governance</t>
        </is>
      </c>
      <c r="D204">
        <f>IF('2. Assessment'!L15="",0,1)</f>
        <v>1</v>
      </c>
      <c r="E204">
        <f>IF(D204=0,"",'2. Assessment'!F15)</f>
        <v>0.5</v>
      </c>
      <c r="F204">
        <f>1.5+IF(AND(OR(Calc!$C$32="High",Calc!$C$32="Critical"),OR(A204="Q7",A204="Q9",A204="Q11",A204="Q19")),0.5,0)</f>
        <v>1.5</v>
      </c>
      <c r="G204">
        <f>IF(E204="","",1-E204)</f>
        <v>0.5</v>
      </c>
      <c r="H204">
        <f>IF(E204="",-1,G204*F204*100+(20-4)/100)</f>
        <v>75.16</v>
      </c>
      <c r="I204" t="str">
        <f>IF(E204="","",IF(E204&lt;=0.25,"Immediate (0-3 months)",IF(AND(E204=0.5,F204&gt;=1.5),"Immediate (0-3 months)",IF(E204&lt;=0.5,"Short term (3-6 months)",IF(E204&lt;=0.75,"Medium term (6-12 months)","Sustain")))))</f>
        <v>Immediate (0-3 months)</v>
      </c>
      <c r="J204">
        <f>IF(I204="",0,IF(LEFT(I204,3)="Imm",4,IF(LEFT(I204,3)="Sho",3,IF(LEFT(I204,3)="Med",2,1))))</f>
        <v>4</v>
      </c>
      <c r="K204">
        <f>IF(E204="",-1,J204*1000+H204)</f>
        <v>4075.16</v>
      </c>
      <c r="L204" t="str">
        <f>'2. Assessment'!H15</f>
        <v>Assign named business and technical owners to every AI system and publish a RACI across the three lines of defence.</v>
      </c>
      <c r="M204" t="inlineStr">
        <is>
          <t>GL-1, GL-2, GL-7, AA-1</t>
        </is>
      </c>
      <c r="N204" t="inlineStr">
        <is>
          <t>⚠ Mandatory Requirement</t>
        </is>
      </c>
      <c r="O204" t="str">
        <f>'2. Assessment'!E15</f>
        <v>AI committee or sponsor defined on paper; roles and decision rights partly documented</v>
      </c>
      <c r="P204" t="str">
        <f>'2. Assessment'!G15</f>
        <v>Partially met</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1</v>
      </c>
      <c r="E205">
        <f>IF(D205=0,"",'2. Assessment'!F16)</f>
        <v>0.75</v>
      </c>
      <c r="F205">
        <f>1.5+IF(AND(OR(Calc!$C$32="High",Calc!$C$32="Critical"),OR(A205="Q7",A205="Q9",A205="Q11",A205="Q19")),0.5,0)</f>
        <v>1.5</v>
      </c>
      <c r="G205">
        <f>IF(E205="","",1-E205)</f>
        <v>0.25</v>
      </c>
      <c r="H205">
        <f>IF(E205="",-1,G205*F205*100+(20-5)/100)</f>
        <v>37.65</v>
      </c>
      <c r="I205" t="str">
        <f>IF(E205="","",IF(E205&lt;=0.25,"Immediate (0-3 months)",IF(AND(E205=0.5,F205&gt;=1.5),"Immediate (0-3 months)",IF(E205&lt;=0.5,"Short term (3-6 months)",IF(E205&lt;=0.75,"Medium term (6-12 months)","Sustain")))))</f>
        <v>Medium term (6-12 months)</v>
      </c>
      <c r="J205">
        <f>IF(I205="",0,IF(LEFT(I205,3)="Imm",4,IF(LEFT(I205,3)="Sho",3,IF(LEFT(I205,3)="Med",2,1))))</f>
        <v>2</v>
      </c>
      <c r="K205">
        <f>IF(E205="",-1,J205*1000+H205)</f>
        <v>2037.65</v>
      </c>
      <c r="L205" t="str">
        <f>'2. Assessment'!H16</f>
        <v>Establish monthly regulatory horizon scanning and periodic compliance testing with evidence retention.</v>
      </c>
      <c r="M205" t="inlineStr">
        <is>
          <t>GL-5, RO-1, RO-5</t>
        </is>
      </c>
      <c r="N205" t="inlineStr">
        <is>
          <t>⟳ Compliance Obligation</t>
        </is>
      </c>
      <c r="O205" t="str">
        <f>'2. Assessment'!E16</f>
        <v>AI policy enforced with staff acknowledgement; obligations register maps regulations to controls and owners</v>
      </c>
      <c r="P205" t="str">
        <f>'2. Assessment'!G16</f>
        <v>Largely met</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1</v>
      </c>
      <c r="E206">
        <f>IF(D206=0,"",'2. Assessment'!F17)</f>
        <v>0.5</v>
      </c>
      <c r="F206">
        <f>1.0+IF(AND(OR(Calc!$C$32="High",Calc!$C$32="Critical"),OR(A206="Q7",A206="Q9",A206="Q11",A206="Q19")),0.5,0)</f>
        <v>1</v>
      </c>
      <c r="G206">
        <f>IF(E206="","",1-E206)</f>
        <v>0.5</v>
      </c>
      <c r="H206">
        <f>IF(E206="",-1,G206*F206*100+(20-6)/100)</f>
        <v>50.14</v>
      </c>
      <c r="I206" t="str">
        <f>IF(E206="","",IF(E206&lt;=0.25,"Immediate (0-3 months)",IF(AND(E206=0.5,F206&gt;=1.5),"Immediate (0-3 months)",IF(E206&lt;=0.5,"Short term (3-6 months)",IF(E206&lt;=0.75,"Medium term (6-12 months)","Sustain")))))</f>
        <v>Short term (3-6 months)</v>
      </c>
      <c r="J206">
        <f>IF(I206="",0,IF(LEFT(I206,3)="Imm",4,IF(LEFT(I206,3)="Sho",3,IF(LEFT(I206,3)="Med",2,1))))</f>
        <v>3</v>
      </c>
      <c r="K206">
        <f>IF(E206="",-1,J206*1000+H206)</f>
        <v>3050.14</v>
      </c>
      <c r="L206" t="str">
        <f>'2. Assessment'!H17</f>
        <v>Apply mandatory human-in-charge controls and AI disclosure to all relevant AI; require committee approval for High / Critical uses.</v>
      </c>
      <c r="M206" t="inlineStr">
        <is>
          <t>GL-7, RS-1, RS-4, RS-5, CO-1, CO-3</t>
        </is>
      </c>
      <c r="N206" t="inlineStr">
        <is>
          <t>⚖ Ethical Consideration</t>
        </is>
      </c>
      <c r="O206" t="str">
        <f>'2. Assessment'!E17</f>
        <v>AI committee / CoE established; guardrails defined for some areas (e.g., human review of outputs)</v>
      </c>
      <c r="P206" t="str">
        <f>'2. Assessment'!G17</f>
        <v>Partially met</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1</v>
      </c>
      <c r="E207">
        <f>IF(D207=0,"",'2. Assessment'!F18)</f>
        <v>0.75</v>
      </c>
      <c r="F207">
        <f>1.5+IF(AND(OR(Calc!$C$32="High",Calc!$C$32="Critical"),OR(A207="Q7",A207="Q9",A207="Q11",A207="Q19")),0.5,0)</f>
        <v>1.5</v>
      </c>
      <c r="G207">
        <f>IF(E207="","",1-E207)</f>
        <v>0.25</v>
      </c>
      <c r="H207">
        <f>IF(E207="",-1,G207*F207*100+(20-7)/100)</f>
        <v>37.63</v>
      </c>
      <c r="I207" t="str">
        <f>IF(E207="","",IF(E207&lt;=0.25,"Immediate (0-3 months)",IF(AND(E207=0.5,F207&gt;=1.5),"Immediate (0-3 months)",IF(E207&lt;=0.5,"Short term (3-6 months)",IF(E207&lt;=0.75,"Medium term (6-12 months)","Sustain")))))</f>
        <v>Medium term (6-12 months)</v>
      </c>
      <c r="J207">
        <f>IF(I207="",0,IF(LEFT(I207,3)="Imm",4,IF(LEFT(I207,3)="Sho",3,IF(LEFT(I207,3)="Med",2,1))))</f>
        <v>2</v>
      </c>
      <c r="K207">
        <f>IF(E207="",-1,J207*1000+H207)</f>
        <v>2037.63</v>
      </c>
      <c r="L207" t="str">
        <f>'2. Assessment'!H18</f>
        <v>Implement post-incident learning and an ISO/IEC 42001 certification-readiness review.</v>
      </c>
      <c r="M207" t="inlineStr">
        <is>
          <t>IM-1, IM-2, IM-3, AA-1, AA-2, RO-4</t>
        </is>
      </c>
      <c r="N207" t="inlineStr">
        <is>
          <t>⟳ Compliance Obligation</t>
        </is>
      </c>
      <c r="O207" t="str">
        <f>'2. Assessment'!E18</f>
        <v>AI incident management with regulatory notification criteria; periodic internal audit of AI governance; assurance obtained from AI vendors</v>
      </c>
      <c r="P207" t="str">
        <f>'2. Assessment'!G18</f>
        <v>Largely met</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1</v>
      </c>
      <c r="E208">
        <f>IF(D208=0,"",'2. Assessment'!F19)</f>
        <v>0.25</v>
      </c>
      <c r="F208">
        <f>1.5+IF(AND(OR(Calc!$C$32="High",Calc!$C$32="Critical"),OR(A208="Q7",A208="Q9",A208="Q11",A208="Q19")),0.5,0)</f>
        <v>1.5</v>
      </c>
      <c r="G208">
        <f>IF(E208="","",1-E208)</f>
        <v>0.75</v>
      </c>
      <c r="H208">
        <f>IF(E208="",-1,G208*F208*100+(20-8)/100)</f>
        <v>112.62</v>
      </c>
      <c r="I208" t="str">
        <f>IF(E208="","",IF(E208&lt;=0.25,"Immediate (0-3 months)",IF(AND(E208=0.5,F208&gt;=1.5),"Immediate (0-3 months)",IF(E208&lt;=0.5,"Short term (3-6 months)",IF(E208&lt;=0.75,"Medium term (6-12 months)","Sustain")))))</f>
        <v>Immediate (0-3 months)</v>
      </c>
      <c r="J208">
        <f>IF(I208="",0,IF(LEFT(I208,3)="Imm",4,IF(LEFT(I208,3)="Sho",3,IF(LEFT(I208,3)="Med",2,1))))</f>
        <v>4</v>
      </c>
      <c r="K208">
        <f>IF(E208="",-1,J208*1000+H208)</f>
        <v>4112.62</v>
      </c>
      <c r="L208" t="str">
        <f>'2. Assessment'!H19</f>
        <v>Formalise the methodology, approve it at executive level and pilot it on current AI initiatives.</v>
      </c>
      <c r="M208" t="inlineStr">
        <is>
          <t>RM-1, RM-2, RM-3, RM-5</t>
        </is>
      </c>
      <c r="N208" t="inlineStr">
        <is>
          <t>⚠ Mandatory Requirement</t>
        </is>
      </c>
      <c r="O208" t="str">
        <f>'2. Assessment'!E19</f>
        <v>AI risks considered informally within general IT or project risk</v>
      </c>
      <c r="P208" t="str">
        <f>'2. Assessment'!G19</f>
        <v>Minimal</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1</v>
      </c>
      <c r="E209">
        <f>IF(D209=0,"",'2. Assessment'!F20)</f>
        <v>0.5</v>
      </c>
      <c r="F209">
        <f>1.5+IF(AND(OR(Calc!$C$32="High",Calc!$C$32="Critical"),OR(A209="Q7",A209="Q9",A209="Q11",A209="Q19")),0.5,0)</f>
        <v>1.5</v>
      </c>
      <c r="G209">
        <f>IF(E209="","",1-E209)</f>
        <v>0.5</v>
      </c>
      <c r="H209">
        <f>IF(E209="",-1,G209*F209*100+(20-9)/100)</f>
        <v>75.11</v>
      </c>
      <c r="I209" t="str">
        <f>IF(E209="","",IF(E209&lt;=0.25,"Immediate (0-3 months)",IF(AND(E209=0.5,F209&gt;=1.5),"Immediate (0-3 months)",IF(E209&lt;=0.5,"Short term (3-6 months)",IF(E209&lt;=0.75,"Medium term (6-12 months)","Sustain")))))</f>
        <v>Immediate (0-3 months)</v>
      </c>
      <c r="J209">
        <f>IF(I209="",0,IF(LEFT(I209,3)="Imm",4,IF(LEFT(I209,3)="Sho",3,IF(LEFT(I209,3)="Med",2,1))))</f>
        <v>4</v>
      </c>
      <c r="K209">
        <f>IF(E209="",-1,J209*1000+H209)</f>
        <v>4075.11</v>
      </c>
      <c r="L209" t="str">
        <f>'2. Assessment'!H20</f>
        <v>Define KRIs with thresholds and escalation for each risk category and report them to the AI committee quarterly.</v>
      </c>
      <c r="M209" t="inlineStr">
        <is>
          <t>RM-6, RM-4, GL-1</t>
        </is>
      </c>
      <c r="N209" t="inlineStr">
        <is>
          <t>⚠ Mandatory Requirement</t>
        </is>
      </c>
      <c r="O209" t="str">
        <f>'2. Assessment'!E20</f>
        <v>AI risk appetite drafted; a few indicators tracked informally</v>
      </c>
      <c r="P209" t="str">
        <f>'2. Assessment'!G20</f>
        <v>Partially met</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1</v>
      </c>
      <c r="E210">
        <f>IF(D210=0,"",'2. Assessment'!F21)</f>
        <v>0.5</v>
      </c>
      <c r="F210">
        <f>1.5+IF(AND(OR(Calc!$C$32="High",Calc!$C$32="Critical"),OR(A210="Q7",A210="Q9",A210="Q11",A210="Q19")),0.5,0)</f>
        <v>1.5</v>
      </c>
      <c r="G210">
        <f>IF(E210="","",1-E210)</f>
        <v>0.5</v>
      </c>
      <c r="H210">
        <f>IF(E210="",-1,G210*F210*100+(20-10)/100)</f>
        <v>75.1</v>
      </c>
      <c r="I210" t="str">
        <f>IF(E210="","",IF(E210&lt;=0.25,"Immediate (0-3 months)",IF(AND(E210=0.5,F210&gt;=1.5),"Immediate (0-3 months)",IF(E210&lt;=0.5,"Short term (3-6 months)",IF(E210&lt;=0.75,"Medium term (6-12 months)","Sustain")))))</f>
        <v>Immediate (0-3 months)</v>
      </c>
      <c r="J210">
        <f>IF(I210="",0,IF(LEFT(I210,3)="Imm",4,IF(LEFT(I210,3)="Sho",3,IF(LEFT(I210,3)="Med",2,1))))</f>
        <v>4</v>
      </c>
      <c r="K210">
        <f>IF(E210="",-1,J210*1000+H210)</f>
        <v>4075.1</v>
      </c>
      <c r="L210" t="str">
        <f>'2. Assessment'!H21</f>
        <v>Extend assessments to all AI systems and third-party AI; set approval authority by risk tier.</v>
      </c>
      <c r="M210" t="inlineStr">
        <is>
          <t>GL-8, RM-2, RM-5, TP-2</t>
        </is>
      </c>
      <c r="N210" t="inlineStr">
        <is>
          <t>⚠ Mandatory Requirement</t>
        </is>
      </c>
      <c r="O210" t="str">
        <f>'2. Assessment'!E21</f>
        <v>AI register with owners; risk assessments performed for some AI systems using a documented method</v>
      </c>
      <c r="P210" t="str">
        <f>'2. Assessment'!G21</f>
        <v>Partially met</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1</v>
      </c>
      <c r="E211">
        <f>IF(D211=0,"",'2. Assessment'!F22)</f>
        <v>0.5</v>
      </c>
      <c r="F211">
        <f>1.5+IF(AND(OR(Calc!$C$32="High",Calc!$C$32="Critical"),OR(A211="Q7",A211="Q9",A211="Q11",A211="Q19")),0.5,0)</f>
        <v>1.5</v>
      </c>
      <c r="G211">
        <f>IF(E211="","",1-E211)</f>
        <v>0.5</v>
      </c>
      <c r="H211">
        <f>IF(E211="",-1,G211*F211*100+(20-11)/100)</f>
        <v>75.09</v>
      </c>
      <c r="I211" t="str">
        <f>IF(E211="","",IF(E211&lt;=0.25,"Immediate (0-3 months)",IF(AND(E211=0.5,F211&gt;=1.5),"Immediate (0-3 months)",IF(E211&lt;=0.5,"Short term (3-6 months)",IF(E211&lt;=0.75,"Medium term (6-12 months)","Sustain")))))</f>
        <v>Immediate (0-3 months)</v>
      </c>
      <c r="J211">
        <f>IF(I211="",0,IF(LEFT(I211,3)="Imm",4,IF(LEFT(I211,3)="Sho",3,IF(LEFT(I211,3)="Med",2,1))))</f>
        <v>4</v>
      </c>
      <c r="K211">
        <f>IF(E211="",-1,J211*1000+H211)</f>
        <v>4075.09</v>
      </c>
      <c r="L211" t="str">
        <f>'2. Assessment'!H22</f>
        <v>Make AI due diligence mandatory and adopt standard AI contract clauses (no training on client data, residency, audit, incident notice).</v>
      </c>
      <c r="M211" t="inlineStr">
        <is>
          <t>TP-1, TP-2, TP-3, SE-7, LC-6</t>
        </is>
      </c>
      <c r="N211" t="inlineStr">
        <is>
          <t>⟳ Compliance Obligation</t>
        </is>
      </c>
      <c r="O211" t="str">
        <f>'2. Assessment'!E22</f>
        <v>AI questions added to vendor due diligence for some purchases; contract terms vary</v>
      </c>
      <c r="P211" t="str">
        <f>'2. Assessment'!G22</f>
        <v>Partially met</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1</v>
      </c>
      <c r="E212">
        <f>IF(D212=0,"",'2. Assessment'!F23)</f>
        <v>0.5</v>
      </c>
      <c r="F212">
        <f>1.5+IF(AND(OR(Calc!$C$32="High",Calc!$C$32="Critical"),OR(A212="Q7",A212="Q9",A212="Q11",A212="Q19")),0.5,0)</f>
        <v>1.5</v>
      </c>
      <c r="G212">
        <f>IF(E212="","",1-E212)</f>
        <v>0.5</v>
      </c>
      <c r="H212">
        <f>IF(E212="",-1,G212*F212*100+(20-12)/100)</f>
        <v>75.08</v>
      </c>
      <c r="I212" t="str">
        <f>IF(E212="","",IF(E212&lt;=0.25,"Immediate (0-3 months)",IF(AND(E212=0.5,F212&gt;=1.5),"Immediate (0-3 months)",IF(E212&lt;=0.5,"Short term (3-6 months)",IF(E212&lt;=0.75,"Medium term (6-12 months)","Sustain")))))</f>
        <v>Immediate (0-3 months)</v>
      </c>
      <c r="J212">
        <f>IF(I212="",0,IF(LEFT(I212,3)="Imm",4,IF(LEFT(I212,3)="Sho",3,IF(LEFT(I212,3)="Med",2,1))))</f>
        <v>4</v>
      </c>
      <c r="K212">
        <f>IF(E212="",-1,J212*1000+H212)</f>
        <v>4075.08</v>
      </c>
      <c r="L212" t="str">
        <f>'2. Assessment'!H23</f>
        <v>Introduce AI red teaming before release, runtime guardrails (input / output filtering) and audit logging.</v>
      </c>
      <c r="M212" t="inlineStr">
        <is>
          <t>SE-2, SE-3, SE-6 to SE-10, OM-2, AA-3</t>
        </is>
      </c>
      <c r="N212" t="inlineStr">
        <is>
          <t>⚠ Mandatory Requirement</t>
        </is>
      </c>
      <c r="O212" t="str">
        <f>'2. Assessment'!E23</f>
        <v>AI-specific threats (e.g., prompt injection, data leakage) assessed for some systems; access controls and logging in place</v>
      </c>
      <c r="P212" t="str">
        <f>'2. Assessment'!G23</f>
        <v>Partially met</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1</v>
      </c>
      <c r="E213">
        <f>IF(D213=0,"",'2. Assessment'!F24)</f>
        <v>0.75</v>
      </c>
      <c r="F213">
        <f>1.0+IF(AND(OR(Calc!$C$32="High",Calc!$C$32="Critical"),OR(A213="Q7",A213="Q9",A213="Q11",A213="Q19")),0.5,0)</f>
        <v>1</v>
      </c>
      <c r="G213">
        <f>IF(E213="","",1-E213)</f>
        <v>0.25</v>
      </c>
      <c r="H213">
        <f>IF(E213="",-1,G213*F213*100+(20-13)/100)</f>
        <v>25.07</v>
      </c>
      <c r="I213" t="str">
        <f>IF(E213="","",IF(E213&lt;=0.25,"Immediate (0-3 months)",IF(AND(E213=0.5,F213&gt;=1.5),"Immediate (0-3 months)",IF(E213&lt;=0.5,"Short term (3-6 months)",IF(E213&lt;=0.75,"Medium term (6-12 months)","Sustain")))))</f>
        <v>Medium term (6-12 months)</v>
      </c>
      <c r="J213">
        <f>IF(I213="",0,IF(LEFT(I213,3)="Imm",4,IF(LEFT(I213,3)="Sho",3,IF(LEFT(I213,3)="Med",2,1))))</f>
        <v>2</v>
      </c>
      <c r="K213">
        <f>IF(E213="",-1,J213*1000+H213)</f>
        <v>2025.07</v>
      </c>
      <c r="L213" t="str">
        <f>'2. Assessment'!H24</f>
        <v>Adopt continuous exposure management and AI-specific red teaming; reduce patch cycles to days.</v>
      </c>
      <c r="M213" t="inlineStr">
        <is>
          <t>AT-1, AT-2, AT-3, AT-4</t>
        </is>
      </c>
      <c r="N213" t="inlineStr">
        <is>
          <t>☆ Recommended</t>
        </is>
      </c>
      <c r="O213" t="str">
        <f>'2. Assessment'!E24</f>
        <v>Deepfake-resilient verification for payments and sensitive requests; behaviour-based detection; AI incident playbooks exercised</v>
      </c>
      <c r="P213" t="str">
        <f>'2. Assessment'!G24</f>
        <v>Largely met</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1</v>
      </c>
      <c r="E214">
        <f>IF(D214=0,"",'2. Assessment'!F25)</f>
        <v>0.75</v>
      </c>
      <c r="F214">
        <f>1.5+IF(AND(OR(Calc!$C$32="High",Calc!$C$32="Critical"),OR(A214="Q7",A214="Q9",A214="Q11",A214="Q19")),0.5,0)</f>
        <v>1.5</v>
      </c>
      <c r="G214">
        <f>IF(E214="","",1-E214)</f>
        <v>0.25</v>
      </c>
      <c r="H214">
        <f>IF(E214="",-1,G214*F214*100+(20-14)/100)</f>
        <v>37.56</v>
      </c>
      <c r="I214" t="str">
        <f>IF(E214="","",IF(E214&lt;=0.25,"Immediate (0-3 months)",IF(AND(E214=0.5,F214&gt;=1.5),"Immediate (0-3 months)",IF(E214&lt;=0.5,"Short term (3-6 months)",IF(E214&lt;=0.75,"Medium term (6-12 months)","Sustain")))))</f>
        <v>Medium term (6-12 months)</v>
      </c>
      <c r="J214">
        <f>IF(I214="",0,IF(LEFT(I214,3)="Imm",4,IF(LEFT(I214,3)="Sho",3,IF(LEFT(I214,3)="Med",2,1))))</f>
        <v>2</v>
      </c>
      <c r="K214">
        <f>IF(E214="",-1,J214*1000+H214)</f>
        <v>2037.56</v>
      </c>
      <c r="L214" t="str">
        <f>'2. Assessment'!H25</f>
        <v>Measure competence, refresh annually, and build an AI champions network and workforce plan.</v>
      </c>
      <c r="M214" t="inlineStr">
        <is>
          <t>GL-4, RS-9</t>
        </is>
      </c>
      <c r="N214" t="inlineStr">
        <is>
          <t>⟳ Compliance Obligation</t>
        </is>
      </c>
      <c r="O214" t="str">
        <f>'2. Assessment'!E25</f>
        <v>Mandatory AI literacy before tool access; role-based pathways for developers, oversight staff and leaders; scenario-based security awareness</v>
      </c>
      <c r="P214" t="str">
        <f>'2. Assessment'!G25</f>
        <v>Largely met</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1</v>
      </c>
      <c r="E215">
        <f>IF(D215=0,"",'2. Assessment'!F26)</f>
        <v>0.5</v>
      </c>
      <c r="F215">
        <f>1.0+IF(AND(OR(Calc!$C$32="High",Calc!$C$32="Critical"),OR(A215="Q7",A215="Q9",A215="Q11",A215="Q19")),0.5,0)</f>
        <v>1</v>
      </c>
      <c r="G215">
        <f>IF(E215="","",1-E215)</f>
        <v>0.5</v>
      </c>
      <c r="H215">
        <f>IF(E215="",-1,G215*F215*100+(20-15)/100)</f>
        <v>50.05</v>
      </c>
      <c r="I215" t="str">
        <f>IF(E215="","",IF(E215&lt;=0.25,"Immediate (0-3 months)",IF(AND(E215=0.5,F215&gt;=1.5),"Immediate (0-3 months)",IF(E215&lt;=0.5,"Short term (3-6 months)",IF(E215&lt;=0.75,"Medium term (6-12 months)","Sustain")))))</f>
        <v>Short term (3-6 months)</v>
      </c>
      <c r="J215">
        <f>IF(I215="",0,IF(LEFT(I215,3)="Imm",4,IF(LEFT(I215,3)="Sho",3,IF(LEFT(I215,3)="Med",2,1))))</f>
        <v>3</v>
      </c>
      <c r="K215">
        <f>IF(E215="",-1,J215*1000+H215)</f>
        <v>3050.05</v>
      </c>
      <c r="L215" t="str">
        <f>'2. Assessment'!H26</f>
        <v>Link the strategy to business objectives and budget; define experimentation ('sandbox') boundaries and communicate them.</v>
      </c>
      <c r="M215" t="inlineStr">
        <is>
          <t>GL-1, GL-3</t>
        </is>
      </c>
      <c r="N215" t="inlineStr">
        <is>
          <t>☆ Recommended</t>
        </is>
      </c>
      <c r="O215" t="str">
        <f>'2. Assessment'!E26</f>
        <v>Executive sponsor named and AI strategy drafted, but not linked to business objectives or budget</v>
      </c>
      <c r="P215" t="str">
        <f>'2. Assessment'!G26</f>
        <v>Partially met</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1</v>
      </c>
      <c r="E216">
        <f>IF(D216=0,"",'2. Assessment'!F27)</f>
        <v>0.5</v>
      </c>
      <c r="F216">
        <f>1.0+IF(AND(OR(Calc!$C$32="High",Calc!$C$32="Critical"),OR(A216="Q7",A216="Q9",A216="Q11",A216="Q19")),0.5,0)</f>
        <v>1</v>
      </c>
      <c r="G216">
        <f>IF(E216="","",1-E216)</f>
        <v>0.5</v>
      </c>
      <c r="H216">
        <f>IF(E216="",-1,G216*F216*100+(20-16)/100)</f>
        <v>50.04</v>
      </c>
      <c r="I216" t="str">
        <f>IF(E216="","",IF(E216&lt;=0.25,"Immediate (0-3 months)",IF(AND(E216=0.5,F216&gt;=1.5),"Immediate (0-3 months)",IF(E216&lt;=0.5,"Short term (3-6 months)",IF(E216&lt;=0.75,"Medium term (6-12 months)","Sustain")))))</f>
        <v>Short term (3-6 months)</v>
      </c>
      <c r="J216">
        <f>IF(I216="",0,IF(LEFT(I216,3)="Imm",4,IF(LEFT(I216,3)="Sho",3,IF(LEFT(I216,3)="Med",2,1))))</f>
        <v>3</v>
      </c>
      <c r="K216">
        <f>IF(E216="",-1,J216*1000+H216)</f>
        <v>3050.04</v>
      </c>
      <c r="L216" t="str">
        <f>'2. Assessment'!H27</f>
        <v>Define benefit KPIs (financial and non-financial) at approval and assign benefit owners.</v>
      </c>
      <c r="M216" t="inlineStr">
        <is>
          <t>GL-6, GL-5</t>
        </is>
      </c>
      <c r="N216" t="inlineStr">
        <is>
          <t>☆ Recommended</t>
        </is>
      </c>
      <c r="O216" t="str">
        <f>'2. Assessment'!E27</f>
        <v>Use-case intake exists and initiatives are prioritised, but benefits are not systematically tracked</v>
      </c>
      <c r="P216" t="str">
        <f>'2. Assessment'!G27</f>
        <v>Partially met</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1</v>
      </c>
      <c r="E217">
        <f>IF(D217=0,"",'2. Assessment'!F28)</f>
        <v>0.75</v>
      </c>
      <c r="F217">
        <f>1.5+IF(AND(OR(Calc!$C$32="High",Calc!$C$32="Critical"),OR(A217="Q7",A217="Q9",A217="Q11",A217="Q19")),0.5,0)</f>
        <v>1.5</v>
      </c>
      <c r="G217">
        <f>IF(E217="","",1-E217)</f>
        <v>0.25</v>
      </c>
      <c r="H217">
        <f>IF(E217="",-1,G217*F217*100+(20-17)/100)</f>
        <v>37.53</v>
      </c>
      <c r="I217" t="str">
        <f>IF(E217="","",IF(E217&lt;=0.25,"Immediate (0-3 months)",IF(AND(E217=0.5,F217&gt;=1.5),"Immediate (0-3 months)",IF(E217&lt;=0.5,"Short term (3-6 months)",IF(E217&lt;=0.75,"Medium term (6-12 months)","Sustain")))))</f>
        <v>Medium term (6-12 months)</v>
      </c>
      <c r="J217">
        <f>IF(I217="",0,IF(LEFT(I217,3)="Imm",4,IF(LEFT(I217,3)="Sho",3,IF(LEFT(I217,3)="Med",2,1))))</f>
        <v>2</v>
      </c>
      <c r="K217">
        <f>IF(E217="",-1,J217*1000+H217)</f>
        <v>2037.53</v>
      </c>
      <c r="L217" t="str">
        <f>'2. Assessment'!H28</f>
        <v>Automate data-quality and lineage monitoring; operationalise data-subject rights and transfer assessments for AI.</v>
      </c>
      <c r="M217" t="inlineStr">
        <is>
          <t>LC-1, SE-4, PR-1, PR-4, PR-5, PR-6</t>
        </is>
      </c>
      <c r="N217" t="inlineStr">
        <is>
          <t>⟳ Compliance Obligation</t>
        </is>
      </c>
      <c r="O217" t="str">
        <f>'2. Assessment'!E28</f>
        <v>Data readiness assessed before approval; lineage and quality monitored; minimisation, anonymisation and prompt redaction applied; DPIAs standard</v>
      </c>
      <c r="P217" t="str">
        <f>'2. Assessment'!G28</f>
        <v>Largely met</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1</v>
      </c>
      <c r="E218">
        <f>IF(D218=0,"",'2. Assessment'!F29)</f>
        <v>0.5</v>
      </c>
      <c r="F218">
        <f>1.0+IF(AND(OR(Calc!$C$32="High",Calc!$C$32="Critical"),OR(A218="Q7",A218="Q9",A218="Q11",A218="Q19")),0.5,0)</f>
        <v>1</v>
      </c>
      <c r="G218">
        <f>IF(E218="","",1-E218)</f>
        <v>0.5</v>
      </c>
      <c r="H218">
        <f>IF(E218="",-1,G218*F218*100+(20-18)/100)</f>
        <v>50.02</v>
      </c>
      <c r="I218" t="str">
        <f>IF(E218="","",IF(E218&lt;=0.25,"Immediate (0-3 months)",IF(AND(E218=0.5,F218&gt;=1.5),"Immediate (0-3 months)",IF(E218&lt;=0.5,"Short term (3-6 months)",IF(E218&lt;=0.75,"Medium term (6-12 months)","Sustain")))))</f>
        <v>Short term (3-6 months)</v>
      </c>
      <c r="J218">
        <f>IF(I218="",0,IF(LEFT(I218,3)="Imm",4,IF(LEFT(I218,3)="Sho",3,IF(LEFT(I218,3)="Med",2,1))))</f>
        <v>3</v>
      </c>
      <c r="K218">
        <f>IF(E218="",-1,J218*1000+H218)</f>
        <v>3050.02</v>
      </c>
      <c r="L218" t="str">
        <f>'2. Assessment'!H29</f>
        <v>Centralise API / access control for AI, define agent execution authority and implement drift / performance monitoring with thresholds.</v>
      </c>
      <c r="M218" t="inlineStr">
        <is>
          <t>LC-2, LC-3, LC-8, LC-12, OM-1, OM-4, RM-6</t>
        </is>
      </c>
      <c r="N218" t="inlineStr">
        <is>
          <t>☆ Recommended</t>
        </is>
      </c>
      <c r="O218" t="str">
        <f>'2. Assessment'!E29</f>
        <v>Reference architecture drafted; approved platforms and integration patterns for most AI; basic performance monitoring</v>
      </c>
      <c r="P218" t="str">
        <f>'2. Assessment'!G29</f>
        <v>Partially met</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1</v>
      </c>
      <c r="E219">
        <f>IF(D219=0,"",'2. Assessment'!F30)</f>
        <v>0.5</v>
      </c>
      <c r="F219">
        <f>1.0+IF(AND(OR(Calc!$C$32="High",Calc!$C$32="Critical"),OR(A219="Q7",A219="Q9",A219="Q11",A219="Q19")),0.5,0)</f>
        <v>1</v>
      </c>
      <c r="G219">
        <f>IF(E219="","",1-E219)</f>
        <v>0.5</v>
      </c>
      <c r="H219">
        <f>IF(E219="",-1,G219*F219*100+(20-19)/100)</f>
        <v>50.01</v>
      </c>
      <c r="I219" t="str">
        <f>IF(E219="","",IF(E219&lt;=0.25,"Immediate (0-3 months)",IF(AND(E219=0.5,F219&gt;=1.5),"Immediate (0-3 months)",IF(E219&lt;=0.5,"Short term (3-6 months)",IF(E219&lt;=0.75,"Medium term (6-12 months)","Sustain")))))</f>
        <v>Short term (3-6 months)</v>
      </c>
      <c r="J219">
        <f>IF(I219="",0,IF(LEFT(I219,3)="Imm",4,IF(LEFT(I219,3)="Sho",3,IF(LEFT(I219,3)="Med",2,1))))</f>
        <v>3</v>
      </c>
      <c r="K219">
        <f>IF(E219="",-1,J219*1000+H219)</f>
        <v>3050.01</v>
      </c>
      <c r="L219" t="str">
        <f>'2. Assessment'!H30</f>
        <v>Validate all material models before use and on a risk-based cycle; document thresholds, limitations and conditions of use.</v>
      </c>
      <c r="M219" t="inlineStr">
        <is>
          <t>LC-9, RS-6, LC-13, OM-1</t>
        </is>
      </c>
      <c r="N219" t="inlineStr">
        <is>
          <t>☆ Recommended</t>
        </is>
      </c>
      <c r="O219" t="str">
        <f>'2. Assessment'!E30</f>
        <v>Model inventory exists; validation performed for some material models</v>
      </c>
      <c r="P219" t="str">
        <f>'2. Assessment'!G30</f>
        <v>Partially met</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2026-10-04T06:02:50Z</dcterms:created>
  <dcterms:modified xmlns:dcterms="http://purl.org/dc/terms/" xmlns:xsi="http://www.w3.org/2001/XMLSchema-instance" xsi:type="dcterms:W3CDTF">2026-10-04T06:02:50Z</dcterms:modified>
</cp:coreProperties>
</file>