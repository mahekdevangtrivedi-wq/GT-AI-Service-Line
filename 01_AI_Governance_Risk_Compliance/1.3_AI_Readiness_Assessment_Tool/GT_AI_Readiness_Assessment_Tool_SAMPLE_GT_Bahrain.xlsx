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Assessment'!$A$1:$L$25</definedName>
    <definedName name="_xlnm.Print_Area" localSheetId="3">'3. Report'!$A$1:$K$120</definedName>
    <definedName name="_xlnm.Print_Area" localSheetId="4">'4. Action Plan'!$A$1:$L$15</definedName>
    <definedName name="_xlnm.Print_Area" localSheetId="5">'Methodology'!$A$1:$H$41</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'Calc'!$H$37:$H$43</f>
            </numRef>
          </cat>
          <val>
            <numRef>
              <f>'Calc'!$I$37:$I$43</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'Calc'!$H$37:$H$43</f>
            </numRef>
          </cat>
          <val>
            <numRef>
              <f>'Calc'!$J$37:$J$43</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15-20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- 15 questions
   Part A: 4 questions on AI use and inherent risk (AIAF)
   Part B: 11 questions on readiness across the 7 AI Ready7 pillars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Pillar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1.1 - September 2026. SAMPLE: pre-completed with illustrative responses for Grant Thornton Bahrain, aligned to its AI Ready7 results (Sept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inlineStr">
        <is>
          <t>Grant Thornton Bahrain</t>
        </is>
      </c>
      <c r="E4" s="5" t="inlineStr">
        <is>
          <t>Tip</t>
        </is>
      </c>
    </row>
    <row r="5" ht="24" customHeight="1">
      <c r="B5" s="17" t="inlineStr">
        <is>
          <t>Sector</t>
        </is>
      </c>
      <c r="C5" s="18" t="inlineStr">
        <is>
          <t>Professional services</t>
        </is>
      </c>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inlineStr">
        <is>
          <t>251-1,000 employees</t>
        </is>
      </c>
    </row>
    <row r="7" ht="24" customHeight="1">
      <c r="B7" s="17" t="inlineStr">
        <is>
          <t>Scope of assessment</t>
        </is>
      </c>
      <c r="C7" s="18" t="inlineStr">
        <is>
          <t>Whole organisation</t>
        </is>
      </c>
    </row>
    <row r="8" ht="24" customHeight="1">
      <c r="B8" s="17" t="inlineStr">
        <is>
          <t>Scope description (optional)</t>
        </is>
      </c>
      <c r="C8" s="18" t="inlineStr">
        <is>
          <t>Firm-wide AI adoption across Audit, Tax, Advisory and internal functions</t>
        </is>
      </c>
    </row>
    <row r="9" ht="24" customHeight="1">
      <c r="B9" s="17" t="inlineStr">
        <is>
          <t>Completed by</t>
        </is>
      </c>
      <c r="C9" s="18" t="inlineStr">
        <is>
          <t>AI Service Line Lead</t>
        </is>
      </c>
    </row>
    <row r="10" ht="24" customHeight="1">
      <c r="B10" s="17" t="inlineStr">
        <is>
          <t>Role / title</t>
        </is>
      </c>
      <c r="C10" s="18" t="inlineStr">
        <is>
          <t>Director, Risk Advisory</t>
        </is>
      </c>
    </row>
    <row r="11" ht="24" customHeight="1">
      <c r="B11" s="17" t="inlineStr">
        <is>
          <t>Email address (to send yourself the report)</t>
        </is>
      </c>
      <c r="C11" s="18" t="inlineStr"/>
    </row>
    <row r="12" ht="24" customHeight="1">
      <c r="B12" s="17" t="inlineStr">
        <is>
          <t>Assessment date (dd/mm/yyyy)</t>
        </is>
      </c>
      <c r="C12" s="18" t="inlineStr">
        <is>
          <t>24/09/2026</t>
        </is>
      </c>
    </row>
    <row r="13" ht="24" customHeight="1">
      <c r="B13" s="17" t="inlineStr">
        <is>
          <t>Grant Thornton contact (optional)</t>
        </is>
      </c>
      <c r="C13" s="18" t="inlineStr"/>
    </row>
    <row r="15">
      <c r="B15" s="20" t="inlineStr">
        <is>
          <t>REGULATORY CONTEXT</t>
        </is>
      </c>
      <c r="C15" s="21" t="n"/>
    </row>
    <row r="16" ht="24" customHeight="1">
      <c r="B16" s="17" t="inlineStr">
        <is>
          <t>Is the organisation licensed by the Central Bank of Bahrain (CBB)?</t>
        </is>
      </c>
      <c r="C16" s="18" t="inlineStr">
        <is>
          <t>No</t>
        </is>
      </c>
    </row>
    <row r="17" ht="24" customHeight="1">
      <c r="B17" s="17" t="inlineStr">
        <is>
          <t>Do AI systems process personal data of individuals in Bahrain?</t>
        </is>
      </c>
      <c r="C17" s="18" t="inlineStr">
        <is>
          <t>Yes</t>
        </is>
      </c>
    </row>
    <row r="18" ht="24" customHeight="1">
      <c r="B18" s="17" t="inlineStr">
        <is>
          <t>Are AI-enabled products / services offered in the EU, or AI outputs used in the EU?</t>
        </is>
      </c>
      <c r="C18" s="18" t="inlineStr">
        <is>
          <t>Yes</t>
        </is>
      </c>
    </row>
    <row r="19" ht="24" customHeight="1">
      <c r="B19" s="17" t="inlineStr">
        <is>
          <t>Does the organisation operate in KSA, UAE or other GCC markets?</t>
        </is>
      </c>
      <c r="C19" s="18" t="inlineStr">
        <is>
          <t>Yes</t>
        </is>
      </c>
    </row>
    <row r="20" ht="24" customHeight="1">
      <c r="B20" s="17" t="inlineStr">
        <is>
          <t>Is the organisation a government entity or public-sector body?</t>
        </is>
      </c>
      <c r="C20" s="18" t="inlineStr">
        <is>
          <t>No</t>
        </is>
      </c>
    </row>
    <row r="21" ht="24" customHeight="1">
      <c r="B21" s="17" t="inlineStr">
        <is>
          <t>Does the organisation develop AI (provider) or only use it (deployer)?</t>
        </is>
      </c>
      <c r="C21" s="18" t="inlineStr">
        <is>
          <t>Deployer only (uses AI built by others)</t>
        </is>
      </c>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25"/>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15 questions  |  approx. 15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t="str">
        <f>Calc!B20&amp;" / 15"</f>
        <v>15 / 15</v>
      </c>
      <c r="C5" s="21" t="n"/>
      <c r="D5" s="25">
        <f>IF(Calc!B45="","-",Calc!B45)</f>
        <v>0.616071428571429</v>
      </c>
      <c r="E5" s="24" t="str">
        <f>IF(Calc!B46="","-",Calc!B46)</f>
        <v>Informed</v>
      </c>
      <c r="F5" s="24" t="str">
        <f>IF(Calc!C32="","-",Calc!C32)</f>
        <v>Medium</v>
      </c>
      <c r="G5" s="21" t="n"/>
      <c r="H5" s="26" t="str">
        <f>IF(Calc!B57="","-",Calc!B57&amp;"  -&gt;  "&amp;Calc!B58)</f>
        <v>Moderate  -&gt;  PROCEED WITH CONDITIONS</v>
      </c>
      <c r="I5" s="27" t="str">
        <f>IF(Calc!B21=1,"Ready - see 3. Report","Complete all questions")</f>
        <v>Ready - see 3. Report</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inlineStr">
        <is>
          <t>Approved enterprise GenAI tools and AI features embedded in business software across teams</t>
        </is>
      </c>
      <c r="F10" s="34">
        <f>IF(L10="","",INDEX(QBank!$C$2:$C$6,L10))</f>
        <v>2</v>
      </c>
      <c r="G10" s="35" t="str">
        <f>IF(L10="","Not answered",INDEX(QBank!$D$2:$D$6,L10))</f>
        <v>Medium</v>
      </c>
      <c r="H10" s="36" t="str">
        <f>IF(L10="","",INDEX(QBank!$E$2:$E$6,L10))</f>
        <v>AI is part of day-to-day work. Exposure spans data protection, output quality, vendor dependence and consistent human review.</v>
      </c>
      <c r="I10" s="7" t="inlineStr">
        <is>
          <t>Tiering factor (risk framework T1-T3)</t>
        </is>
      </c>
      <c r="J10" s="7" t="inlineStr">
        <is>
          <t>Inherent-risk driver</t>
        </is>
      </c>
      <c r="L10">
        <f>IF(E10="","",IFERROR(MATCH(E10,QBank!$B$2:$B$6,0),""))</f>
        <v>3</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inlineStr">
        <is>
          <t>Customer- or client-facing outputs with limited individual impact (e.g., FAQ chatbots, marketing content)</t>
        </is>
      </c>
      <c r="F11" s="34">
        <f>IF(L11="","",INDEX(QBank!$C$7:$C$11,L11))</f>
        <v>2</v>
      </c>
      <c r="G11" s="35" t="str">
        <f>IF(L11="","Not answered",INDEX(QBank!$D$7:$D$11,L11))</f>
        <v>Medium</v>
      </c>
      <c r="H11" s="36" t="str">
        <f>IF(L11="","",INDEX(QBank!$E$7:$E$11,L11))</f>
        <v>External stakeholders see AI outputs - disclosure, accuracy and reputational controls apply (e.g., EU AI Act Art. 50 where relevant).</v>
      </c>
      <c r="I11" s="7" t="inlineStr">
        <is>
          <t>Tiering factor (risk framework T1-T3)</t>
        </is>
      </c>
      <c r="J11" s="7" t="inlineStr">
        <is>
          <t>Inherent-risk driver</t>
        </is>
      </c>
      <c r="L11">
        <f>IF(E11="","",IFERROR(MATCH(E11,QBank!$B$7:$B$11,0),""))</f>
        <v>3</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inlineStr">
        <is>
          <t>Confidential business or client information</t>
        </is>
      </c>
      <c r="F12" s="34">
        <f>IF(L12="","",INDEX(QBank!$C$12:$C$16,L12))</f>
        <v>2</v>
      </c>
      <c r="G12" s="35" t="str">
        <f>IF(L12="","Not answered",INDEX(QBank!$D$12:$D$16,L12))</f>
        <v>Medium</v>
      </c>
      <c r="H12" s="36" t="str">
        <f>IF(L12="","",INDEX(QBank!$E$12:$E$16,L12))</f>
        <v>Confidentiality and contractual obligations apply; vendor data-use terms are critical.</v>
      </c>
      <c r="I12" s="7" t="inlineStr">
        <is>
          <t>Tiering factor (risk framework T1-T3)</t>
        </is>
      </c>
      <c r="J12" s="7" t="inlineStr">
        <is>
          <t>Inherent-risk driver</t>
        </is>
      </c>
      <c r="L12">
        <f>IF(E12="","",IFERROR(MATCH(E12,QBank!$B$12:$B$16,0),""))</f>
        <v>3</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inlineStr">
        <is>
          <t>A qualified human reviews and approves every AI output before it is used</t>
        </is>
      </c>
      <c r="F13" s="34">
        <f>IF(L13="","",INDEX(QBank!$C$17:$C$21,L13))</f>
        <v>1</v>
      </c>
      <c r="G13" s="35" t="str">
        <f>IF(L13="","Not answered",INDEX(QBank!$D$17:$D$21,L13))</f>
        <v>Low</v>
      </c>
      <c r="H13" s="36" t="str">
        <f>IF(L13="","",INDEX(QBank!$E$17:$E$21,L13))</f>
        <v>Effective 'human-in-charge' control if reviewers are trained and have time and authority to challenge.</v>
      </c>
      <c r="I13" s="7" t="inlineStr">
        <is>
          <t>Tiering factor (risk framework T1-T3)</t>
        </is>
      </c>
      <c r="J13" s="7" t="inlineStr">
        <is>
          <t>Inherent-risk driver</t>
        </is>
      </c>
      <c r="L13">
        <f>IF(E13="","",IFERROR(MATCH(E13,QBank!$B$17:$B$21,0),""))</f>
        <v>2</v>
      </c>
    </row>
    <row r="14" ht="22" customHeight="1">
      <c r="B14" s="29" t="inlineStr">
        <is>
          <t>PART B  -  AI READINESS &amp; CONTROL MATURITY  (AI Ready7 pillars + GT AI RCM: how well is it managed?)</t>
        </is>
      </c>
      <c r="C14" s="21" t="n"/>
      <c r="D14" s="21" t="n"/>
      <c r="E14" s="21" t="n"/>
      <c r="F14" s="21" t="n"/>
      <c r="G14" s="21" t="n"/>
      <c r="H14" s="21" t="n"/>
      <c r="I14" s="21" t="n"/>
      <c r="J14" s="21" t="n"/>
    </row>
    <row r="15" ht="96" customHeight="1">
      <c r="B15" s="30" t="inlineStr">
        <is>
          <t>Q5</t>
        </is>
      </c>
      <c r="C15" s="31" t="inlineStr">
        <is>
          <t>Business Alignment
AI strategy, ownership &amp; risk appetite</t>
        </is>
      </c>
      <c r="D15" s="32" t="inlineStr">
        <is>
          <r>
            <rPr>
              <b val="1"/>
              <sz val="10"/>
            </rPr>
            <t>Is there executive ownership and an approved AI strategy that defines the ambition, where AI will be used and the organisation's AI risk appetite?</t>
          </r>
          <r>
            <rPr>
              <i val="1"/>
              <color rgb="006B6B6B"/>
              <sz val="8.5"/>
            </rPr>
            <t xml:space="preserve">
Evidence: approved AI strategy, named executive sponsor, risk appetite statement, experimentation boundaries.</t>
          </r>
        </is>
      </c>
      <c r="E15" s="33" t="inlineStr">
        <is>
          <t>Executive sponsor named and AI strategy drafted or approved, but risk appetite and experimentation boundaries not defined</t>
        </is>
      </c>
      <c r="F15" s="37">
        <f>IF(L15="","",INDEX(QBank!$C$22:$C$26,L15))</f>
        <v>0.5</v>
      </c>
      <c r="G15" s="35" t="str">
        <f>IF(L15="","Not answered",INDEX(QBank!$D$22:$D$26,L15))</f>
        <v>Partially met</v>
      </c>
      <c r="H15" s="36" t="str">
        <f>IF(L15="","",INDEX(QBank!$E$22:$E$26,L15))</f>
        <v>Define AI risk appetite, tolerances and approved experimentation ('sandbox') boundaries; communicate them organisation-wide.</v>
      </c>
      <c r="I15" s="7" t="inlineStr">
        <is>
          <t>GL-1, GL-3, RM-6</t>
        </is>
      </c>
      <c r="J15" s="7" t="inlineStr">
        <is>
          <t>☆ Recommended</t>
        </is>
      </c>
      <c r="L15">
        <f>IF(E15="","",IFERROR(MATCH(E15,QBank!$B$22:$B$26,0),""))</f>
        <v>3</v>
      </c>
    </row>
    <row r="16" ht="96" customHeight="1">
      <c r="B16" s="30" t="inlineStr">
        <is>
          <t>Q6</t>
        </is>
      </c>
      <c r="C16" s="31" t="inlineStr">
        <is>
          <t>Business Alignment
Use-case portfolio &amp; value realisation</t>
        </is>
      </c>
      <c r="D16"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16" s="33" t="inlineStr">
        <is>
          <t>Use-case intake exists and initiatives are prioritised, but benefits are not systematically tracked</t>
        </is>
      </c>
      <c r="F16" s="37">
        <f>IF(L16="","",INDEX(QBank!$C$27:$C$31,L16))</f>
        <v>0.5</v>
      </c>
      <c r="G16" s="35" t="str">
        <f>IF(L16="","Not answered",INDEX(QBank!$D$27:$D$31,L16))</f>
        <v>Partially met</v>
      </c>
      <c r="H16" s="36" t="str">
        <f>IF(L16="","",INDEX(QBank!$E$27:$E$31,L16))</f>
        <v>Define benefit KPIs (financial and non-financial) at approval and assign benefit owners.</v>
      </c>
      <c r="I16" s="7" t="inlineStr">
        <is>
          <t>GL-6, GL-5</t>
        </is>
      </c>
      <c r="J16" s="7" t="inlineStr">
        <is>
          <t>☆ Recommended</t>
        </is>
      </c>
      <c r="L16">
        <f>IF(E16="","",IFERROR(MATCH(E16,QBank!$B$27:$B$31,0),""))</f>
        <v>3</v>
      </c>
    </row>
    <row r="17" ht="96" customHeight="1">
      <c r="B17" s="30" t="inlineStr">
        <is>
          <t>Q7</t>
        </is>
      </c>
      <c r="C17" s="31" t="inlineStr">
        <is>
          <t>Governance &amp; Ethics
AI policy, acceptable use &amp; regulatory compliance</t>
        </is>
      </c>
      <c r="D17"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7" s="33" t="inlineStr">
        <is>
          <t>AI policy enforced with staff acknowledgement; obligations register maps regulations to controls and owners</t>
        </is>
      </c>
      <c r="F17" s="37">
        <f>IF(L17="","",INDEX(QBank!$C$32:$C$36,L17))</f>
        <v>0.75</v>
      </c>
      <c r="G17" s="35" t="str">
        <f>IF(L17="","Not answered",INDEX(QBank!$D$32:$D$36,L17))</f>
        <v>Largely met</v>
      </c>
      <c r="H17" s="36" t="str">
        <f>IF(L17="","",INDEX(QBank!$E$32:$E$36,L17))</f>
        <v>Establish monthly regulatory horizon scanning and periodic compliance testing with evidence retention.</v>
      </c>
      <c r="I17" s="7" t="inlineStr">
        <is>
          <t>GL-5, RO-1, RO-5</t>
        </is>
      </c>
      <c r="J17" s="7" t="inlineStr">
        <is>
          <t>⟳ Compliance Obligation</t>
        </is>
      </c>
      <c r="L17">
        <f>IF(E17="","",IFERROR(MATCH(E17,QBank!$B$32:$B$36,0),""))</f>
        <v>4</v>
      </c>
    </row>
    <row r="18" ht="96" customHeight="1">
      <c r="B18" s="30" t="inlineStr">
        <is>
          <t>Q8</t>
        </is>
      </c>
      <c r="C18" s="31" t="inlineStr">
        <is>
          <t>Governance &amp; Ethics
AI inventory &amp; risk / impact assessment</t>
        </is>
      </c>
      <c r="D18"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18" s="33" t="inlineStr">
        <is>
          <t>AI register with owners; risk assessments performed for some AI systems using a documented method</t>
        </is>
      </c>
      <c r="F18" s="37">
        <f>IF(L18="","",INDEX(QBank!$C$37:$C$41,L18))</f>
        <v>0.5</v>
      </c>
      <c r="G18" s="35" t="str">
        <f>IF(L18="","Not answered",INDEX(QBank!$D$37:$D$41,L18))</f>
        <v>Partially met</v>
      </c>
      <c r="H18" s="36" t="str">
        <f>IF(L18="","",INDEX(QBank!$E$37:$E$41,L18))</f>
        <v>Extend assessments to all AI systems and third-party AI; set approval authority by risk tier.</v>
      </c>
      <c r="I18" s="7" t="inlineStr">
        <is>
          <t>GL-8, RM-2, RM-5, TP-2</t>
        </is>
      </c>
      <c r="J18" s="7" t="inlineStr">
        <is>
          <t>⚠ Mandatory Requirement</t>
        </is>
      </c>
      <c r="L18">
        <f>IF(E18="","",IFERROR(MATCH(E18,QBank!$B$37:$B$41,0),""))</f>
        <v>3</v>
      </c>
    </row>
    <row r="19" ht="96" customHeight="1">
      <c r="B19" s="30" t="inlineStr">
        <is>
          <t>Q9</t>
        </is>
      </c>
      <c r="C19" s="31" t="inlineStr">
        <is>
          <t>Governance &amp; Ethics
Responsible-AI guardrails &amp; human oversight</t>
        </is>
      </c>
      <c r="D19"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9" s="33" t="inlineStr">
        <is>
          <t>AI committee / CoE established; guardrails defined for some areas (e.g., human review of outputs)</t>
        </is>
      </c>
      <c r="F19" s="37">
        <f>IF(L19="","",INDEX(QBank!$C$42:$C$46,L19))</f>
        <v>0.5</v>
      </c>
      <c r="G19" s="35" t="str">
        <f>IF(L19="","Not answered",INDEX(QBank!$D$42:$D$46,L19))</f>
        <v>Partially met</v>
      </c>
      <c r="H19" s="36" t="str">
        <f>IF(L19="","",INDEX(QBank!$E$42:$E$46,L19))</f>
        <v>Apply mandatory human-in-charge controls and AI disclosure to all relevant AI; require committee approval for High / Critical uses.</v>
      </c>
      <c r="I19" s="7" t="inlineStr">
        <is>
          <t>GL-7, RS-1, RS-4, RS-5, CO-1, CO-3</t>
        </is>
      </c>
      <c r="J19" s="7" t="inlineStr">
        <is>
          <t>⚖ Ethical Consideration</t>
        </is>
      </c>
      <c r="L19">
        <f>IF(E19="","",IFERROR(MATCH(E19,QBank!$B$42:$B$46,0),""))</f>
        <v>3</v>
      </c>
    </row>
    <row r="20" ht="96" customHeight="1">
      <c r="B20" s="30" t="inlineStr">
        <is>
          <t>Q10</t>
        </is>
      </c>
      <c r="C20" s="31" t="inlineStr">
        <is>
          <t>Training &amp; Development
AI literacy &amp; capability</t>
        </is>
      </c>
      <c r="D20"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0" s="33" t="inlineStr">
        <is>
          <t>Mandatory AI literacy before tool access; role-based pathways for developers, oversight staff and leaders; scenario-based security awareness</t>
        </is>
      </c>
      <c r="F20" s="37">
        <f>IF(L20="","",INDEX(QBank!$C$47:$C$51,L20))</f>
        <v>0.75</v>
      </c>
      <c r="G20" s="35" t="str">
        <f>IF(L20="","Not answered",INDEX(QBank!$D$47:$D$51,L20))</f>
        <v>Largely met</v>
      </c>
      <c r="H20" s="36" t="str">
        <f>IF(L20="","",INDEX(QBank!$E$47:$E$51,L20))</f>
        <v>Measure competence, refresh annually, and build an AI champions network and workforce plan.</v>
      </c>
      <c r="I20" s="7" t="inlineStr">
        <is>
          <t>GL-4, RS-9</t>
        </is>
      </c>
      <c r="J20" s="7" t="inlineStr">
        <is>
          <t>⟳ Compliance Obligation</t>
        </is>
      </c>
      <c r="L20">
        <f>IF(E20="","",IFERROR(MATCH(E20,QBank!$B$47:$B$51,0),""))</f>
        <v>4</v>
      </c>
    </row>
    <row r="21" ht="96" customHeight="1">
      <c r="B21" s="30" t="inlineStr">
        <is>
          <t>Q11</t>
        </is>
      </c>
      <c r="C21" s="31" t="inlineStr">
        <is>
          <t>Data &amp; Quality
Data governance, quality &amp; privacy for AI</t>
        </is>
      </c>
      <c r="D21"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1" s="33" t="inlineStr">
        <is>
          <t>Data readiness assessed before approval; lineage and quality monitored; minimisation, anonymisation and prompt redaction applied; DPIAs standard</t>
        </is>
      </c>
      <c r="F21" s="37">
        <f>IF(L21="","",INDEX(QBank!$C$52:$C$56,L21))</f>
        <v>0.75</v>
      </c>
      <c r="G21" s="35" t="str">
        <f>IF(L21="","Not answered",INDEX(QBank!$D$52:$D$56,L21))</f>
        <v>Largely met</v>
      </c>
      <c r="H21" s="36" t="str">
        <f>IF(L21="","",INDEX(QBank!$E$52:$E$56,L21))</f>
        <v>Automate data-quality and lineage monitoring; operationalise data-subject rights and transfer assessments for AI.</v>
      </c>
      <c r="I21" s="7" t="inlineStr">
        <is>
          <t>LC-1, SE-4, PR-1, PR-4, PR-5, PR-6</t>
        </is>
      </c>
      <c r="J21" s="7" t="inlineStr">
        <is>
          <t>⟳ Compliance Obligation</t>
        </is>
      </c>
      <c r="L21">
        <f>IF(E21="","",IFERROR(MATCH(E21,QBank!$B$52:$B$56,0),""))</f>
        <v>4</v>
      </c>
    </row>
    <row r="22" ht="96" customHeight="1">
      <c r="B22" s="30" t="inlineStr">
        <is>
          <t>Q12</t>
        </is>
      </c>
      <c r="C22" s="31" t="inlineStr">
        <is>
          <t>Architecture &amp; Technology
AI architecture, integration &amp; monitoring</t>
        </is>
      </c>
      <c r="D22"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2" s="33" t="inlineStr">
        <is>
          <t>Reference architecture drafted; approved platforms and integration patterns for most AI; basic performance monitoring</t>
        </is>
      </c>
      <c r="F22" s="37">
        <f>IF(L22="","",INDEX(QBank!$C$57:$C$61,L22))</f>
        <v>0.5</v>
      </c>
      <c r="G22" s="35" t="str">
        <f>IF(L22="","Not answered",INDEX(QBank!$D$57:$D$61,L22))</f>
        <v>Partially met</v>
      </c>
      <c r="H22" s="36" t="str">
        <f>IF(L22="","",INDEX(QBank!$E$57:$E$61,L22))</f>
        <v>Centralise API / access control for AI, define agent execution authority and implement drift / performance monitoring with thresholds.</v>
      </c>
      <c r="I22" s="7" t="inlineStr">
        <is>
          <t>LC-2, LC-3, LC-8, LC-12, OM-1, OM-4, RM-6</t>
        </is>
      </c>
      <c r="J22" s="7" t="inlineStr">
        <is>
          <t>☆ Recommended</t>
        </is>
      </c>
      <c r="L22">
        <f>IF(E22="","",IFERROR(MATCH(E22,QBank!$B$57:$B$61,0),""))</f>
        <v>3</v>
      </c>
    </row>
    <row r="23" ht="96" customHeight="1">
      <c r="B23" s="30" t="inlineStr">
        <is>
          <t>Q13</t>
        </is>
      </c>
      <c r="C23" s="31" t="inlineStr">
        <is>
          <t>Protect AI Systems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inlineStr">
        <is>
          <t>AI-specific threats (e.g., prompt injection, data leakage) assessed for some systems; access controls and logging in place</t>
        </is>
      </c>
      <c r="F23" s="37">
        <f>IF(L23="","",INDEX(QBank!$C$62:$C$66,L23))</f>
        <v>0.5</v>
      </c>
      <c r="G23" s="35" t="str">
        <f>IF(L23="","Not answered",INDEX(QBank!$D$62:$D$66,L23))</f>
        <v>Partially met</v>
      </c>
      <c r="H23" s="36" t="str">
        <f>IF(L23="","",INDEX(QBank!$E$62:$E$66,L23))</f>
        <v>Introduce AI red teaming before release, runtime guardrails (input / output filtering) and audit logging.</v>
      </c>
      <c r="I23" s="7" t="inlineStr">
        <is>
          <t>SE-2, SE-3, SE-6 to SE-10, OM-2, AA-3</t>
        </is>
      </c>
      <c r="J23" s="7" t="inlineStr">
        <is>
          <t>⚠ Mandatory Requirement</t>
        </is>
      </c>
      <c r="L23">
        <f>IF(E23="","",IFERROR(MATCH(E23,QBank!$B$62:$B$66,0),""))</f>
        <v>3</v>
      </c>
    </row>
    <row r="24" ht="96" customHeight="1">
      <c r="B24" s="30" t="inlineStr">
        <is>
          <t>Q14</t>
        </is>
      </c>
      <c r="C24" s="31" t="inlineStr">
        <is>
          <t>Protection from AI Threats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inlineStr">
        <is>
          <t>Deepfake-resilient verification for payments and sensitive requests; behaviour-based detection; AI incident playbooks exercised</t>
        </is>
      </c>
      <c r="F24" s="37">
        <f>IF(L24="","",INDEX(QBank!$C$67:$C$71,L24))</f>
        <v>0.75</v>
      </c>
      <c r="G24" s="35" t="str">
        <f>IF(L24="","Not answered",INDEX(QBank!$D$67:$D$71,L24))</f>
        <v>Largely met</v>
      </c>
      <c r="H24" s="36" t="str">
        <f>IF(L24="","",INDEX(QBank!$E$67:$E$71,L24))</f>
        <v>Adopt continuous exposure management and AI-specific red teaming; reduce patch cycles to days.</v>
      </c>
      <c r="I24" s="7" t="inlineStr">
        <is>
          <t>AT-1, AT-2, AT-3, AT-4</t>
        </is>
      </c>
      <c r="J24" s="7" t="inlineStr">
        <is>
          <t>☆ Recommended</t>
        </is>
      </c>
      <c r="L24">
        <f>IF(E24="","",IFERROR(MATCH(E24,QBank!$B$67:$B$71,0),""))</f>
        <v>4</v>
      </c>
    </row>
    <row r="25" ht="96" customHeight="1">
      <c r="B25" s="30" t="inlineStr">
        <is>
          <t>Q15</t>
        </is>
      </c>
      <c r="C25" s="31" t="inlineStr">
        <is>
          <t>Governance &amp; Ethics
AI incidents, monitoring &amp; assurance</t>
        </is>
      </c>
      <c r="D25"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25" s="33" t="inlineStr">
        <is>
          <t>AI incident categories and escalation defined; ad hoc reviews of AI controls</t>
        </is>
      </c>
      <c r="F25" s="37">
        <f>IF(L25="","",INDEX(QBank!$C$72:$C$76,L25))</f>
        <v>0.5</v>
      </c>
      <c r="G25" s="35" t="str">
        <f>IF(L25="","Not answered",INDEX(QBank!$D$72:$D$76,L25))</f>
        <v>Partially met</v>
      </c>
      <c r="H25" s="36" t="str">
        <f>IF(L25="","",INDEX(QBank!$E$72:$E$76,L25))</f>
        <v>Include AI governance in the internal-audit plan and obtain assurance evidence from AI vendors.</v>
      </c>
      <c r="I25" s="7" t="inlineStr">
        <is>
          <t>IM-1, IM-2, IM-3, AA-1, AA-2, RO-4</t>
        </is>
      </c>
      <c r="J25" s="7" t="inlineStr">
        <is>
          <t>⟳ Compliance Obligation</t>
        </is>
      </c>
      <c r="L25">
        <f>IF(E25="","",IFERROR(MATCH(E25,QBank!$B$72:$B$76,0),""))</f>
        <v>3</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15">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0"/>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Grant Thornton Bahrain   |   Professional services   |   Assessment date: 24/09/2026</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Whole organisation - Firm-wide AI adoption across Audit, Tax, Advisory and internal functions   |   Completed by: AI Service Line Lead (Director, Risk Advisory)</v>
      </c>
      <c r="M3" s="43" t="n"/>
    </row>
    <row r="4">
      <c r="B4" s="44" t="str">
        <f>IF(Calc!B21=1,"Framework basis: NSW AI Assessment Framework (inherent risk)  |  GT AI Ready7 (7 pillars)  |  GT AI RCM v2.1 (controls)  |  ISO/IEC 42001, NIST AI RMF, EU AI Act, Bahrain PDPL","ASSESSMENT INCOMPLETE - "&amp;Calc!B20&amp;" of 15 questions answered. Results below are provisional.")</f>
        <v>Framework basis: NSW AI Assessment Framework (inherent risk)  |  GT AI Ready7 (7 pillars)  |  GT AI RCM v2.1 (controls)  |  ISO/IEC 42001, NIST AI RMF, EU AI Act, Bahrain PDPL</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Enter your email address in 1. Profile to enable the email link</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f>IF(Calc!B45="","-",Calc!B45)</f>
        <v>0.616071428571429</v>
      </c>
      <c r="C8" s="21" t="n"/>
      <c r="D8" s="21" t="n"/>
      <c r="E8" s="50" t="str">
        <f>IF(Calc!B46="","-",Calc!B46)</f>
        <v>Informed</v>
      </c>
      <c r="F8" s="21" t="n"/>
      <c r="G8" s="50" t="str">
        <f>IF(Calc!C32="","-",Calc!C32)</f>
        <v>Medium</v>
      </c>
      <c r="H8" s="21" t="n"/>
      <c r="I8" s="50" t="str">
        <f>IF(Calc!B57="","-",Calc!B57)</f>
        <v>Moderate</v>
      </c>
      <c r="J8" s="21" t="n"/>
      <c r="K8" s="21" t="n"/>
    </row>
    <row r="9" ht="40" customHeight="1">
      <c r="B9" s="51" t="str">
        <f>"AI Ready7 scale: &lt;50% Partial | 50-70% Informed | 70-90% Repeatable | 90%+ Adaptive"</f>
        <v>AI Ready7 scale: &lt;50% Partial | 50-70% Informed | 70-90% Repeatable | 90%+ Adaptive</v>
      </c>
      <c r="C9" s="21" t="n"/>
      <c r="D9" s="21" t="n"/>
      <c r="E9" s="51" t="str">
        <f>Calc!B70</f>
        <v>Awareness and some defined practices exist, but they are not consistently implemented.</v>
      </c>
      <c r="F9" s="21" t="n"/>
      <c r="G9" s="51" t="str">
        <f>IF(Calc!C30="","",TEXT(Calc!C30,"0%")&amp;" of maximum inherent risk. "&amp;Calc!C33)</f>
        <v>43% of maximum inherent risk. No override applied</v>
      </c>
      <c r="H9" s="21" t="n"/>
      <c r="I9" s="51" t="str">
        <f>"Combines inherent risk tier and readiness maturity (see Methodology)"</f>
        <v>Combines inherent risk tier and readiness maturity (see Methodology)</v>
      </c>
      <c r="J9" s="21" t="n"/>
      <c r="K9" s="21" t="n"/>
    </row>
    <row r="11" ht="26" customHeight="1">
      <c r="B11" s="52" t="inlineStr">
        <is>
          <t>RECOMMENDED PATHWAY</t>
        </is>
      </c>
      <c r="C11" s="21" t="n"/>
      <c r="D11" s="53" t="str">
        <f>IF(Calc!B58="","-",Calc!B58)</f>
        <v>PROCEED WITH CONDITIONS</v>
      </c>
      <c r="E11" s="21" t="n"/>
      <c r="F11" s="21" t="n"/>
      <c r="G11" s="21" t="n"/>
      <c r="H11" s="21" t="n"/>
      <c r="I11" s="21" t="n"/>
      <c r="J11" s="21" t="n"/>
      <c r="K11" s="21" t="n"/>
    </row>
    <row r="12" ht="34" customHeight="1">
      <c r="B12" s="54" t="str">
        <f>Calc!C58</f>
        <v>Continue AI adoption, but address the identified gaps through a time-bound remediation plan (within 90 days for priority items). Obtain SME review (risk, privacy, security) for new AI use cases.</v>
      </c>
      <c r="C12" s="21" t="n"/>
      <c r="D12" s="21" t="n"/>
      <c r="E12" s="21" t="n"/>
      <c r="F12" s="21" t="n"/>
      <c r="G12" s="21" t="n"/>
      <c r="H12" s="21" t="n"/>
      <c r="I12" s="21" t="n"/>
      <c r="J12" s="21" t="n"/>
      <c r="K12" s="21" t="n"/>
    </row>
    <row r="14" ht="92" customHeight="1">
      <c r="B14" s="55" t="str">
        <f>Calc!B72</f>
        <v>Based on the responses provided, Grant Thornton Bahrain has an overall AI readiness score of 62%, corresponding to the 'Informed' maturity level: awareness and some defined practices exist, but they are not consistently implemented. Its AI use profile indicates a MEDIUM inherent risk tier (43% of maximum inherent risk), resulting in an overall AI risk exposure rating of MODERATE. The strongest area is Training &amp; Development (75%) and the area requiring most attention is Business Alignment (50%). Recommended pathway: PROCEED WITH CONDITIONS. Continue AI adoption, but address the identified gaps through a time-bound remediation plan (within 90 days for priority items). Obtain SME review (risk, privacy, security) for new AI use cases.</v>
      </c>
      <c r="C14" s="21" t="n"/>
      <c r="D14" s="21" t="n"/>
      <c r="E14" s="21" t="n"/>
      <c r="F14" s="21" t="n"/>
      <c r="G14" s="21" t="n"/>
      <c r="H14" s="21" t="n"/>
      <c r="I14" s="21" t="n"/>
      <c r="J14" s="21" t="n"/>
      <c r="K14" s="21" t="n"/>
    </row>
    <row r="16" ht="22" customHeight="1">
      <c r="B16" s="47" t="inlineStr">
        <is>
          <t>2. READINESS BY AI READY7 PILLAR</t>
        </is>
      </c>
    </row>
    <row r="17" ht="26" customHeight="1">
      <c r="B17" s="23" t="inlineStr">
        <is>
          <t>Pillar</t>
        </is>
      </c>
      <c r="C17" s="21" t="n"/>
      <c r="D17" s="23" t="inlineStr">
        <is>
          <t>Score</t>
        </is>
      </c>
      <c r="E17" s="23" t="inlineStr">
        <is>
          <t>Maturity</t>
        </is>
      </c>
      <c r="F17" s="23" t="inlineStr">
        <is>
          <t>Progress</t>
        </is>
      </c>
    </row>
    <row r="18" ht="25" customHeight="1">
      <c r="B18" s="56" t="inlineStr">
        <is>
          <t>Business Alignment</t>
        </is>
      </c>
      <c r="C18" s="21" t="n"/>
      <c r="D18" s="37">
        <f>IF(Calc!B37="","-",Calc!B37)</f>
        <v>0.5</v>
      </c>
      <c r="E18" s="35" t="str">
        <f>IF(Calc!C37="","-",Calc!C37)</f>
        <v>Informed</v>
      </c>
      <c r="F18" s="57">
        <f>IF(Calc!B37="",0,Calc!B37)</f>
        <v>0.5</v>
      </c>
    </row>
    <row r="19" ht="25" customHeight="1">
      <c r="B19" s="56" t="inlineStr">
        <is>
          <t>Governance &amp; Ethics</t>
        </is>
      </c>
      <c r="C19" s="21" t="n"/>
      <c r="D19" s="37">
        <f>IF(Calc!B38="","-",Calc!B38)</f>
        <v>0.5625</v>
      </c>
      <c r="E19" s="35" t="str">
        <f>IF(Calc!C38="","-",Calc!C38)</f>
        <v>Informed</v>
      </c>
      <c r="F19" s="57">
        <f>IF(Calc!B38="",0,Calc!B38)</f>
        <v>0.5625</v>
      </c>
    </row>
    <row r="20" ht="25" customHeight="1">
      <c r="B20" s="56" t="inlineStr">
        <is>
          <t>Training &amp; Development</t>
        </is>
      </c>
      <c r="C20" s="21" t="n"/>
      <c r="D20" s="37">
        <f>IF(Calc!B39="","-",Calc!B39)</f>
        <v>0.75</v>
      </c>
      <c r="E20" s="35" t="str">
        <f>IF(Calc!C39="","-",Calc!C39)</f>
        <v>Repeatable</v>
      </c>
      <c r="F20" s="57">
        <f>IF(Calc!B39="",0,Calc!B39)</f>
        <v>0.75</v>
      </c>
    </row>
    <row r="21" ht="25" customHeight="1">
      <c r="B21" s="56" t="inlineStr">
        <is>
          <t>Data &amp; Quality</t>
        </is>
      </c>
      <c r="C21" s="21" t="n"/>
      <c r="D21" s="37">
        <f>IF(Calc!B40="","-",Calc!B40)</f>
        <v>0.75</v>
      </c>
      <c r="E21" s="35" t="str">
        <f>IF(Calc!C40="","-",Calc!C40)</f>
        <v>Repeatable</v>
      </c>
      <c r="F21" s="57">
        <f>IF(Calc!B40="",0,Calc!B40)</f>
        <v>0.75</v>
      </c>
    </row>
    <row r="22" ht="25" customHeight="1">
      <c r="B22" s="56" t="inlineStr">
        <is>
          <t>Architecture &amp; Technology</t>
        </is>
      </c>
      <c r="C22" s="21" t="n"/>
      <c r="D22" s="37">
        <f>IF(Calc!B41="","-",Calc!B41)</f>
        <v>0.5</v>
      </c>
      <c r="E22" s="35" t="str">
        <f>IF(Calc!C41="","-",Calc!C41)</f>
        <v>Informed</v>
      </c>
      <c r="F22" s="57">
        <f>IF(Calc!B41="",0,Calc!B41)</f>
        <v>0.5</v>
      </c>
    </row>
    <row r="23" ht="25" customHeight="1">
      <c r="B23" s="56" t="inlineStr">
        <is>
          <t>Protect AI Systems</t>
        </is>
      </c>
      <c r="C23" s="21" t="n"/>
      <c r="D23" s="37">
        <f>IF(Calc!B42="","-",Calc!B42)</f>
        <v>0.5</v>
      </c>
      <c r="E23" s="35" t="str">
        <f>IF(Calc!C42="","-",Calc!C42)</f>
        <v>Informed</v>
      </c>
      <c r="F23" s="57">
        <f>IF(Calc!B42="",0,Calc!B42)</f>
        <v>0.5</v>
      </c>
    </row>
    <row r="24" ht="25" customHeight="1">
      <c r="B24" s="56" t="inlineStr">
        <is>
          <t>Protection from AI Threats</t>
        </is>
      </c>
      <c r="C24" s="21" t="n"/>
      <c r="D24" s="37">
        <f>IF(Calc!B43="","-",Calc!B43)</f>
        <v>0.75</v>
      </c>
      <c r="E24" s="35" t="str">
        <f>IF(Calc!C43="","-",Calc!C43)</f>
        <v>Repeatable</v>
      </c>
      <c r="F24" s="57">
        <f>IF(Calc!B43="",0,Calc!B43)</f>
        <v>0.75</v>
      </c>
    </row>
    <row r="25" ht="25" customHeight="1">
      <c r="B25" s="58" t="inlineStr">
        <is>
          <t>OVERALL</t>
        </is>
      </c>
      <c r="C25" s="21" t="n"/>
      <c r="D25" s="59">
        <f>IF(Calc!B45="","-",Calc!B45)</f>
        <v>0.616071428571429</v>
      </c>
      <c r="E25" s="30" t="str">
        <f>IF(Calc!B46="","-",Calc!B46)</f>
        <v>Informed</v>
      </c>
      <c r="F25" s="60" t="str">
        <f>"Target 70%"</f>
        <v>Target 70%</v>
      </c>
    </row>
    <row r="27" ht="26" customHeight="1">
      <c r="B27" s="23" t="inlineStr">
        <is>
          <t>Pillar</t>
        </is>
      </c>
      <c r="C27" s="21" t="n"/>
      <c r="D27" s="23" t="inlineStr">
        <is>
          <t>Potential risk if the pillar is not strengthened (shown where score &lt; 90%)</t>
        </is>
      </c>
      <c r="E27" s="21" t="n"/>
      <c r="F27" s="21" t="n"/>
      <c r="G27" s="21" t="n"/>
      <c r="H27" s="21" t="n"/>
      <c r="I27" s="21" t="n"/>
      <c r="J27" s="21" t="n"/>
      <c r="K27" s="21" t="n"/>
    </row>
    <row r="28" ht="28" customHeight="1">
      <c r="B28" s="61" t="inlineStr">
        <is>
          <t>Business Alignment</t>
        </is>
      </c>
      <c r="C28" s="21" t="n"/>
      <c r="D28" s="7" t="str">
        <f>IF(Calc!B37="","",IF(Calc!B37&gt;=0.9,"Adaptive - maintain current practices.",Calc!E37))</f>
        <v>Poor AI direction leads to inconsistent use, unmanaged risk, duplication and weak accountability, slowing adoption and reducing trust.</v>
      </c>
      <c r="E28" s="21" t="n"/>
      <c r="F28" s="21" t="n"/>
      <c r="G28" s="21" t="n"/>
      <c r="H28" s="21" t="n"/>
      <c r="I28" s="21" t="n"/>
      <c r="J28" s="21" t="n"/>
      <c r="K28" s="21" t="n"/>
    </row>
    <row r="29" ht="28" customHeight="1">
      <c r="B29" s="61" t="inlineStr">
        <is>
          <t>Governance &amp; Ethics</t>
        </is>
      </c>
      <c r="C29" s="21" t="n"/>
      <c r="D29" s="7" t="str">
        <f>IF(Calc!B38="","",IF(Calc!B38&gt;=0.9,"Adaptive - maintain current practices.",Calc!E38))</f>
        <v>Weak AI governance (policies, guardrails, risk assessment, ownership) increases misuse, compliance breaches and uncontrolled AI sprawl.</v>
      </c>
      <c r="E29" s="21" t="n"/>
      <c r="F29" s="21" t="n"/>
      <c r="G29" s="21" t="n"/>
      <c r="H29" s="21" t="n"/>
      <c r="I29" s="21" t="n"/>
      <c r="J29" s="21" t="n"/>
      <c r="K29" s="21" t="n"/>
    </row>
    <row r="30" ht="28" customHeight="1">
      <c r="B30" s="61" t="inlineStr">
        <is>
          <t>Training &amp; Development</t>
        </is>
      </c>
      <c r="C30" s="21" t="n"/>
      <c r="D30" s="7" t="str">
        <f>IF(Calc!B39="","",IF(Calc!B39&gt;=0.9,"Adaptive - maintain current practices.",Calc!E39))</f>
        <v>Low AI literacy and skills increase unsafe use, susceptibility to AI-enabled threats, biased outcomes and limit effective adoption.</v>
      </c>
      <c r="E30" s="21" t="n"/>
      <c r="F30" s="21" t="n"/>
      <c r="G30" s="21" t="n"/>
      <c r="H30" s="21" t="n"/>
      <c r="I30" s="21" t="n"/>
      <c r="J30" s="21" t="n"/>
      <c r="K30" s="21" t="n"/>
    </row>
    <row r="31" ht="28" customHeight="1">
      <c r="B31" s="61" t="inlineStr">
        <is>
          <t>Data &amp; Quality</t>
        </is>
      </c>
      <c r="C31" s="21" t="n"/>
      <c r="D31" s="7" t="str">
        <f>IF(Calc!B40="","",IF(Calc!B40&gt;=0.9,"Adaptive - maintain current practices.",Calc!E40))</f>
        <v>Weak data governance and oversight increase the risk of breaches, bias, data misuse, lack of transparency and non-compliance.</v>
      </c>
      <c r="E31" s="21" t="n"/>
      <c r="F31" s="21" t="n"/>
      <c r="G31" s="21" t="n"/>
      <c r="H31" s="21" t="n"/>
      <c r="I31" s="21" t="n"/>
      <c r="J31" s="21" t="n"/>
      <c r="K31" s="21" t="n"/>
    </row>
    <row r="32" ht="28" customHeight="1">
      <c r="B32" s="61" t="inlineStr">
        <is>
          <t>Architecture &amp; Technology</t>
        </is>
      </c>
      <c r="C32" s="21" t="n"/>
      <c r="D32" s="7" t="str">
        <f>IF(Calc!B41="","",IF(Calc!B41&gt;=0.9,"Adaptive - maintain current practices.",Calc!E41))</f>
        <v>Weak AI architecture and controls increase security gaps, integration risk, undetected failures and unsustainable costs.</v>
      </c>
      <c r="E32" s="21" t="n"/>
      <c r="F32" s="21" t="n"/>
      <c r="G32" s="21" t="n"/>
      <c r="H32" s="21" t="n"/>
      <c r="I32" s="21" t="n"/>
      <c r="J32" s="21" t="n"/>
      <c r="K32" s="21" t="n"/>
    </row>
    <row r="33" ht="28" customHeight="1">
      <c r="B33" s="61" t="inlineStr">
        <is>
          <t>Protect AI Systems</t>
        </is>
      </c>
      <c r="C33" s="21" t="n"/>
      <c r="D33" s="7" t="str">
        <f>IF(Calc!B42="","",IF(Calc!B42&gt;=0.9,"Adaptive - maintain current practices.",Calc!E42))</f>
        <v>Weak AI security practices increase the risk of unauthorised access, data leakage, vulnerable deployments and undetected misuse.</v>
      </c>
      <c r="E33" s="21" t="n"/>
      <c r="F33" s="21" t="n"/>
      <c r="G33" s="21" t="n"/>
      <c r="H33" s="21" t="n"/>
      <c r="I33" s="21" t="n"/>
      <c r="J33" s="21" t="n"/>
      <c r="K33" s="21" t="n"/>
    </row>
    <row r="34" ht="28" customHeight="1">
      <c r="B34" s="61" t="inlineStr">
        <is>
          <t>Protection from AI Threats</t>
        </is>
      </c>
      <c r="C34" s="21" t="n"/>
      <c r="D34" s="7" t="str">
        <f>IF(Calc!B43="","",IF(Calc!B43&gt;=0.9,"Adaptive - maintain current practices.",Calc!E43))</f>
        <v>Weak AI-threat detection and response increase exposure to deepfakes, AI-crafted attacks and delayed response.</v>
      </c>
      <c r="E34" s="21" t="n"/>
      <c r="F34" s="21" t="n"/>
      <c r="G34" s="21" t="n"/>
      <c r="H34" s="21" t="n"/>
      <c r="I34" s="21" t="n"/>
      <c r="J34" s="21" t="n"/>
      <c r="K34" s="21" t="n"/>
    </row>
    <row r="36" ht="22" customHeight="1">
      <c r="B36" s="47" t="inlineStr">
        <is>
          <t>3. AI USE &amp; INHERENT RISK PROFILE (AIAF-based)</t>
        </is>
      </c>
    </row>
    <row r="37" ht="26" customHeight="1">
      <c r="B37" s="23" t="inlineStr">
        <is>
          <t>Factor</t>
        </is>
      </c>
      <c r="C37" s="21" t="n"/>
      <c r="D37" s="23" t="inlineStr">
        <is>
          <t>Your response</t>
        </is>
      </c>
      <c r="E37" s="21" t="n"/>
      <c r="F37" s="21" t="n"/>
      <c r="G37" s="21" t="n"/>
      <c r="H37" s="23" t="inlineStr">
        <is>
          <t>Risk level</t>
        </is>
      </c>
      <c r="I37" s="23" t="inlineStr">
        <is>
          <t>Implication</t>
        </is>
      </c>
      <c r="J37" s="21" t="n"/>
      <c r="K37" s="21" t="n"/>
    </row>
    <row r="38" ht="63.5" customHeight="1">
      <c r="B38" s="61" t="inlineStr">
        <is>
          <t>A1  AI use profile</t>
        </is>
      </c>
      <c r="C38" s="21" t="n"/>
      <c r="D38" s="7" t="str">
        <f>IF('2. Assessment'!E10="","Not answered",'2. Assessment'!E10)</f>
        <v>Approved enterprise GenAI tools and AI features embedded in business software across teams</v>
      </c>
      <c r="E38" s="21" t="n"/>
      <c r="F38" s="21" t="n"/>
      <c r="G38" s="21" t="n"/>
      <c r="H38" s="35" t="str">
        <f>'2. Assessment'!G10</f>
        <v>Medium</v>
      </c>
      <c r="I38" s="62" t="str">
        <f>'2. Assessment'!H10</f>
        <v>AI is part of day-to-day work. Exposure spans data protection, output quality, vendor dependence and consistent human review.</v>
      </c>
      <c r="J38" s="21" t="n"/>
      <c r="K38" s="21" t="n"/>
    </row>
    <row r="39" ht="52" customHeight="1">
      <c r="B39" s="61" t="inlineStr">
        <is>
          <t>A2  Decision impact</t>
        </is>
      </c>
      <c r="C39" s="21" t="n"/>
      <c r="D39" s="7" t="str">
        <f>IF('2. Assessment'!E11="","Not answered",'2. Assessment'!E11)</f>
        <v>Customer- or client-facing outputs with limited individual impact (e.g., FAQ chatbots, marketing content)</v>
      </c>
      <c r="E39" s="21" t="n"/>
      <c r="F39" s="21" t="n"/>
      <c r="G39" s="21" t="n"/>
      <c r="H39" s="35" t="str">
        <f>'2. Assessment'!G11</f>
        <v>Medium</v>
      </c>
      <c r="I39" s="62" t="str">
        <f>'2. Assessment'!H11</f>
        <v>External stakeholders see AI outputs - disclosure, accuracy and reputational controls apply (e.g., EU AI Act Art. 50 where relevant).</v>
      </c>
      <c r="J39" s="21" t="n"/>
      <c r="K39" s="21" t="n"/>
    </row>
    <row r="40" ht="52" customHeight="1">
      <c r="B40" s="61" t="inlineStr">
        <is>
          <t>A3  Data sensitivity</t>
        </is>
      </c>
      <c r="C40" s="21" t="n"/>
      <c r="D40" s="7" t="str">
        <f>IF('2. Assessment'!E12="","Not answered",'2. Assessment'!E12)</f>
        <v>Confidential business or client information</v>
      </c>
      <c r="E40" s="21" t="n"/>
      <c r="F40" s="21" t="n"/>
      <c r="G40" s="21" t="n"/>
      <c r="H40" s="35" t="str">
        <f>'2. Assessment'!G12</f>
        <v>Medium</v>
      </c>
      <c r="I40" s="62" t="str">
        <f>'2. Assessment'!H12</f>
        <v>Confidentiality and contractual obligations apply; vendor data-use terms are critical.</v>
      </c>
      <c r="J40" s="21" t="n"/>
      <c r="K40" s="21" t="n"/>
    </row>
    <row r="41" ht="52" customHeight="1">
      <c r="B41" s="61" t="inlineStr">
        <is>
          <t>A4  Oversight &amp; reversibility</t>
        </is>
      </c>
      <c r="C41" s="21" t="n"/>
      <c r="D41" s="7" t="str">
        <f>IF('2. Assessment'!E13="","Not answered",'2. Assessment'!E13)</f>
        <v>A qualified human reviews and approves every AI output before it is used</v>
      </c>
      <c r="E41" s="21" t="n"/>
      <c r="F41" s="21" t="n"/>
      <c r="G41" s="21" t="n"/>
      <c r="H41" s="35" t="str">
        <f>'2. Assessment'!G13</f>
        <v>Low</v>
      </c>
      <c r="I41" s="62" t="str">
        <f>'2. Assessment'!H13</f>
        <v>Effective 'human-in-charge' control if reviewers are trained and have time and authority to challenge.</v>
      </c>
      <c r="J41" s="21" t="n"/>
      <c r="K41" s="21" t="n"/>
    </row>
    <row r="42" ht="28" customHeight="1">
      <c r="B42" s="63" t="str">
        <f>"Inherent risk tier: "&amp;IF(Calc!C32="","-",UPPER(Calc!C32))&amp;IF(Calc!C30="",""," ("&amp;TEXT(Calc!C30,"0%")&amp;" weighted inherent-risk score)")</f>
        <v>Inherent risk tier: MEDIUM (43% weighted inherent-risk score)</v>
      </c>
      <c r="C42" s="21" t="n"/>
      <c r="D42" s="21" t="n"/>
      <c r="E42" s="21" t="n"/>
      <c r="F42" s="21" t="n"/>
      <c r="G42" s="21" t="n"/>
      <c r="H42" s="64" t="str">
        <f>Calc!C33</f>
        <v>No override applied</v>
      </c>
      <c r="I42" s="21" t="n"/>
      <c r="J42" s="21" t="n"/>
      <c r="K42" s="21" t="n"/>
    </row>
    <row r="44" ht="22" customHeight="1">
      <c r="B44" s="47" t="inlineStr">
        <is>
          <t>4. RESPONSIBLE-AI PRINCIPLE COVERAGE (NSW AIAF ethics principles)</t>
        </is>
      </c>
    </row>
    <row r="45" ht="26" customHeight="1">
      <c r="B45" s="23" t="inlineStr">
        <is>
          <t>Principle</t>
        </is>
      </c>
      <c r="C45" s="21" t="n"/>
      <c r="D45" s="21" t="n"/>
      <c r="E45" s="23" t="inlineStr">
        <is>
          <t>Coverage</t>
        </is>
      </c>
      <c r="F45" s="23" t="inlineStr">
        <is>
          <t>Assessment</t>
        </is>
      </c>
      <c r="G45" s="21" t="n"/>
      <c r="H45" s="23" t="inlineStr">
        <is>
          <t>Informed by questions</t>
        </is>
      </c>
      <c r="I45" s="21" t="n"/>
      <c r="J45" s="21" t="n"/>
      <c r="K45" s="21" t="n"/>
    </row>
    <row r="46" ht="18" customHeight="1">
      <c r="B46" s="61" t="inlineStr">
        <is>
          <t>Fairness</t>
        </is>
      </c>
      <c r="C46" s="21" t="n"/>
      <c r="D46" s="21" t="n"/>
      <c r="E46" s="65">
        <f>IF(Calc!B76="","-",Calc!B76)</f>
        <v>0.625</v>
      </c>
      <c r="F46" s="35" t="str">
        <f>Calc!D76</f>
        <v>Partially addressed</v>
      </c>
      <c r="G46" s="21" t="n"/>
      <c r="H46" s="62" t="str">
        <f>Calc!C76</f>
        <v>Q9, Q11</v>
      </c>
      <c r="I46" s="21" t="n"/>
      <c r="J46" s="21" t="n"/>
      <c r="K46" s="21" t="n"/>
    </row>
    <row r="47" ht="18" customHeight="1">
      <c r="B47" s="61" t="inlineStr">
        <is>
          <t>Privacy &amp; Security</t>
        </is>
      </c>
      <c r="C47" s="21" t="n"/>
      <c r="D47" s="21" t="n"/>
      <c r="E47" s="65">
        <f>IF(Calc!B77="","-",Calc!B77)</f>
        <v>0.6875</v>
      </c>
      <c r="F47" s="35" t="str">
        <f>Calc!D77</f>
        <v>Partially addressed</v>
      </c>
      <c r="G47" s="21" t="n"/>
      <c r="H47" s="62" t="str">
        <f>Calc!C77</f>
        <v>Q7, Q11, Q13, Q14</v>
      </c>
      <c r="I47" s="21" t="n"/>
      <c r="J47" s="21" t="n"/>
      <c r="K47" s="21" t="n"/>
    </row>
    <row r="48" ht="18" customHeight="1">
      <c r="B48" s="61" t="inlineStr">
        <is>
          <t>Transparency &amp; Explainability</t>
        </is>
      </c>
      <c r="C48" s="21" t="n"/>
      <c r="D48" s="21" t="n"/>
      <c r="E48" s="65">
        <f>IF(Calc!B78="","-",Calc!B78)</f>
        <v>0.5</v>
      </c>
      <c r="F48" s="35" t="str">
        <f>Calc!D78</f>
        <v>Partially addressed</v>
      </c>
      <c r="G48" s="21" t="n"/>
      <c r="H48" s="62" t="str">
        <f>Calc!C78</f>
        <v>Q9, Q15</v>
      </c>
      <c r="I48" s="21" t="n"/>
      <c r="J48" s="21" t="n"/>
      <c r="K48" s="21" t="n"/>
    </row>
    <row r="49" ht="18" customHeight="1">
      <c r="B49" s="61" t="inlineStr">
        <is>
          <t>Accountability</t>
        </is>
      </c>
      <c r="C49" s="21" t="n"/>
      <c r="D49" s="21" t="n"/>
      <c r="E49" s="65">
        <f>IF(Calc!B79="","-",Calc!B79)</f>
        <v>0.5625</v>
      </c>
      <c r="F49" s="35" t="str">
        <f>Calc!D79</f>
        <v>Partially addressed</v>
      </c>
      <c r="G49" s="21" t="n"/>
      <c r="H49" s="62" t="str">
        <f>Calc!C79</f>
        <v>Q5, Q7, Q8, Q15</v>
      </c>
      <c r="I49" s="21" t="n"/>
      <c r="J49" s="21" t="n"/>
      <c r="K49" s="21" t="n"/>
    </row>
    <row r="50" ht="18" customHeight="1">
      <c r="B50" s="61" t="inlineStr">
        <is>
          <t>Human, Social &amp; Environmental Wellbeing</t>
        </is>
      </c>
      <c r="C50" s="21" t="n"/>
      <c r="D50" s="21" t="n"/>
      <c r="E50" s="65">
        <f>IF(Calc!B80="","-",Calc!B80)</f>
        <v>0.5</v>
      </c>
      <c r="F50" s="35" t="str">
        <f>Calc!D80</f>
        <v>Partially addressed</v>
      </c>
      <c r="G50" s="21" t="n"/>
      <c r="H50" s="62" t="str">
        <f>Calc!C80</f>
        <v>Q6, Q8</v>
      </c>
      <c r="I50" s="21" t="n"/>
      <c r="J50" s="21" t="n"/>
      <c r="K50" s="21" t="n"/>
    </row>
    <row r="51" ht="18" customHeight="1">
      <c r="B51" s="61" t="inlineStr">
        <is>
          <t>Human-Centred Values</t>
        </is>
      </c>
      <c r="C51" s="21" t="n"/>
      <c r="D51" s="21" t="n"/>
      <c r="E51" s="65">
        <f>IF(Calc!B81="","-",Calc!B81)</f>
        <v>0.625</v>
      </c>
      <c r="F51" s="35" t="str">
        <f>Calc!D81</f>
        <v>Partially addressed</v>
      </c>
      <c r="G51" s="21" t="n"/>
      <c r="H51" s="62" t="str">
        <f>Calc!C81</f>
        <v>Q9, Q10</v>
      </c>
      <c r="I51" s="21" t="n"/>
      <c r="J51" s="21" t="n"/>
      <c r="K51" s="21" t="n"/>
    </row>
    <row r="52" ht="18" customHeight="1">
      <c r="B52" s="61" t="inlineStr">
        <is>
          <t>Reliability &amp; Safety</t>
        </is>
      </c>
      <c r="C52" s="21" t="n"/>
      <c r="D52" s="21" t="n"/>
      <c r="E52" s="65">
        <f>IF(Calc!B82="","-",Calc!B82)</f>
        <v>0.5</v>
      </c>
      <c r="F52" s="35" t="str">
        <f>Calc!D82</f>
        <v>Partially addressed</v>
      </c>
      <c r="G52" s="21" t="n"/>
      <c r="H52" s="62" t="str">
        <f>Calc!C82</f>
        <v>Q12, Q13, Q15</v>
      </c>
      <c r="I52" s="21" t="n"/>
      <c r="J52" s="21" t="n"/>
      <c r="K52" s="21" t="n"/>
    </row>
    <row r="53" ht="18" customHeight="1">
      <c r="B53" s="61" t="inlineStr">
        <is>
          <t>Contestability</t>
        </is>
      </c>
      <c r="C53" s="21" t="n"/>
      <c r="D53" s="21" t="n"/>
      <c r="E53" s="65">
        <f>IF(Calc!B83="","-",Calc!B83)</f>
        <v>0.5</v>
      </c>
      <c r="F53" s="35" t="str">
        <f>Calc!D83</f>
        <v>Partially addressed</v>
      </c>
      <c r="G53" s="21" t="n"/>
      <c r="H53" s="62" t="str">
        <f>Calc!C83</f>
        <v>Q9, Q15</v>
      </c>
      <c r="I53" s="21" t="n"/>
      <c r="J53" s="21" t="n"/>
      <c r="K53" s="21" t="n"/>
    </row>
    <row r="55" ht="22" customHeight="1">
      <c r="B55" s="47" t="inlineStr">
        <is>
          <t>5. DETAILED FINDINGS &amp; RECOMMENDATIONS</t>
        </is>
      </c>
    </row>
    <row r="56" ht="22" customHeight="1">
      <c r="B56" s="23" t="inlineStr">
        <is>
          <t>Area</t>
        </is>
      </c>
      <c r="C56" s="21" t="n"/>
      <c r="D56" s="23" t="inlineStr">
        <is>
          <t>Your response &amp; score</t>
        </is>
      </c>
      <c r="E56" s="21" t="n"/>
      <c r="F56" s="21" t="n"/>
      <c r="G56" s="23" t="inlineStr">
        <is>
          <t>Potential risk</t>
        </is>
      </c>
      <c r="H56" s="21" t="n"/>
      <c r="I56" s="23" t="inlineStr">
        <is>
          <t>Recommended action</t>
        </is>
      </c>
      <c r="J56" s="21" t="n"/>
      <c r="K56" s="21" t="n"/>
    </row>
    <row r="57" ht="77.5" customHeight="1">
      <c r="B57" s="66" t="inlineStr">
        <is>
          <t>Q5  AI strategy, ownership &amp; risk appetite
Business Alignment
AI Ready7: 1.1
☆ Recommended</t>
        </is>
      </c>
      <c r="C57" s="21" t="n"/>
      <c r="D57" s="67" t="str">
        <f>IF('2. Assessment'!E15="","Not answered",TEXT('2. Assessment'!F15,"0%")&amp;" - "&amp;'2. Assessment'!G15&amp;CHAR(10)&amp;CHAR(10)&amp;'2. Assessment'!E15)</f>
        <v>50% - Partially met
Executive sponsor named and AI strategy drafted or approved, but risk appetite and experimentation boundaries not defined</v>
      </c>
      <c r="E57" s="21" t="n"/>
      <c r="F57" s="21" t="n"/>
      <c r="G57" s="67" t="str">
        <f>IF('2. Assessment'!F15=1,"N/A - reported as fully met.","Lack of executive direction leads to inconsistent AI use, unmanaged risk-taking, poor-quality outputs and fragmented adoption.")</f>
        <v>Lack of executive direction leads to inconsistent AI use, unmanaged risk-taking, poor-quality outputs and fragmented adoption.</v>
      </c>
      <c r="H57" s="21" t="n"/>
      <c r="I57" s="67" t="str">
        <f>IF('2. Assessment'!E15="","",'2. Assessment'!H15&amp;CHAR(10)&amp;CHAR(10)&amp;"Controls: GL-1, GL-3, RM-6")</f>
        <v>Define AI risk appetite, tolerances and approved experimentation ('sandbox') boundaries; communicate them organisation-wide.
Controls: GL-1, GL-3, RM-6</v>
      </c>
      <c r="J57" s="21" t="n"/>
      <c r="K57" s="21" t="n"/>
    </row>
    <row r="58" ht="77.5" customHeight="1">
      <c r="B58" s="66" t="inlineStr">
        <is>
          <t>Q6  Use-case portfolio &amp; value realisation
Business Alignment
AI Ready7: 1.2, 1.3
☆ Recommended</t>
        </is>
      </c>
      <c r="C58" s="21" t="n"/>
      <c r="D58" s="67" t="str">
        <f>IF('2. Assessment'!E16="","Not answered",TEXT('2. Assessment'!F16,"0%")&amp;" - "&amp;'2. Assessment'!G16&amp;CHAR(10)&amp;CHAR(10)&amp;'2. Assessment'!E16)</f>
        <v>50% - Partially met
Use-case intake exists and initiatives are prioritised, but benefits are not systematically tracked</v>
      </c>
      <c r="E58" s="21" t="n"/>
      <c r="F58" s="21" t="n"/>
      <c r="G58" s="67" t="str">
        <f>IF('2. Assessment'!F16=1,"N/A - reported as fully met.","Duplicated or low-value AI investment, shadow AI and inability to demonstrate return on investment.")</f>
        <v>Duplicated or low-value AI investment, shadow AI and inability to demonstrate return on investment.</v>
      </c>
      <c r="H58" s="21" t="n"/>
      <c r="I58" s="67" t="str">
        <f>IF('2. Assessment'!E16="","",'2. Assessment'!H16&amp;CHAR(10)&amp;CHAR(10)&amp;"Controls: GL-6, GL-5")</f>
        <v>Define benefit KPIs (financial and non-financial) at approval and assign benefit owners.
Controls: GL-6, GL-5</v>
      </c>
      <c r="J58" s="21" t="n"/>
      <c r="K58" s="21" t="n"/>
    </row>
    <row r="59" ht="77.5" customHeight="1">
      <c r="B59" s="66" t="inlineStr">
        <is>
          <t>Q7  AI policy, acceptable use &amp; regulatory compliance
Governance &amp; Ethics
AI Ready7: 2.1, 2.2
⟳ Compliance Obligation</t>
        </is>
      </c>
      <c r="C59" s="21" t="n"/>
      <c r="D59" s="67" t="str">
        <f>IF('2. Assessment'!E17="","Not answered",TEXT('2. Assessment'!F17,"0%")&amp;" - "&amp;'2. Assessment'!G17&amp;CHAR(10)&amp;CHAR(10)&amp;'2. Assessment'!E17)</f>
        <v>75% - Largely met
AI policy enforced with staff acknowledgement; obligations register maps regulations to controls and owners</v>
      </c>
      <c r="E59" s="21" t="n"/>
      <c r="F59" s="21" t="n"/>
      <c r="G59" s="67" t="str">
        <f>IF('2. Assessment'!F17=1,"N/A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9" s="21" t="n"/>
      <c r="I59" s="67" t="str">
        <f>IF('2. Assessment'!E17="","",'2. Assessment'!H17&amp;CHAR(10)&amp;CHAR(10)&amp;"Controls: GL-5, RO-1, RO-5")</f>
        <v>Establish monthly regulatory horizon scanning and periodic compliance testing with evidence retention.
Controls: GL-5, RO-1, RO-5</v>
      </c>
      <c r="J59" s="21" t="n"/>
      <c r="K59" s="21" t="n"/>
    </row>
    <row r="60" ht="77.5" customHeight="1">
      <c r="B60" s="66" t="inlineStr">
        <is>
          <t>Q8  AI inventory &amp; risk / impact assessment
Governance &amp; Ethics
AI Ready7: 2.4, 2.5
⚠ Mandatory Requirement</t>
        </is>
      </c>
      <c r="C60" s="21" t="n"/>
      <c r="D60" s="67" t="str">
        <f>IF('2. Assessment'!E18="","Not answered",TEXT('2. Assessment'!F18,"0%")&amp;" - "&amp;'2. Assessment'!G18&amp;CHAR(10)&amp;CHAR(10)&amp;'2. Assessment'!E18)</f>
        <v>50% - Partially met
AI register with owners; risk assessments performed for some AI systems using a documented method</v>
      </c>
      <c r="E60" s="21" t="n"/>
      <c r="F60" s="21" t="n"/>
      <c r="G60" s="67" t="str">
        <f>IF('2. Assessment'!F18=1,"N/A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60" s="21" t="n"/>
      <c r="I60" s="67" t="str">
        <f>IF('2. Assessment'!E18="","",'2. Assessment'!H18&amp;CHAR(10)&amp;CHAR(10)&amp;"Controls: GL-8, RM-2, RM-5, TP-2")</f>
        <v>Extend assessments to all AI systems and third-party AI; set approval authority by risk tier.
Controls: GL-8, RM-2, RM-5, TP-2</v>
      </c>
      <c r="J60" s="21" t="n"/>
      <c r="K60" s="21" t="n"/>
    </row>
    <row r="61" ht="77.5" customHeight="1">
      <c r="B61" s="66" t="inlineStr">
        <is>
          <t>Q9  Responsible-AI guardrails &amp; human oversight
Governance &amp; Ethics
AI Ready7: 2.3, 5.2
⚖ Ethical Consideration</t>
        </is>
      </c>
      <c r="C61" s="21" t="n"/>
      <c r="D61" s="67" t="str">
        <f>IF('2. Assessment'!E19="","Not answered",TEXT('2. Assessment'!F19,"0%")&amp;" - "&amp;'2. Assessment'!G19&amp;CHAR(10)&amp;CHAR(10)&amp;'2. Assessment'!E19)</f>
        <v>50% - Partially met
AI committee / CoE established; guardrails defined for some areas (e.g., human review of outputs)</v>
      </c>
      <c r="E61" s="21" t="n"/>
      <c r="F61" s="21" t="n"/>
      <c r="G61" s="67" t="str">
        <f>IF('2. Assessment'!F19=1,"N/A - reported as fully met.","Biased or harmful outcomes, undisclosed AI use and lack of accountability for AI-supported decisions.")</f>
        <v>Biased or harmful outcomes, undisclosed AI use and lack of accountability for AI-supported decisions.</v>
      </c>
      <c r="H61" s="21" t="n"/>
      <c r="I61" s="67" t="str">
        <f>IF('2. Assessment'!E19="","",'2. Assessment'!H19&amp;CHAR(10)&amp;CHAR(10)&amp;"Controls: GL-7, RS-1, RS-4, RS-5, CO-1, CO-3")</f>
        <v>Apply mandatory human-in-charge controls and AI disclosure to all relevant AI; require committee approval for High / Critical uses.
Controls: GL-7, RS-1, RS-4, RS-5, CO-1, CO-3</v>
      </c>
      <c r="J61" s="21" t="n"/>
      <c r="K61" s="21" t="n"/>
    </row>
    <row r="62" ht="77.5" customHeight="1">
      <c r="B62" s="66" t="inlineStr">
        <is>
          <t>Q10  AI literacy &amp; capability
Training &amp; Development
AI Ready7: 3.1, 3.2, 3.3, 3.4
⟳ Compliance Obligation</t>
        </is>
      </c>
      <c r="C62" s="21" t="n"/>
      <c r="D62" s="67" t="str">
        <f>IF('2. Assessment'!E20="","Not answered",TEXT('2. Assessment'!F20,"0%")&amp;" - "&amp;'2. Assessment'!G20&amp;CHAR(10)&amp;CHAR(10)&amp;'2. Assessment'!E20)</f>
        <v>75% - Largely met
Mandatory AI literacy before tool access; role-based pathways for developers, oversight staff and leaders; scenario-based security awareness</v>
      </c>
      <c r="E62" s="21" t="n"/>
      <c r="F62" s="21" t="n"/>
      <c r="G62" s="67" t="str">
        <f>IF('2. Assessment'!F20=1,"N/A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2" s="21" t="n"/>
      <c r="I62" s="67" t="str">
        <f>IF('2. Assessment'!E20="","",'2. Assessment'!H20&amp;CHAR(10)&amp;CHAR(10)&amp;"Controls: GL-4, RS-9")</f>
        <v>Measure competence, refresh annually, and build an AI champions network and workforce plan.
Controls: GL-4, RS-9</v>
      </c>
      <c r="J62" s="21" t="n"/>
      <c r="K62" s="21" t="n"/>
    </row>
    <row r="63" ht="77.5" customHeight="1">
      <c r="B63" s="66" t="inlineStr">
        <is>
          <t>Q11  Data governance, quality &amp; privacy for AI
Data &amp; Quality
AI Ready7: 5.1, 5.3, 5.4, 5.5
⟳ Compliance Obligation</t>
        </is>
      </c>
      <c r="C63" s="21" t="n"/>
      <c r="D63" s="67" t="str">
        <f>IF('2. Assessment'!E21="","Not answered",TEXT('2. Assessment'!F21,"0%")&amp;" - "&amp;'2. Assessment'!G21&amp;CHAR(10)&amp;CHAR(10)&amp;'2. Assessment'!E21)</f>
        <v>75% - Largely met
Data readiness assessed before approval; lineage and quality monitored; minimisation, anonymisation and prompt redaction applied; DPIAs standard</v>
      </c>
      <c r="E63" s="21" t="n"/>
      <c r="F63" s="21" t="n"/>
      <c r="G63" s="67" t="str">
        <f>IF('2. Assessment'!F21=1,"N/A - reported as fully met.","Data breaches, PDPL non-compliance, and biased or inaccurate outputs from poor-quality or unsuitable data.")</f>
        <v>Data breaches, PDPL non-compliance, and biased or inaccurate outputs from poor-quality or unsuitable data.</v>
      </c>
      <c r="H63" s="21" t="n"/>
      <c r="I63" s="67" t="str">
        <f>IF('2. Assessment'!E21="","",'2. Assessment'!H21&amp;CHAR(10)&amp;CHAR(10)&amp;"Controls: LC-1, SE-4, PR-1, PR-4, PR-5, PR-6")</f>
        <v>Automate data-quality and lineage monitoring; operationalise data-subject rights and transfer assessments for AI.
Controls: LC-1, SE-4, PR-1, PR-4, PR-5, PR-6</v>
      </c>
      <c r="J63" s="21" t="n"/>
      <c r="K63" s="21" t="n"/>
    </row>
    <row r="64" ht="88" customHeight="1">
      <c r="B64" s="66" t="inlineStr">
        <is>
          <t>Q12  AI architecture, integration &amp; monitoring
Architecture &amp; Technology
AI Ready7: 4.1, 4.2, 4.3, 4.4, 4.5
☆ Recommended</t>
        </is>
      </c>
      <c r="C64" s="21" t="n"/>
      <c r="D64" s="67" t="str">
        <f>IF('2. Assessment'!E22="","Not answered",TEXT('2. Assessment'!F22,"0%")&amp;" - "&amp;'2. Assessment'!G22&amp;CHAR(10)&amp;CHAR(10)&amp;'2. Assessment'!E22)</f>
        <v>50% - Partially met
Reference architecture drafted; approved platforms and integration patterns for most AI; basic performance monitoring</v>
      </c>
      <c r="E64" s="21" t="n"/>
      <c r="F64" s="21" t="n"/>
      <c r="G64" s="67" t="str">
        <f>IF('2. Assessment'!F22=1,"N/A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64" s="21" t="n"/>
      <c r="I64" s="67" t="str">
        <f>IF('2. Assessment'!E22="","",'2. Assessment'!H22&amp;CHAR(10)&amp;CHAR(10)&amp;"Controls: LC-2, LC-3, LC-8, LC-12, OM-1, OM-4, RM-6")</f>
        <v>Centralise API / access control for AI, define agent execution authority and implement drift / performance monitoring with thresholds.
Controls: LC-2, LC-3, LC-8, LC-12, OM-1, OM-4, RM-6</v>
      </c>
      <c r="J64" s="21" t="n"/>
      <c r="K64" s="21" t="n"/>
    </row>
    <row r="65" ht="77.5" customHeight="1">
      <c r="B65" s="66" t="inlineStr">
        <is>
          <t>Q13  Securing AI systems
Protect AI Systems
AI Ready7: 6.1, 6.2, 6.3, 6.4, 6.5
⚠ Mandatory Requirement</t>
        </is>
      </c>
      <c r="C65" s="21" t="n"/>
      <c r="D65" s="67" t="str">
        <f>IF('2. Assessment'!E23="","Not answered",TEXT('2. Assessment'!F23,"0%")&amp;" - "&amp;'2. Assessment'!G23&amp;CHAR(10)&amp;CHAR(10)&amp;'2. Assessment'!E23)</f>
        <v>50% - Partially met
AI-specific threats (e.g., prompt injection, data leakage) assessed for some systems; access controls and logging in place</v>
      </c>
      <c r="E65" s="21" t="n"/>
      <c r="F65" s="21" t="n"/>
      <c r="G65" s="67" t="str">
        <f>IF('2. Assessment'!F23=1,"N/A - reported as fully met.","Unauthorised access, model compromise, data exfiltration through AI and undetected misuse.")</f>
        <v>Unauthorised access, model compromise, data exfiltration through AI and undetected misuse.</v>
      </c>
      <c r="H65" s="21" t="n"/>
      <c r="I65" s="67" t="str">
        <f>IF('2. Assessment'!E23="","",'2. Assessment'!H23&amp;CHAR(10)&amp;CHAR(10)&amp;"Controls: SE-2, SE-3, SE-6 to SE-10, OM-2, AA-3")</f>
        <v>Introduce AI red teaming before release, runtime guardrails (input / output filtering) and audit logging.
Controls: SE-2, SE-3, SE-6 to SE-10, OM-2, AA-3</v>
      </c>
      <c r="J65" s="21" t="n"/>
      <c r="K65" s="21" t="n"/>
    </row>
    <row r="66" ht="77.5" customHeight="1">
      <c r="B66" s="66" t="inlineStr">
        <is>
          <t>Q14  Defending against AI-enabled threats
Protection from AI Threats
AI Ready7: 7.1, 7.2, 7.3, 7.4, 7.5
☆ Recommended</t>
        </is>
      </c>
      <c r="C66" s="21" t="n"/>
      <c r="D66" s="67" t="str">
        <f>IF('2. Assessment'!E24="","Not answered",TEXT('2. Assessment'!F24,"0%")&amp;" - "&amp;'2. Assessment'!G24&amp;CHAR(10)&amp;CHAR(10)&amp;'2. Assessment'!E24)</f>
        <v>75% - Largely met
Deepfake-resilient verification for payments and sensitive requests; behaviour-based detection; AI incident playbooks exercised</v>
      </c>
      <c r="E66" s="21" t="n"/>
      <c r="F66" s="21" t="n"/>
      <c r="G66" s="67" t="str">
        <f>IF('2. Assessment'!F24=1,"N/A - reported as fully met.","Deepfake-enabled fraud, account compromise and faster, more scalable attacks that outpace defences.")</f>
        <v>Deepfake-enabled fraud, account compromise and faster, more scalable attacks that outpace defences.</v>
      </c>
      <c r="H66" s="21" t="n"/>
      <c r="I66" s="67" t="str">
        <f>IF('2. Assessment'!E24="","",'2. Assessment'!H24&amp;CHAR(10)&amp;CHAR(10)&amp;"Controls: AT-1, AT-2, AT-3, AT-4")</f>
        <v>Adopt continuous exposure management and AI-specific red teaming; reduce patch cycles to days.
Controls: AT-1, AT-2, AT-3, AT-4</v>
      </c>
      <c r="J66" s="21" t="n"/>
      <c r="K66" s="21" t="n"/>
    </row>
    <row r="67" ht="77.5" customHeight="1">
      <c r="B67" s="66" t="inlineStr">
        <is>
          <t>Q15  AI incidents, monitoring &amp; assurance
Governance &amp; Ethics
AI Ready7: 2.2, 7.4
⟳ Compliance Obligation</t>
        </is>
      </c>
      <c r="C67" s="21" t="n"/>
      <c r="D67" s="67" t="str">
        <f>IF('2. Assessment'!E25="","Not answered",TEXT('2. Assessment'!F25,"0%")&amp;" - "&amp;'2. Assessment'!G25&amp;CHAR(10)&amp;CHAR(10)&amp;'2. Assessment'!E25)</f>
        <v>50% - Partially met
AI incident categories and escalation defined; ad hoc reviews of AI controls</v>
      </c>
      <c r="E67" s="21" t="n"/>
      <c r="F67" s="21" t="n"/>
      <c r="G67" s="67" t="str">
        <f>IF('2. Assessment'!F25=1,"N/A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67" s="21" t="n"/>
      <c r="I67" s="67" t="str">
        <f>IF('2. Assessment'!E25="","",'2. Assessment'!H25&amp;CHAR(10)&amp;CHAR(10)&amp;"Controls: IM-1, IM-2, IM-3, AA-1, AA-2, RO-4")</f>
        <v>Include AI governance in the internal-audit plan and obtain assurance evidence from AI vendors.
Controls: IM-1, IM-2, IM-3, AA-1, AA-2, RO-4</v>
      </c>
      <c r="J67" s="21" t="n"/>
      <c r="K67" s="21" t="n"/>
    </row>
    <row r="69" ht="22" customHeight="1">
      <c r="B69" s="47" t="inlineStr">
        <is>
          <t>6. TOP 5 PRIORITY ACTIONS</t>
        </is>
      </c>
    </row>
    <row r="70">
      <c r="B70" s="14" t="inlineStr">
        <is>
          <t>Ranked by size of gap, weighted for compliance / mandatory requirements and the organisation's inherent risk tier.</t>
        </is>
      </c>
    </row>
    <row r="71" ht="26" customHeight="1">
      <c r="B71" s="23" t="inlineStr">
        <is>
          <t>#</t>
        </is>
      </c>
      <c r="C71" s="23" t="inlineStr">
        <is>
          <t>Area</t>
        </is>
      </c>
      <c r="D71" s="23" t="inlineStr">
        <is>
          <t>Score</t>
        </is>
      </c>
      <c r="E71" s="23" t="inlineStr">
        <is>
          <t>Action</t>
        </is>
      </c>
      <c r="F71" s="21" t="n"/>
      <c r="G71" s="21" t="n"/>
      <c r="H71" s="21" t="n"/>
      <c r="I71" s="21" t="n"/>
      <c r="J71" s="23" t="inlineStr">
        <is>
          <t>Timing</t>
        </is>
      </c>
      <c r="K71" s="21" t="n"/>
    </row>
    <row r="72" ht="40" customHeight="1">
      <c r="B72" s="30" t="n">
        <v>1</v>
      </c>
      <c r="C72" s="61" t="str">
        <f>IF(Calc!B87="","",INDEX(Calc!$B:$B,Calc!B87))</f>
        <v>AI inventory &amp; risk / impact assessment</v>
      </c>
      <c r="D72" s="65">
        <f>IF(Calc!B87="","",INDEX(Calc!$E:$E,Calc!B87))</f>
        <v>0.5</v>
      </c>
      <c r="E72" s="7" t="str">
        <f>IF(Calc!B87="",IF(0=0,"No gaps identified - maintain current practices.",""),INDEX(Calc!$L:$L,Calc!B87))</f>
        <v>Extend assessments to all AI systems and third-party AI; set approval authority by risk tier.</v>
      </c>
      <c r="F72" s="21" t="n"/>
      <c r="G72" s="21" t="n"/>
      <c r="H72" s="21" t="n"/>
      <c r="I72" s="21" t="n"/>
      <c r="J72" s="68" t="str">
        <f>IF(Calc!B87="","",INDEX(Calc!$I:$I,Calc!B87))</f>
        <v>Immediate (0-3 months)</v>
      </c>
      <c r="K72" s="21" t="n"/>
    </row>
    <row r="73" ht="40" customHeight="1">
      <c r="B73" s="30" t="n">
        <v>2</v>
      </c>
      <c r="C73" s="61" t="str">
        <f>IF(Calc!B88="","",INDEX(Calc!$B:$B,Calc!B88))</f>
        <v>Securing AI systems</v>
      </c>
      <c r="D73" s="65">
        <f>IF(Calc!B88="","",INDEX(Calc!$E:$E,Calc!B88))</f>
        <v>0.5</v>
      </c>
      <c r="E73" s="7" t="str">
        <f>IF(Calc!B88="",IF(1=0,"No gaps identified - maintain current practices.",""),INDEX(Calc!$L:$L,Calc!B88))</f>
        <v>Introduce AI red teaming before release, runtime guardrails (input / output filtering) and audit logging.</v>
      </c>
      <c r="F73" s="21" t="n"/>
      <c r="G73" s="21" t="n"/>
      <c r="H73" s="21" t="n"/>
      <c r="I73" s="21" t="n"/>
      <c r="J73" s="68" t="str">
        <f>IF(Calc!B88="","",INDEX(Calc!$I:$I,Calc!B88))</f>
        <v>Immediate (0-3 months)</v>
      </c>
      <c r="K73" s="21" t="n"/>
    </row>
    <row r="74" ht="40" customHeight="1">
      <c r="B74" s="30" t="n">
        <v>3</v>
      </c>
      <c r="C74" s="61" t="str">
        <f>IF(Calc!B89="","",INDEX(Calc!$B:$B,Calc!B89))</f>
        <v>AI incidents, monitoring &amp; assurance</v>
      </c>
      <c r="D74" s="65">
        <f>IF(Calc!B89="","",INDEX(Calc!$E:$E,Calc!B89))</f>
        <v>0.5</v>
      </c>
      <c r="E74" s="7" t="str">
        <f>IF(Calc!B89="",IF(2=0,"No gaps identified - maintain current practices.",""),INDEX(Calc!$L:$L,Calc!B89))</f>
        <v>Include AI governance in the internal-audit plan and obtain assurance evidence from AI vendors.</v>
      </c>
      <c r="F74" s="21" t="n"/>
      <c r="G74" s="21" t="n"/>
      <c r="H74" s="21" t="n"/>
      <c r="I74" s="21" t="n"/>
      <c r="J74" s="68" t="str">
        <f>IF(Calc!B89="","",INDEX(Calc!$I:$I,Calc!B89))</f>
        <v>Immediate (0-3 months)</v>
      </c>
      <c r="K74" s="21" t="n"/>
    </row>
    <row r="75" ht="40" customHeight="1">
      <c r="B75" s="30" t="n">
        <v>4</v>
      </c>
      <c r="C75" s="61" t="str">
        <f>IF(Calc!B90="","",INDEX(Calc!$B:$B,Calc!B90))</f>
        <v>AI strategy, ownership &amp; risk appetite</v>
      </c>
      <c r="D75" s="65">
        <f>IF(Calc!B90="","",INDEX(Calc!$E:$E,Calc!B90))</f>
        <v>0.5</v>
      </c>
      <c r="E75" s="7" t="str">
        <f>IF(Calc!B90="",IF(3=0,"No gaps identified - maintain current practices.",""),INDEX(Calc!$L:$L,Calc!B90))</f>
        <v>Define AI risk appetite, tolerances and approved experimentation ('sandbox') boundaries; communicate them organisation-wide.</v>
      </c>
      <c r="F75" s="21" t="n"/>
      <c r="G75" s="21" t="n"/>
      <c r="H75" s="21" t="n"/>
      <c r="I75" s="21" t="n"/>
      <c r="J75" s="68" t="str">
        <f>IF(Calc!B90="","",INDEX(Calc!$I:$I,Calc!B90))</f>
        <v>Short term (3-6 months)</v>
      </c>
      <c r="K75" s="21" t="n"/>
    </row>
    <row r="76" ht="40" customHeight="1">
      <c r="B76" s="30" t="n">
        <v>5</v>
      </c>
      <c r="C76" s="61" t="str">
        <f>IF(Calc!B91="","",INDEX(Calc!$B:$B,Calc!B91))</f>
        <v>Use-case portfolio &amp; value realisation</v>
      </c>
      <c r="D76" s="65">
        <f>IF(Calc!B91="","",INDEX(Calc!$E:$E,Calc!B91))</f>
        <v>0.5</v>
      </c>
      <c r="E76" s="7" t="str">
        <f>IF(Calc!B91="",IF(4=0,"No gaps identified - maintain current practices.",""),INDEX(Calc!$L:$L,Calc!B91))</f>
        <v>Define benefit KPIs (financial and non-financial) at approval and assign benefit owners.</v>
      </c>
      <c r="F76" s="21" t="n"/>
      <c r="G76" s="21" t="n"/>
      <c r="H76" s="21" t="n"/>
      <c r="I76" s="21" t="n"/>
      <c r="J76" s="68" t="str">
        <f>IF(Calc!B91="","",INDEX(Calc!$I:$I,Calc!B91))</f>
        <v>Short term (3-6 months)</v>
      </c>
      <c r="K76" s="21" t="n"/>
    </row>
    <row r="78" ht="22" customHeight="1">
      <c r="B78" s="47" t="inlineStr">
        <is>
          <t>7. SUGGESTED IMPLEMENTATION ROADMAP</t>
        </is>
      </c>
    </row>
    <row r="79" ht="26" customHeight="1">
      <c r="B79" s="23" t="inlineStr">
        <is>
          <t>Horizon</t>
        </is>
      </c>
      <c r="C79" s="21" t="n"/>
      <c r="D79" s="23" t="inlineStr">
        <is>
          <t>Area</t>
        </is>
      </c>
      <c r="E79" s="21" t="n"/>
      <c r="F79" s="23" t="inlineStr">
        <is>
          <t>Action</t>
        </is>
      </c>
      <c r="G79" s="21" t="n"/>
      <c r="H79" s="21" t="n"/>
      <c r="I79" s="21" t="n"/>
      <c r="J79" s="21" t="n"/>
      <c r="K79" s="23" t="inlineStr">
        <is>
          <t>Controls</t>
        </is>
      </c>
    </row>
    <row r="80" ht="36" customHeight="1">
      <c r="B80" s="69" t="str">
        <f>IF(Calc!C87="","",INDEX(Calc!$I:$I,Calc!C87))</f>
        <v>Immediate (0-3 months)</v>
      </c>
      <c r="C80" s="21" t="n"/>
      <c r="D80" s="70" t="str">
        <f>IF(Calc!C87="","",INDEX(Calc!$B:$B,Calc!C87))</f>
        <v>AI inventory &amp; risk / impact assessment</v>
      </c>
      <c r="E80" s="21" t="n"/>
      <c r="F80" s="62" t="str">
        <f>IF(Calc!C87="","",INDEX(Calc!$L:$L,Calc!C87))</f>
        <v>Extend assessments to all AI systems and third-party AI; set approval authority by risk tier.</v>
      </c>
      <c r="G80" s="21" t="n"/>
      <c r="H80" s="21" t="n"/>
      <c r="I80" s="21" t="n"/>
      <c r="J80" s="21" t="n"/>
      <c r="K80" s="71" t="str">
        <f>IF(Calc!C87="","",INDEX(Calc!$M:$M,Calc!C87))</f>
        <v>GL-8, RM-2, RM-5, TP-2</v>
      </c>
    </row>
    <row r="81" ht="36" customHeight="1">
      <c r="B81" s="69" t="str">
        <f>IF(Calc!C88="","",INDEX(Calc!$I:$I,Calc!C88))</f>
        <v>Immediate (0-3 months)</v>
      </c>
      <c r="C81" s="21" t="n"/>
      <c r="D81" s="70" t="str">
        <f>IF(Calc!C88="","",INDEX(Calc!$B:$B,Calc!C88))</f>
        <v>Securing AI systems</v>
      </c>
      <c r="E81" s="21" t="n"/>
      <c r="F81" s="62" t="str">
        <f>IF(Calc!C88="","",INDEX(Calc!$L:$L,Calc!C88))</f>
        <v>Introduce AI red teaming before release, runtime guardrails (input / output filtering) and audit logging.</v>
      </c>
      <c r="G81" s="21" t="n"/>
      <c r="H81" s="21" t="n"/>
      <c r="I81" s="21" t="n"/>
      <c r="J81" s="21" t="n"/>
      <c r="K81" s="71" t="str">
        <f>IF(Calc!C88="","",INDEX(Calc!$M:$M,Calc!C88))</f>
        <v>SE-2, SE-3, SE-6 to SE-10, OM-2, AA-3</v>
      </c>
    </row>
    <row r="82" ht="36" customHeight="1">
      <c r="B82" s="69" t="str">
        <f>IF(Calc!C89="","",INDEX(Calc!$I:$I,Calc!C89))</f>
        <v>Immediate (0-3 months)</v>
      </c>
      <c r="C82" s="21" t="n"/>
      <c r="D82" s="70" t="str">
        <f>IF(Calc!C89="","",INDEX(Calc!$B:$B,Calc!C89))</f>
        <v>AI incidents, monitoring &amp; assurance</v>
      </c>
      <c r="E82" s="21" t="n"/>
      <c r="F82" s="62" t="str">
        <f>IF(Calc!C89="","",INDEX(Calc!$L:$L,Calc!C89))</f>
        <v>Include AI governance in the internal-audit plan and obtain assurance evidence from AI vendors.</v>
      </c>
      <c r="G82" s="21" t="n"/>
      <c r="H82" s="21" t="n"/>
      <c r="I82" s="21" t="n"/>
      <c r="J82" s="21" t="n"/>
      <c r="K82" s="71" t="str">
        <f>IF(Calc!C89="","",INDEX(Calc!$M:$M,Calc!C89))</f>
        <v>IM-1, IM-2, IM-3, AA-1, AA-2, RO-4</v>
      </c>
    </row>
    <row r="83" ht="36" customHeight="1">
      <c r="B83" s="69" t="str">
        <f>IF(Calc!C90="","",INDEX(Calc!$I:$I,Calc!C90))</f>
        <v>Short term (3-6 months)</v>
      </c>
      <c r="C83" s="21" t="n"/>
      <c r="D83" s="70" t="str">
        <f>IF(Calc!C90="","",INDEX(Calc!$B:$B,Calc!C90))</f>
        <v>AI strategy, ownership &amp; risk appetite</v>
      </c>
      <c r="E83" s="21" t="n"/>
      <c r="F83" s="62" t="str">
        <f>IF(Calc!C90="","",INDEX(Calc!$L:$L,Calc!C90))</f>
        <v>Define AI risk appetite, tolerances and approved experimentation ('sandbox') boundaries; communicate them organisation-wide.</v>
      </c>
      <c r="G83" s="21" t="n"/>
      <c r="H83" s="21" t="n"/>
      <c r="I83" s="21" t="n"/>
      <c r="J83" s="21" t="n"/>
      <c r="K83" s="71" t="str">
        <f>IF(Calc!C90="","",INDEX(Calc!$M:$M,Calc!C90))</f>
        <v>GL-1, GL-3, RM-6</v>
      </c>
    </row>
    <row r="84" ht="36" customHeight="1">
      <c r="B84" s="69" t="str">
        <f>IF(Calc!C91="","",INDEX(Calc!$I:$I,Calc!C91))</f>
        <v>Short term (3-6 months)</v>
      </c>
      <c r="C84" s="21" t="n"/>
      <c r="D84" s="70" t="str">
        <f>IF(Calc!C91="","",INDEX(Calc!$B:$B,Calc!C91))</f>
        <v>Use-case portfolio &amp; value realisation</v>
      </c>
      <c r="E84" s="21" t="n"/>
      <c r="F84" s="62" t="str">
        <f>IF(Calc!C91="","",INDEX(Calc!$L:$L,Calc!C91))</f>
        <v>Define benefit KPIs (financial and non-financial) at approval and assign benefit owners.</v>
      </c>
      <c r="G84" s="21" t="n"/>
      <c r="H84" s="21" t="n"/>
      <c r="I84" s="21" t="n"/>
      <c r="J84" s="21" t="n"/>
      <c r="K84" s="71" t="str">
        <f>IF(Calc!C91="","",INDEX(Calc!$M:$M,Calc!C91))</f>
        <v>GL-6, GL-5</v>
      </c>
    </row>
    <row r="85" ht="36" customHeight="1">
      <c r="B85" s="69" t="str">
        <f>IF(Calc!C92="","",INDEX(Calc!$I:$I,Calc!C92))</f>
        <v>Short term (3-6 months)</v>
      </c>
      <c r="C85" s="21" t="n"/>
      <c r="D85" s="70" t="str">
        <f>IF(Calc!C92="","",INDEX(Calc!$B:$B,Calc!C92))</f>
        <v>Responsible-AI guardrails &amp; human oversight</v>
      </c>
      <c r="E85" s="21" t="n"/>
      <c r="F85" s="62" t="str">
        <f>IF(Calc!C92="","",INDEX(Calc!$L:$L,Calc!C92))</f>
        <v>Apply mandatory human-in-charge controls and AI disclosure to all relevant AI; require committee approval for High / Critical uses.</v>
      </c>
      <c r="G85" s="21" t="n"/>
      <c r="H85" s="21" t="n"/>
      <c r="I85" s="21" t="n"/>
      <c r="J85" s="21" t="n"/>
      <c r="K85" s="71" t="str">
        <f>IF(Calc!C92="","",INDEX(Calc!$M:$M,Calc!C92))</f>
        <v>GL-7, RS-1, RS-4, RS-5, CO-1, CO-3</v>
      </c>
    </row>
    <row r="86" ht="36" customHeight="1">
      <c r="B86" s="69" t="str">
        <f>IF(Calc!C93="","",INDEX(Calc!$I:$I,Calc!C93))</f>
        <v>Short term (3-6 months)</v>
      </c>
      <c r="C86" s="21" t="n"/>
      <c r="D86" s="70" t="str">
        <f>IF(Calc!C93="","",INDEX(Calc!$B:$B,Calc!C93))</f>
        <v>AI architecture, integration &amp; monitoring</v>
      </c>
      <c r="E86" s="21" t="n"/>
      <c r="F86" s="62" t="str">
        <f>IF(Calc!C93="","",INDEX(Calc!$L:$L,Calc!C93))</f>
        <v>Centralise API / access control for AI, define agent execution authority and implement drift / performance monitoring with thresholds.</v>
      </c>
      <c r="G86" s="21" t="n"/>
      <c r="H86" s="21" t="n"/>
      <c r="I86" s="21" t="n"/>
      <c r="J86" s="21" t="n"/>
      <c r="K86" s="71" t="str">
        <f>IF(Calc!C93="","",INDEX(Calc!$M:$M,Calc!C93))</f>
        <v>LC-2, LC-3, LC-8, LC-12, OM-1, OM-4, RM-6</v>
      </c>
    </row>
    <row r="87" ht="36" customHeight="1">
      <c r="B87" s="69" t="str">
        <f>IF(Calc!C94="","",INDEX(Calc!$I:$I,Calc!C94))</f>
        <v>Medium term (6-12 months)</v>
      </c>
      <c r="C87" s="21" t="n"/>
      <c r="D87" s="70" t="str">
        <f>IF(Calc!C94="","",INDEX(Calc!$B:$B,Calc!C94))</f>
        <v>AI policy, acceptable use &amp; regulatory compliance</v>
      </c>
      <c r="E87" s="21" t="n"/>
      <c r="F87" s="62" t="str">
        <f>IF(Calc!C94="","",INDEX(Calc!$L:$L,Calc!C94))</f>
        <v>Establish monthly regulatory horizon scanning and periodic compliance testing with evidence retention.</v>
      </c>
      <c r="G87" s="21" t="n"/>
      <c r="H87" s="21" t="n"/>
      <c r="I87" s="21" t="n"/>
      <c r="J87" s="21" t="n"/>
      <c r="K87" s="71" t="str">
        <f>IF(Calc!C94="","",INDEX(Calc!$M:$M,Calc!C94))</f>
        <v>GL-5, RO-1, RO-5</v>
      </c>
    </row>
    <row r="88" ht="36" customHeight="1">
      <c r="B88" s="69" t="str">
        <f>IF(Calc!C95="","",INDEX(Calc!$I:$I,Calc!C95))</f>
        <v>Medium term (6-12 months)</v>
      </c>
      <c r="C88" s="21" t="n"/>
      <c r="D88" s="70" t="str">
        <f>IF(Calc!C95="","",INDEX(Calc!$B:$B,Calc!C95))</f>
        <v>AI literacy &amp; capability</v>
      </c>
      <c r="E88" s="21" t="n"/>
      <c r="F88" s="62" t="str">
        <f>IF(Calc!C95="","",INDEX(Calc!$L:$L,Calc!C95))</f>
        <v>Measure competence, refresh annually, and build an AI champions network and workforce plan.</v>
      </c>
      <c r="G88" s="21" t="n"/>
      <c r="H88" s="21" t="n"/>
      <c r="I88" s="21" t="n"/>
      <c r="J88" s="21" t="n"/>
      <c r="K88" s="71" t="str">
        <f>IF(Calc!C95="","",INDEX(Calc!$M:$M,Calc!C95))</f>
        <v>GL-4, RS-9</v>
      </c>
    </row>
    <row r="89" ht="36" customHeight="1">
      <c r="B89" s="69" t="str">
        <f>IF(Calc!C96="","",INDEX(Calc!$I:$I,Calc!C96))</f>
        <v>Medium term (6-12 months)</v>
      </c>
      <c r="C89" s="21" t="n"/>
      <c r="D89" s="70" t="str">
        <f>IF(Calc!C96="","",INDEX(Calc!$B:$B,Calc!C96))</f>
        <v>Data governance, quality &amp; privacy for AI</v>
      </c>
      <c r="E89" s="21" t="n"/>
      <c r="F89" s="62" t="str">
        <f>IF(Calc!C96="","",INDEX(Calc!$L:$L,Calc!C96))</f>
        <v>Automate data-quality and lineage monitoring; operationalise data-subject rights and transfer assessments for AI.</v>
      </c>
      <c r="G89" s="21" t="n"/>
      <c r="H89" s="21" t="n"/>
      <c r="I89" s="21" t="n"/>
      <c r="J89" s="21" t="n"/>
      <c r="K89" s="71" t="str">
        <f>IF(Calc!C96="","",INDEX(Calc!$M:$M,Calc!C96))</f>
        <v>LC-1, SE-4, PR-1, PR-4, PR-5, PR-6</v>
      </c>
    </row>
    <row r="90" ht="36" customHeight="1">
      <c r="B90" s="69" t="str">
        <f>IF(Calc!C97="","",INDEX(Calc!$I:$I,Calc!C97))</f>
        <v>Medium term (6-12 months)</v>
      </c>
      <c r="C90" s="21" t="n"/>
      <c r="D90" s="70" t="str">
        <f>IF(Calc!C97="","",INDEX(Calc!$B:$B,Calc!C97))</f>
        <v>Defending against AI-enabled threats</v>
      </c>
      <c r="E90" s="21" t="n"/>
      <c r="F90" s="62" t="str">
        <f>IF(Calc!C97="","",INDEX(Calc!$L:$L,Calc!C97))</f>
        <v>Adopt continuous exposure management and AI-specific red teaming; reduce patch cycles to days.</v>
      </c>
      <c r="G90" s="21" t="n"/>
      <c r="H90" s="21" t="n"/>
      <c r="I90" s="21" t="n"/>
      <c r="J90" s="21" t="n"/>
      <c r="K90" s="71" t="str">
        <f>IF(Calc!C97="","",INDEX(Calc!$M:$M,Calc!C97))</f>
        <v>AT-1, AT-2, AT-3, AT-4</v>
      </c>
    </row>
    <row r="92" ht="22" customHeight="1">
      <c r="B92" s="47" t="inlineStr">
        <is>
          <t>8. REGULATORY &amp; STANDARDS CONSIDERATIONS</t>
        </is>
      </c>
    </row>
    <row r="93">
      <c r="B93" s="14" t="inlineStr">
        <is>
          <t>Applicability is based on the Profile answers; the readiness signal uses the most relevant question scores. Not legal advice - confirm obligations with legal counsel.</t>
        </is>
      </c>
    </row>
    <row r="94" ht="26" customHeight="1">
      <c r="B94" s="23" t="inlineStr">
        <is>
          <t>Law / regulation / standard</t>
        </is>
      </c>
      <c r="C94" s="21" t="n"/>
      <c r="D94" s="21" t="n"/>
      <c r="E94" s="23" t="inlineStr">
        <is>
          <t>Applies?</t>
        </is>
      </c>
      <c r="F94" s="23" t="inlineStr">
        <is>
          <t>Readiness signal</t>
        </is>
      </c>
      <c r="G94" s="23" t="inlineStr">
        <is>
          <t>Key considerations</t>
        </is>
      </c>
      <c r="H94" s="21" t="n"/>
      <c r="I94" s="21" t="n"/>
      <c r="J94" s="21" t="n"/>
      <c r="K94" s="21" t="n"/>
    </row>
    <row r="95" ht="48" customHeight="1">
      <c r="B95" s="70" t="inlineStr">
        <is>
          <t>Bahrain Personal Data Protection Law (Law No. 30 of 2018)</t>
        </is>
      </c>
      <c r="C95" s="21" t="n"/>
      <c r="D95" s="21" t="n"/>
      <c r="E95" s="68" t="str">
        <f>IF(OR('1. Profile'!$C$17="Yes",N(Calc!B28)&gt;=3),"Yes","Check")</f>
        <v>Yes</v>
      </c>
      <c r="F95" s="72" t="str">
        <f>IF(COUNT(Calc!E13,Calc!E9)=0,"-",IF(MIN(Calc!E13,Calc!E9)&gt;=0.75,"On track",IF(MIN(Calc!E13,Calc!E9)&gt;=0.5,"Partial gap","Significant gap")))</f>
        <v>On track</v>
      </c>
      <c r="G95" s="73" t="inlineStr">
        <is>
          <t>Lawful basis and notice for AI processing; DPIAs; security; data-subject rights incl. objection to automated processing; cross-border transfer rules for AI services hosted outside Bahrain (RCM PR-1 to PR-6).</t>
        </is>
      </c>
      <c r="H95" s="21" t="n"/>
      <c r="I95" s="21" t="n"/>
      <c r="J95" s="21" t="n"/>
      <c r="K95" s="21" t="n"/>
    </row>
    <row r="96" ht="48" customHeight="1">
      <c r="B96" s="70" t="inlineStr">
        <is>
          <t>iGA General Policy for the Use of AI (2025) &amp; GCC Guiding Manual on the Ethics of AI Use</t>
        </is>
      </c>
      <c r="C96" s="21" t="n"/>
      <c r="D96" s="21" t="n"/>
      <c r="E96" s="68" t="str">
        <f>IF('1. Profile'!$C$20="Yes","Yes","Reference")</f>
        <v>Reference</v>
      </c>
      <c r="F96" s="72" t="str">
        <f>IF(COUNT(Calc!E11,Calc!E12)=0,"-",IF(MIN(Calc!E11,Calc!E12)&gt;=0.75,"On track",IF(MIN(Calc!E11,Calc!E12)&gt;=0.5,"Partial gap","Significant gap")))</f>
        <v>Partial gap</v>
      </c>
      <c r="G96" s="73" t="inlineStr">
        <is>
          <t>National AI policy pillars (compliance, adoption, awareness, cooperation) and GCC ethics principles - mandatory reference for government entities and good practice for all (RCM GL-1, GL-4, RS-series).</t>
        </is>
      </c>
      <c r="H96" s="21" t="n"/>
      <c r="I96" s="21" t="n"/>
      <c r="J96" s="21" t="n"/>
      <c r="K96" s="21" t="n"/>
    </row>
    <row r="97" ht="58.5" customHeight="1">
      <c r="B97" s="70" t="inlineStr">
        <is>
          <t>Central Bank of Bahrain Rulebook (HC, RM, OM, BC modules)</t>
        </is>
      </c>
      <c r="C97" s="21" t="n"/>
      <c r="D97" s="21" t="n"/>
      <c r="E97" s="68" t="str">
        <f>IF('1. Profile'!$C$16="Yes","Yes","No")</f>
        <v>No</v>
      </c>
      <c r="F97" s="72" t="str">
        <f>IF(COUNT(Calc!E10,Calc!E15,Calc!E17)=0,"-",IF(MIN(Calc!E10,Calc!E15,Calc!E17)&gt;=0.75,"On track",IF(MIN(Calc!E10,Calc!E15,Calc!E17)&gt;=0.5,"Partial gap","Significant gap")))</f>
        <v>Partial gap</v>
      </c>
      <c r="G97" s="73" t="inlineStr">
        <is>
          <t>Board oversight, risk management, cyber security, outsourcing and consumer-protection requirements apply to AI; expect model validation for material models and notification of material outsourcing (RCM LC-9, TP-3, AT-3).</t>
        </is>
      </c>
      <c r="H97" s="21" t="n"/>
      <c r="I97" s="21" t="n"/>
      <c r="J97" s="21" t="n"/>
      <c r="K97" s="21" t="n"/>
    </row>
    <row r="98" ht="48" customHeight="1">
      <c r="B98" s="70" t="inlineStr">
        <is>
          <t>EU AI Act (Regulation 2024/1689) - general obligations</t>
        </is>
      </c>
      <c r="C98" s="21" t="n"/>
      <c r="D98" s="21" t="n"/>
      <c r="E98" s="68" t="str">
        <f>IF('1. Profile'!$C$18="Yes","Yes","No")</f>
        <v>Yes</v>
      </c>
      <c r="F98" s="72" t="str">
        <f>IF(COUNT(Calc!E9,Calc!E12)=0,"-",IF(MIN(Calc!E9,Calc!E12)&gt;=0.75,"On track",IF(MIN(Calc!E9,Calc!E12)&gt;=0.5,"Partial gap","Significant gap")))</f>
        <v>On track</v>
      </c>
      <c r="G98" s="73" t="inlineStr">
        <is>
          <t>Extraterritorial reach. Prohibited practices (Art. 5) and AI literacy (Art. 4) apply since Feb 2025; GPAI rules since Aug 2025; transparency (Art. 50) from Aug 2026 (RCM RM-5, GL-4, CO-1, LC-7).</t>
        </is>
      </c>
      <c r="H98" s="21" t="n"/>
      <c r="I98" s="21" t="n"/>
      <c r="J98" s="21" t="n"/>
      <c r="K98" s="21" t="n"/>
    </row>
    <row r="99" ht="58.5" customHeight="1">
      <c r="B99" s="70" t="inlineStr">
        <is>
          <t>EU AI Act - high-risk AI systems (Annex III)</t>
        </is>
      </c>
      <c r="C99" s="21" t="n"/>
      <c r="D99" s="21" t="n"/>
      <c r="E99" s="68" t="str">
        <f>IF(AND('1. Profile'!$C$18="Yes",N(Calc!B27)&gt;=3),"Likely",IF('1. Profile'!$C$18="Yes","Check","No"))</f>
        <v>Check</v>
      </c>
      <c r="F99" s="72" t="str">
        <f>IF(COUNT(Calc!E10,Calc!E11,Calc!E17)=0,"-",IF(MIN(Calc!E10,Calc!E11,Calc!E17)&gt;=0.75,"On track",IF(MIN(Calc!E10,Calc!E11,Calc!E17)&gt;=0.5,"Partial gap","Significant gap")))</f>
        <v>Partial gap</v>
      </c>
      <c r="G99" s="73" t="inlineStr">
        <is>
          <t>Decisions on credit, employment, insurance, essential services etc. may be high-risk: risk management, data governance, logging, human oversight, FRIA and registration (timelines subject to the EU Digital Omnibus outcome) (RCM RO-6).</t>
        </is>
      </c>
      <c r="H99" s="21" t="n"/>
      <c r="I99" s="21" t="n"/>
      <c r="J99" s="21" t="n"/>
      <c r="K99" s="21" t="n"/>
    </row>
    <row r="100" ht="37.5" customHeight="1">
      <c r="B100" s="70" t="inlineStr">
        <is>
          <t>KSA / UAE / GCC regimes (SDAIA AI Ethics, KSA PDPL, UAE AI Charter, DIFC Regulation 10, QCB AI Guideline)</t>
        </is>
      </c>
      <c r="C100" s="21" t="n"/>
      <c r="D100" s="21" t="n"/>
      <c r="E100" s="68" t="str">
        <f>IF('1. Profile'!$C$19="Yes","Yes","No")</f>
        <v>Yes</v>
      </c>
      <c r="F100" s="72" t="str">
        <f>IF(COUNT(Calc!E9,Calc!E13)=0,"-",IF(MIN(Calc!E9,Calc!E13)&gt;=0.75,"On track",IF(MIN(Calc!E9,Calc!E13)&gt;=0.5,"Partial gap","Significant gap")))</f>
        <v>On track</v>
      </c>
      <c r="G100" s="73" t="inlineStr">
        <is>
          <t>Include in the AI obligations register; align data-transfer, ethics and sector AI requirements across GCC operations (RCM RO-5).</t>
        </is>
      </c>
      <c r="H100" s="21" t="n"/>
      <c r="I100" s="21" t="n"/>
      <c r="J100" s="21" t="n"/>
      <c r="K100" s="21" t="n"/>
    </row>
    <row r="101" ht="48" customHeight="1">
      <c r="B101" s="70" t="inlineStr">
        <is>
          <t>ISO/IEC 42001:2023 AI management system</t>
        </is>
      </c>
      <c r="C101" s="21" t="n"/>
      <c r="D101" s="21" t="n"/>
      <c r="E101" s="68" t="str">
        <f>IF(Calc!B45="","-",IF(Calc!B45&gt;=0.7,"Ready to plan","Build first"))</f>
        <v>Build first</v>
      </c>
      <c r="F101" s="72" t="str">
        <f>IF(COUNT(Calc!E9,Calc!E10,Calc!E17)=0,"-",IF(MIN(Calc!E9,Calc!E10,Calc!E17)&gt;=0.75,"On track",IF(MIN(Calc!E9,Calc!E10,Calc!E17)&gt;=0.5,"Partial gap","Significant gap")))</f>
        <v>Partial gap</v>
      </c>
      <c r="G101" s="73" t="inlineStr">
        <is>
          <t>International certifiable standard for AI governance; demonstrates trustworthy AI to clients and regulators. Recommended once readiness reaches 'Repeatable' (RCM AA-2).</t>
        </is>
      </c>
      <c r="H101" s="21" t="n"/>
      <c r="I101" s="21" t="n"/>
      <c r="J101" s="21" t="n"/>
      <c r="K101" s="21" t="n"/>
    </row>
    <row r="102" ht="37.5" customHeight="1">
      <c r="B102" s="70" t="inlineStr">
        <is>
          <t>Bahrain draft AI Regulation Law (Shura Council, 2024)</t>
        </is>
      </c>
      <c r="C102" s="21" t="n"/>
      <c r="D102" s="21" t="n"/>
      <c r="E102" s="68" t="str">
        <f>"Monitor"</f>
        <v>Monitor</v>
      </c>
      <c r="F102" s="72" t="str">
        <f>IF(COUNT(Calc!E9)=0,"-",IF(MIN(Calc!E9)&gt;=0.75,"On track",IF(MIN(Calc!E9)&gt;=0.5,"Partial gap","Significant gap")))</f>
        <v>On track</v>
      </c>
      <c r="G102" s="73" t="inlineStr">
        <is>
          <t>Proposed standalone AI law (38 articles) with a new regulator and penalties - not yet in force. Maintain horizon scanning (RCM RO-5).</t>
        </is>
      </c>
      <c r="H102" s="21" t="n"/>
      <c r="I102" s="21" t="n"/>
      <c r="J102" s="21" t="n"/>
      <c r="K102" s="21" t="n"/>
    </row>
    <row r="104" ht="22" customHeight="1">
      <c r="B104" s="47" t="inlineStr">
        <is>
          <t>9. HOW GRANT THORNTON CAN HELP</t>
        </is>
      </c>
    </row>
    <row r="105" ht="26" customHeight="1">
      <c r="B105" s="23" t="inlineStr">
        <is>
          <t>GT AI service line</t>
        </is>
      </c>
      <c r="C105" s="21" t="n"/>
      <c r="D105" s="21" t="n"/>
      <c r="E105" s="23" t="inlineStr">
        <is>
          <t>Relevance</t>
        </is>
      </c>
      <c r="F105" s="23" t="inlineStr">
        <is>
          <t>How we help</t>
        </is>
      </c>
      <c r="G105" s="21" t="n"/>
      <c r="H105" s="21" t="n"/>
      <c r="I105" s="21" t="n"/>
      <c r="J105" s="21" t="n"/>
      <c r="K105" s="21" t="n"/>
    </row>
    <row r="106" ht="32" customHeight="1">
      <c r="B106" s="61" t="inlineStr">
        <is>
          <t>AI Governance, Risk &amp; Compliance</t>
        </is>
      </c>
      <c r="C106" s="21" t="n"/>
      <c r="D106" s="21" t="n"/>
      <c r="E106" s="68" t="str">
        <f>Calc!E100</f>
        <v>Advised</v>
      </c>
      <c r="F106" s="62" t="inlineStr">
        <is>
          <t>AI governance framework &amp; policies, AI register, risk &amp; impact assessments (GT AI Risk Assessment Framework), RCM-based compliance reviews, ISO/IEC 42001 readiness.</t>
        </is>
      </c>
      <c r="G106" s="21" t="n"/>
      <c r="H106" s="21" t="n"/>
      <c r="I106" s="21" t="n"/>
      <c r="J106" s="21" t="n"/>
      <c r="K106" s="21" t="n"/>
    </row>
    <row r="107" ht="32" customHeight="1">
      <c r="B107" s="61" t="inlineStr">
        <is>
          <t>AI Strategy &amp; Roadmap</t>
        </is>
      </c>
      <c r="C107" s="21" t="n"/>
      <c r="D107" s="21" t="n"/>
      <c r="E107" s="68" t="str">
        <f>Calc!E101</f>
        <v>Advised</v>
      </c>
      <c r="F107" s="62" t="inlineStr">
        <is>
          <t>Situational / SWOT analysis, AI strategy and risk appetite, use-case prioritisation, value-realisation KPIs and phased roadmap.</t>
        </is>
      </c>
      <c r="G107" s="21" t="n"/>
      <c r="H107" s="21" t="n"/>
      <c r="I107" s="21" t="n"/>
      <c r="J107" s="21" t="n"/>
      <c r="K107" s="21" t="n"/>
    </row>
    <row r="108" ht="32" customHeight="1">
      <c r="B108" s="61" t="inlineStr">
        <is>
          <t>Training &amp; Awareness</t>
        </is>
      </c>
      <c r="C108" s="21" t="n"/>
      <c r="D108" s="21" t="n"/>
      <c r="E108" s="68" t="str">
        <f>Calc!E102</f>
        <v>Optional</v>
      </c>
      <c r="F108" s="62" t="inlineStr">
        <is>
          <t>AI literacy programmes, role-based pathways, immersive labs, deepfake &amp; AI-phishing simulations, leadership workshops.</t>
        </is>
      </c>
      <c r="G108" s="21" t="n"/>
      <c r="H108" s="21" t="n"/>
      <c r="I108" s="21" t="n"/>
      <c r="J108" s="21" t="n"/>
      <c r="K108" s="21" t="n"/>
    </row>
    <row r="109" ht="32" customHeight="1">
      <c r="B109" s="61" t="inlineStr">
        <is>
          <t>AI-Driven Automation &amp; Architecture</t>
        </is>
      </c>
      <c r="C109" s="21" t="n"/>
      <c r="D109" s="21" t="n"/>
      <c r="E109" s="68" t="str">
        <f>Calc!E103</f>
        <v>Advised</v>
      </c>
      <c r="F109" s="62" t="inlineStr">
        <is>
          <t>Technology evaluation and selection, reference architecture, AI integration and monitoring. GT AI apps in preparation: AI-powered Business Continuity (BCP) tool and AI-powered Financial Statements tool.</t>
        </is>
      </c>
      <c r="G109" s="21" t="n"/>
      <c r="H109" s="21" t="n"/>
      <c r="I109" s="21" t="n"/>
      <c r="J109" s="21" t="n"/>
      <c r="K109" s="21" t="n"/>
    </row>
    <row r="110" ht="32" customHeight="1">
      <c r="B110" s="61" t="inlineStr">
        <is>
          <t>AI Security &amp; Cyber Resilience</t>
        </is>
      </c>
      <c r="C110" s="21" t="n"/>
      <c r="D110" s="21" t="n"/>
      <c r="E110" s="68" t="str">
        <f>Calc!E104</f>
        <v>Advised</v>
      </c>
      <c r="F110" s="62" t="inlineStr">
        <is>
          <t>AI security audits (GT AI Security &amp; Agent Audit Checklist), AI red teaming, secure AI agents (ISACA 2026 baseline), deepfake-resilient processes.</t>
        </is>
      </c>
      <c r="G110" s="21" t="n"/>
      <c r="H110" s="21" t="n"/>
      <c r="I110" s="21" t="n"/>
      <c r="J110" s="21" t="n"/>
      <c r="K110" s="21" t="n"/>
    </row>
    <row r="112" ht="22" customHeight="1">
      <c r="B112" s="47" t="inlineStr">
        <is>
          <t>10. NEXT STEPS &amp; SIGN-OFF</t>
        </is>
      </c>
    </row>
    <row r="113" ht="72" customHeight="1">
      <c r="B113"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3" s="21" t="n"/>
      <c r="D113" s="21" t="n"/>
      <c r="E113" s="21" t="n"/>
      <c r="F113" s="21" t="n"/>
      <c r="G113" s="21" t="n"/>
      <c r="H113" s="21" t="n"/>
      <c r="I113" s="21" t="n"/>
      <c r="J113" s="21" t="n"/>
      <c r="K113" s="21" t="n"/>
    </row>
    <row r="115" ht="20" customHeight="1">
      <c r="B115" s="23" t="inlineStr">
        <is>
          <t>Role</t>
        </is>
      </c>
      <c r="C115" s="21" t="n"/>
      <c r="D115" s="21" t="n"/>
      <c r="E115" s="23" t="inlineStr">
        <is>
          <t>Name</t>
        </is>
      </c>
      <c r="F115" s="21" t="n"/>
      <c r="G115" s="21" t="n"/>
      <c r="H115" s="23" t="inlineStr">
        <is>
          <t>Signature</t>
        </is>
      </c>
      <c r="I115" s="21" t="n"/>
      <c r="J115" s="21" t="n"/>
      <c r="K115" s="23" t="inlineStr">
        <is>
          <t>Date</t>
        </is>
      </c>
    </row>
    <row r="116" ht="28" customHeight="1">
      <c r="B116" s="74" t="inlineStr">
        <is>
          <t>Assessment completed by</t>
        </is>
      </c>
      <c r="C116" s="21" t="n"/>
      <c r="D116" s="21" t="n"/>
      <c r="E116" s="75" t="str">
        <f>IF('1. Profile'!$C$9="","",'1. Profile'!$C$9)</f>
        <v>AI Service Line Lead</v>
      </c>
      <c r="F116" s="76" t="n"/>
      <c r="G116" s="76" t="n"/>
      <c r="H116" s="77" t="inlineStr"/>
      <c r="I116" s="76" t="n"/>
      <c r="J116" s="76" t="n"/>
      <c r="K116" s="77" t="n"/>
    </row>
    <row r="117" ht="28" customHeight="1">
      <c r="B117" s="74" t="inlineStr">
        <is>
          <t>Reviewed by (risk / compliance)</t>
        </is>
      </c>
      <c r="C117" s="21" t="n"/>
      <c r="D117" s="21" t="n"/>
      <c r="E117" s="75" t="inlineStr"/>
      <c r="F117" s="76" t="n"/>
      <c r="G117" s="76" t="n"/>
      <c r="H117" s="77" t="inlineStr"/>
      <c r="I117" s="76" t="n"/>
      <c r="J117" s="76" t="n"/>
      <c r="K117" s="77" t="n"/>
    </row>
    <row r="118" ht="28" customHeight="1">
      <c r="B118" s="74" t="inlineStr">
        <is>
          <t>Executive sponsor</t>
        </is>
      </c>
      <c r="C118" s="21" t="n"/>
      <c r="D118" s="21" t="n"/>
      <c r="E118" s="75" t="inlineStr"/>
      <c r="F118" s="76" t="n"/>
      <c r="G118" s="76" t="n"/>
      <c r="H118" s="77" t="inlineStr"/>
      <c r="I118" s="76" t="n"/>
      <c r="J118" s="76" t="n"/>
      <c r="K118" s="77" t="n"/>
    </row>
    <row r="120" ht="58" customHeight="1">
      <c r="B120" s="78" t="inlineStr">
        <is>
          <t>Methodology: Part A (4 questions) derives an inherent-risk tier from the NSW AI Assessment Framework risk factors (AI use, decision impact, data sensitivity, oversight &amp; reversibility). Part B (11 questions) scores readiness 0-100% across the 7 GT AI Ready7 pillars; pillar scores are averaged equally into the overall score and mapped to the AI Ready7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63">
    <mergeCell ref="B92:K92"/>
    <mergeCell ref="E118:G118"/>
    <mergeCell ref="B22:C22"/>
    <mergeCell ref="D66:F66"/>
    <mergeCell ref="D84:E84"/>
    <mergeCell ref="B6:K6"/>
    <mergeCell ref="B31:C31"/>
    <mergeCell ref="B53:D53"/>
    <mergeCell ref="I56:K56"/>
    <mergeCell ref="F106:K106"/>
    <mergeCell ref="E8:F8"/>
    <mergeCell ref="H42:K42"/>
    <mergeCell ref="B21:C21"/>
    <mergeCell ref="F83:J83"/>
    <mergeCell ref="B86:C86"/>
    <mergeCell ref="D86:E86"/>
    <mergeCell ref="B4:K4"/>
    <mergeCell ref="B108:D108"/>
    <mergeCell ref="H53:K53"/>
    <mergeCell ref="B67:C67"/>
    <mergeCell ref="I8:K8"/>
    <mergeCell ref="G57:H57"/>
    <mergeCell ref="B61:C61"/>
    <mergeCell ref="G66:H66"/>
    <mergeCell ref="D27:K27"/>
    <mergeCell ref="F85:J85"/>
    <mergeCell ref="I63:K63"/>
    <mergeCell ref="B38:C38"/>
    <mergeCell ref="B94:D94"/>
    <mergeCell ref="I59:K59"/>
    <mergeCell ref="B70:K70"/>
    <mergeCell ref="F21"/>
    <mergeCell ref="G95:K95"/>
    <mergeCell ref="G58:H58"/>
    <mergeCell ref="I65:K65"/>
    <mergeCell ref="B40:C40"/>
    <mergeCell ref="B120:K120"/>
    <mergeCell ref="B24:C24"/>
    <mergeCell ref="B64:C64"/>
    <mergeCell ref="H52:K52"/>
    <mergeCell ref="B33:C33"/>
    <mergeCell ref="D17"/>
    <mergeCell ref="B96:D96"/>
    <mergeCell ref="J71:K71"/>
    <mergeCell ref="B32:C32"/>
    <mergeCell ref="B105:D105"/>
    <mergeCell ref="H45:K45"/>
    <mergeCell ref="B63:C63"/>
    <mergeCell ref="B41:C41"/>
    <mergeCell ref="D88:E88"/>
    <mergeCell ref="G99:K99"/>
    <mergeCell ref="D57:F57"/>
    <mergeCell ref="G59:H59"/>
    <mergeCell ref="B98:D98"/>
    <mergeCell ref="J73:K73"/>
    <mergeCell ref="B25:C25"/>
    <mergeCell ref="F87:J87"/>
    <mergeCell ref="H47:K47"/>
    <mergeCell ref="B90:C90"/>
    <mergeCell ref="B8:D8"/>
    <mergeCell ref="I37:K37"/>
    <mergeCell ref="D90:E90"/>
    <mergeCell ref="B107:D107"/>
    <mergeCell ref="G67:H67"/>
    <mergeCell ref="B66:C66"/>
    <mergeCell ref="G61:H61"/>
    <mergeCell ref="B18:C18"/>
    <mergeCell ref="B27:C27"/>
    <mergeCell ref="D31:K31"/>
    <mergeCell ref="H115:J115"/>
    <mergeCell ref="F89:J89"/>
    <mergeCell ref="B36:K36"/>
    <mergeCell ref="I62:K62"/>
    <mergeCell ref="G7:H7"/>
    <mergeCell ref="B11:C11"/>
    <mergeCell ref="B99:D99"/>
    <mergeCell ref="G101:K101"/>
    <mergeCell ref="B9:D9"/>
    <mergeCell ref="F45:G45"/>
    <mergeCell ref="F25"/>
    <mergeCell ref="F105:K105"/>
    <mergeCell ref="G62:H62"/>
    <mergeCell ref="I64:K64"/>
    <mergeCell ref="D32:K32"/>
    <mergeCell ref="H50:K50"/>
    <mergeCell ref="F47:G47"/>
    <mergeCell ref="B29:C29"/>
    <mergeCell ref="E17"/>
    <mergeCell ref="B45:D45"/>
    <mergeCell ref="D67:F67"/>
    <mergeCell ref="F107:K107"/>
    <mergeCell ref="B110:D110"/>
    <mergeCell ref="B37:C37"/>
    <mergeCell ref="F46:G46"/>
    <mergeCell ref="F24"/>
    <mergeCell ref="G65:H65"/>
    <mergeCell ref="D60:F60"/>
    <mergeCell ref="B84:C84"/>
    <mergeCell ref="J75:K75"/>
    <mergeCell ref="B100:D100"/>
    <mergeCell ref="B109:D109"/>
    <mergeCell ref="H49:K49"/>
    <mergeCell ref="B47:D47"/>
    <mergeCell ref="B1:K1"/>
    <mergeCell ref="F48:G48"/>
    <mergeCell ref="B46:D46"/>
    <mergeCell ref="B102:D102"/>
    <mergeCell ref="D33:K33"/>
    <mergeCell ref="B80:C80"/>
    <mergeCell ref="E105"/>
    <mergeCell ref="E72:I72"/>
    <mergeCell ref="B89:C89"/>
    <mergeCell ref="F108:K108"/>
    <mergeCell ref="H118:J118"/>
    <mergeCell ref="D89:E89"/>
    <mergeCell ref="K115"/>
    <mergeCell ref="F23"/>
    <mergeCell ref="G60:H60"/>
    <mergeCell ref="B79:C79"/>
    <mergeCell ref="G9:H9"/>
    <mergeCell ref="D37:G37"/>
    <mergeCell ref="D79:E79"/>
    <mergeCell ref="B48:D48"/>
    <mergeCell ref="E45"/>
    <mergeCell ref="D71"/>
    <mergeCell ref="G96:K96"/>
    <mergeCell ref="I66:K66"/>
    <mergeCell ref="D39:G39"/>
    <mergeCell ref="D34:K34"/>
    <mergeCell ref="B81:C81"/>
    <mergeCell ref="D81:E81"/>
    <mergeCell ref="H48:K48"/>
    <mergeCell ref="G98:K98"/>
    <mergeCell ref="B56:C56"/>
    <mergeCell ref="D38:G38"/>
    <mergeCell ref="B58:C58"/>
    <mergeCell ref="H117:J117"/>
    <mergeCell ref="I67:K67"/>
    <mergeCell ref="D11:K11"/>
    <mergeCell ref="B49:D49"/>
    <mergeCell ref="E116:G116"/>
    <mergeCell ref="I39:K39"/>
    <mergeCell ref="D58:F58"/>
    <mergeCell ref="B113:K113"/>
    <mergeCell ref="B60:C60"/>
    <mergeCell ref="F19"/>
    <mergeCell ref="B17:C17"/>
    <mergeCell ref="F50:G50"/>
    <mergeCell ref="B57:C57"/>
    <mergeCell ref="J74:K74"/>
    <mergeCell ref="F79:J79"/>
    <mergeCell ref="B82:C82"/>
    <mergeCell ref="B51:D51"/>
    <mergeCell ref="B88:C88"/>
    <mergeCell ref="E74:I74"/>
    <mergeCell ref="I38:K38"/>
    <mergeCell ref="K79"/>
    <mergeCell ref="B93:K93"/>
    <mergeCell ref="E115:G115"/>
    <mergeCell ref="B19:C19"/>
    <mergeCell ref="B34:C34"/>
    <mergeCell ref="F81:J81"/>
    <mergeCell ref="B50:D50"/>
    <mergeCell ref="B28:C28"/>
    <mergeCell ref="F90:J90"/>
    <mergeCell ref="H116:J116"/>
    <mergeCell ref="B12:K12"/>
    <mergeCell ref="I40:K40"/>
    <mergeCell ref="F20"/>
    <mergeCell ref="D59:F59"/>
    <mergeCell ref="G64:H64"/>
    <mergeCell ref="B83:C83"/>
    <mergeCell ref="F94"/>
    <mergeCell ref="D83:E83"/>
    <mergeCell ref="B30:C30"/>
    <mergeCell ref="B14:K14"/>
    <mergeCell ref="G100:K100"/>
    <mergeCell ref="E7:F7"/>
    <mergeCell ref="B115:D115"/>
    <mergeCell ref="B20:C20"/>
    <mergeCell ref="G63:H63"/>
    <mergeCell ref="F82:J82"/>
    <mergeCell ref="F49:G49"/>
    <mergeCell ref="B85:C85"/>
    <mergeCell ref="I57:K57"/>
    <mergeCell ref="B69:K69"/>
    <mergeCell ref="C71"/>
    <mergeCell ref="D85:E85"/>
    <mergeCell ref="B78:K78"/>
    <mergeCell ref="G102:K102"/>
    <mergeCell ref="B112:K112"/>
    <mergeCell ref="I7:K7"/>
    <mergeCell ref="G56:H56"/>
    <mergeCell ref="B117:D117"/>
    <mergeCell ref="I41:K41"/>
    <mergeCell ref="H37"/>
    <mergeCell ref="B62:C62"/>
    <mergeCell ref="B42:G42"/>
    <mergeCell ref="B59:C59"/>
    <mergeCell ref="B101:D101"/>
    <mergeCell ref="D61:F61"/>
    <mergeCell ref="J72:K72"/>
    <mergeCell ref="F110:K110"/>
    <mergeCell ref="E71:I71"/>
    <mergeCell ref="B55:K55"/>
    <mergeCell ref="I58:K58"/>
    <mergeCell ref="B116:D116"/>
    <mergeCell ref="G8:H8"/>
    <mergeCell ref="D80:E80"/>
    <mergeCell ref="F84:J84"/>
    <mergeCell ref="B104:K104"/>
    <mergeCell ref="G97:K97"/>
    <mergeCell ref="B39:C39"/>
    <mergeCell ref="F109:K109"/>
    <mergeCell ref="E73:I73"/>
    <mergeCell ref="B118:D118"/>
    <mergeCell ref="F51:G51"/>
    <mergeCell ref="D62:F62"/>
    <mergeCell ref="F86:J86"/>
    <mergeCell ref="B23:C23"/>
    <mergeCell ref="D56:F56"/>
    <mergeCell ref="F80:J80"/>
    <mergeCell ref="B16:K16"/>
    <mergeCell ref="E9:F9"/>
    <mergeCell ref="B3:K3"/>
    <mergeCell ref="B95:D95"/>
    <mergeCell ref="B71"/>
    <mergeCell ref="D40:G40"/>
    <mergeCell ref="D64:F64"/>
    <mergeCell ref="B87:C87"/>
    <mergeCell ref="D87:E87"/>
    <mergeCell ref="I60:K60"/>
    <mergeCell ref="I9:K9"/>
    <mergeCell ref="B97:D97"/>
    <mergeCell ref="D28:K28"/>
    <mergeCell ref="E94"/>
    <mergeCell ref="H46:K46"/>
    <mergeCell ref="B106:D106"/>
    <mergeCell ref="B2:K2"/>
    <mergeCell ref="M2:M4"/>
    <mergeCell ref="B7:D7"/>
    <mergeCell ref="H51:K51"/>
    <mergeCell ref="B65:C65"/>
    <mergeCell ref="F18"/>
    <mergeCell ref="F52:G52"/>
    <mergeCell ref="D63:F63"/>
    <mergeCell ref="E117:G117"/>
    <mergeCell ref="D41:G41"/>
    <mergeCell ref="E76:I76"/>
    <mergeCell ref="D30:K30"/>
    <mergeCell ref="D82:E82"/>
    <mergeCell ref="F17"/>
    <mergeCell ref="D65:F65"/>
    <mergeCell ref="B44:K44"/>
    <mergeCell ref="G94:K94"/>
    <mergeCell ref="I61:K61"/>
    <mergeCell ref="J76:K76"/>
    <mergeCell ref="D29:K29"/>
    <mergeCell ref="B52:D52"/>
    <mergeCell ref="E75:I75"/>
    <mergeCell ref="F22"/>
    <mergeCell ref="F53:G53"/>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F23">
    <cfRule type="dataBar" priority="31">
      <dataBar showValue="0">
        <cfvo type="num" val="0"/>
        <cfvo type="num" val="1"/>
        <color rgb="004F2D7F"/>
      </dataBar>
    </cfRule>
  </conditionalFormatting>
  <conditionalFormatting sqref="F24">
    <cfRule type="dataBar" priority="32">
      <dataBar showValue="0">
        <cfvo type="num" val="0"/>
        <cfvo type="num" val="1"/>
        <color rgb="004F2D7F"/>
      </dataBar>
    </cfRule>
  </conditionalFormatting>
  <conditionalFormatting sqref="E18:E24">
    <cfRule type="cellIs" priority="33" operator="equal" dxfId="6">
      <formula>"Partial"</formula>
    </cfRule>
    <cfRule type="cellIs" priority="34" operator="equal" dxfId="1">
      <formula>"Informed"</formula>
    </cfRule>
    <cfRule type="cellIs" priority="35" operator="equal" dxfId="0">
      <formula>"Repeatable"</formula>
    </cfRule>
    <cfRule type="cellIs" priority="36" operator="equal" dxfId="4">
      <formula>"Adaptive"</formula>
    </cfRule>
  </conditionalFormatting>
  <conditionalFormatting sqref="H38:H41">
    <cfRule type="cellIs" priority="37" operator="equal" dxfId="0">
      <formula>"Low"</formula>
    </cfRule>
    <cfRule type="cellIs" priority="38" operator="equal" dxfId="1">
      <formula>"Medium"</formula>
    </cfRule>
    <cfRule type="cellIs" priority="39" operator="equal" dxfId="2">
      <formula>"High"</formula>
    </cfRule>
    <cfRule type="cellIs" priority="40" operator="equal" dxfId="3">
      <formula>"Very high"</formula>
    </cfRule>
  </conditionalFormatting>
  <conditionalFormatting sqref="F46:F53">
    <cfRule type="cellIs" priority="41" operator="equal" dxfId="0">
      <formula>"Well addressed"</formula>
    </cfRule>
    <cfRule type="cellIs" priority="42" operator="equal" dxfId="1">
      <formula>"Partially addressed"</formula>
    </cfRule>
    <cfRule type="cellIs" priority="43" operator="equal" dxfId="2">
      <formula>"Needs attention"</formula>
    </cfRule>
  </conditionalFormatting>
  <conditionalFormatting sqref="D57:D67">
    <cfRule type="expression" priority="44" dxfId="3">
      <formula>ISNUMBER(SEARCH("Not met",LEFT($D57,25)))</formula>
    </cfRule>
    <cfRule type="expression" priority="45" dxfId="2">
      <formula>ISNUMBER(SEARCH("Minimal",LEFT($D57,25)))</formula>
    </cfRule>
    <cfRule type="expression" priority="46" dxfId="1">
      <formula>ISNUMBER(SEARCH("Partially",LEFT($D57,25)))</formula>
    </cfRule>
    <cfRule type="expression" priority="47" dxfId="0">
      <formula>ISNUMBER(SEARCH("Largely",LEFT($D57,25)))</formula>
    </cfRule>
    <cfRule type="expression" priority="48" dxfId="4">
      <formula>ISNUMBER(SEARCH("Fully",LEFT($D57,25)))</formula>
    </cfRule>
  </conditionalFormatting>
  <conditionalFormatting sqref="B80:B90">
    <cfRule type="expression" priority="49" dxfId="2">
      <formula>LEFT($B80,9)="Immediate"</formula>
    </cfRule>
    <cfRule type="expression" priority="50" dxfId="1">
      <formula>LEFT($B80,5)="Short"</formula>
    </cfRule>
    <cfRule type="expression" priority="51" dxfId="0">
      <formula>LEFT($B80,6)="Medium"</formula>
    </cfRule>
  </conditionalFormatting>
  <conditionalFormatting sqref="F95:F102">
    <cfRule type="cellIs" priority="52" operator="equal" dxfId="0">
      <formula>"On track"</formula>
    </cfRule>
    <cfRule type="cellIs" priority="53" operator="equal" dxfId="1">
      <formula>"Partial gap"</formula>
    </cfRule>
    <cfRule type="cellIs" priority="54" operator="equal" dxfId="2">
      <formula>"Significant gap"</formula>
    </cfRule>
  </conditionalFormatting>
  <conditionalFormatting sqref="E95:E102">
    <cfRule type="cellIs" priority="55" operator="equal" dxfId="8">
      <formula>"Yes"</formula>
    </cfRule>
  </conditionalFormatting>
  <conditionalFormatting sqref="E106:E110">
    <cfRule type="cellIs" priority="56" operator="equal" dxfId="2">
      <formula>"Priority"</formula>
    </cfRule>
    <cfRule type="cellIs" priority="57" operator="equal" dxfId="1">
      <formula>"Advised"</formula>
    </cfRule>
    <cfRule type="cellIs" priority="58" operator="equal" dxfId="0">
      <formula>"Optional"</formula>
    </cfRule>
    <cfRule type="cellIs" priority="59" operator="equal" dxfId="4">
      <formula>"Sustain"</formula>
    </cfRule>
  </conditionalFormatting>
  <printOptions horizontalCentered="0" gridLines="0"/>
  <pageMargins left="0.45" right="0.45" top="0.6" bottom="0.6" header="0.25" footer="0.25"/>
  <pageSetup orientation="portrait" paperSize="9" fitToHeight="0" fitToWidth="1"/>
  <headerFooter>
    <oddHeader/>
    <oddFooter>&amp;L&amp;8 GT AI Readiness &amp;&amp; Risk Assessment - Confidential&amp;R&amp;8 Page &amp;P</oddFooter>
    <evenHeader/>
    <evenFooter/>
    <firstHeader/>
    <firstFooter/>
  </headerFooter>
  <rowBreaks count="3" manualBreakCount="3">
    <brk id="35" min="0" max="16383" man="1"/>
    <brk id="68" min="0" max="16383" man="1"/>
    <brk id="91"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1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strategy, ownership &amp; risk appetite
(Business Alignment)</t>
        </is>
      </c>
      <c r="D5" s="37">
        <f>IF(Calc!E7="","-",Calc!E7)</f>
        <v>0.5</v>
      </c>
      <c r="E5" s="79">
        <f>IFERROR(MATCH(7,Calc!$B$87:$B$97,0),"-")</f>
        <v>4</v>
      </c>
      <c r="F5" s="7" t="str">
        <f>Calc!I7</f>
        <v>Short term (3-6 months)</v>
      </c>
      <c r="G5" s="7" t="str">
        <f>Calc!L7</f>
        <v>Define AI risk appetite, tolerances and approved experimentation ('sandbox') boundaries; communicate them organisation-wide.</v>
      </c>
      <c r="H5" s="7" t="inlineStr">
        <is>
          <t>GL-1, GL-3, RM-6</t>
        </is>
      </c>
      <c r="I5" s="6" t="n"/>
      <c r="J5" s="80" t="n"/>
      <c r="K5" s="6" t="n"/>
      <c r="L5" s="6" t="n"/>
    </row>
    <row r="6" ht="48" customHeight="1">
      <c r="B6" s="30" t="inlineStr">
        <is>
          <t>Q6</t>
        </is>
      </c>
      <c r="C6" s="61" t="inlineStr">
        <is>
          <t>Use-case portfolio &amp; value realisation
(Business Alignment)</t>
        </is>
      </c>
      <c r="D6" s="37">
        <f>IF(Calc!E8="","-",Calc!E8)</f>
        <v>0.5</v>
      </c>
      <c r="E6" s="79">
        <f>IFERROR(MATCH(8,Calc!$B$87:$B$97,0),"-")</f>
        <v>5</v>
      </c>
      <c r="F6" s="7" t="str">
        <f>Calc!I8</f>
        <v>Short term (3-6 months)</v>
      </c>
      <c r="G6" s="7" t="str">
        <f>Calc!L8</f>
        <v>Define benefit KPIs (financial and non-financial) at approval and assign benefit owners.</v>
      </c>
      <c r="H6" s="7" t="inlineStr">
        <is>
          <t>GL-6, GL-5</t>
        </is>
      </c>
      <c r="I6" s="6" t="n"/>
      <c r="J6" s="80" t="n"/>
      <c r="K6" s="6" t="n"/>
      <c r="L6" s="6" t="n"/>
    </row>
    <row r="7" ht="48" customHeight="1">
      <c r="B7" s="30" t="inlineStr">
        <is>
          <t>Q7</t>
        </is>
      </c>
      <c r="C7" s="61" t="inlineStr">
        <is>
          <t>AI policy, acceptable use &amp; regulatory compliance
(Governance &amp; Ethics)</t>
        </is>
      </c>
      <c r="D7" s="37">
        <f>IF(Calc!E9="","-",Calc!E9)</f>
        <v>0.75</v>
      </c>
      <c r="E7" s="79">
        <f>IFERROR(MATCH(9,Calc!$B$87:$B$97,0),"-")</f>
        <v>8</v>
      </c>
      <c r="F7" s="7" t="str">
        <f>Calc!I9</f>
        <v>Medium term (6-12 months)</v>
      </c>
      <c r="G7" s="7" t="str">
        <f>Calc!L9</f>
        <v>Establish monthly regulatory horizon scanning and periodic compliance testing with evidence retention.</v>
      </c>
      <c r="H7" s="7" t="inlineStr">
        <is>
          <t>GL-5, RO-1, RO-5</t>
        </is>
      </c>
      <c r="I7" s="6" t="n"/>
      <c r="J7" s="80" t="n"/>
      <c r="K7" s="6" t="n"/>
      <c r="L7" s="6" t="n"/>
    </row>
    <row r="8" ht="48" customHeight="1">
      <c r="B8" s="30" t="inlineStr">
        <is>
          <t>Q8</t>
        </is>
      </c>
      <c r="C8" s="61" t="inlineStr">
        <is>
          <t>AI inventory &amp; risk / impact assessment
(Governance &amp; Ethics)</t>
        </is>
      </c>
      <c r="D8" s="37">
        <f>IF(Calc!E10="","-",Calc!E10)</f>
        <v>0.5</v>
      </c>
      <c r="E8" s="79">
        <f>IFERROR(MATCH(10,Calc!$B$87:$B$97,0),"-")</f>
        <v>1</v>
      </c>
      <c r="F8" s="7" t="str">
        <f>Calc!I10</f>
        <v>Immediate (0-3 months)</v>
      </c>
      <c r="G8" s="7" t="str">
        <f>Calc!L10</f>
        <v>Extend assessments to all AI systems and third-party AI; set approval authority by risk tier.</v>
      </c>
      <c r="H8" s="7" t="inlineStr">
        <is>
          <t>GL-8, RM-2, RM-5, TP-2</t>
        </is>
      </c>
      <c r="I8" s="6" t="n"/>
      <c r="J8" s="80" t="n"/>
      <c r="K8" s="6" t="n"/>
      <c r="L8" s="6" t="n"/>
    </row>
    <row r="9" ht="48" customHeight="1">
      <c r="B9" s="30" t="inlineStr">
        <is>
          <t>Q9</t>
        </is>
      </c>
      <c r="C9" s="61" t="inlineStr">
        <is>
          <t>Responsible-AI guardrails &amp; human oversight
(Governance &amp; Ethics)</t>
        </is>
      </c>
      <c r="D9" s="37">
        <f>IF(Calc!E11="","-",Calc!E11)</f>
        <v>0.5</v>
      </c>
      <c r="E9" s="79">
        <f>IFERROR(MATCH(11,Calc!$B$87:$B$97,0),"-")</f>
        <v>6</v>
      </c>
      <c r="F9" s="7" t="str">
        <f>Calc!I11</f>
        <v>Short term (3-6 months)</v>
      </c>
      <c r="G9" s="7" t="str">
        <f>Calc!L11</f>
        <v>Apply mandatory human-in-charge controls and AI disclosure to all relevant AI; require committee approval for High / Critical uses.</v>
      </c>
      <c r="H9" s="7" t="inlineStr">
        <is>
          <t>GL-7, RS-1, RS-4, RS-5, CO-1, CO-3</t>
        </is>
      </c>
      <c r="I9" s="6" t="n"/>
      <c r="J9" s="80" t="n"/>
      <c r="K9" s="6" t="n"/>
      <c r="L9" s="6" t="n"/>
    </row>
    <row r="10" ht="48" customHeight="1">
      <c r="B10" s="30" t="inlineStr">
        <is>
          <t>Q10</t>
        </is>
      </c>
      <c r="C10" s="61" t="inlineStr">
        <is>
          <t>AI literacy &amp; capability
(Training &amp; Development)</t>
        </is>
      </c>
      <c r="D10" s="37">
        <f>IF(Calc!E12="","-",Calc!E12)</f>
        <v>0.75</v>
      </c>
      <c r="E10" s="79">
        <f>IFERROR(MATCH(12,Calc!$B$87:$B$97,0),"-")</f>
        <v>9</v>
      </c>
      <c r="F10" s="7" t="str">
        <f>Calc!I12</f>
        <v>Medium term (6-12 months)</v>
      </c>
      <c r="G10" s="7" t="str">
        <f>Calc!L12</f>
        <v>Measure competence, refresh annually, and build an AI champions network and workforce plan.</v>
      </c>
      <c r="H10" s="7" t="inlineStr">
        <is>
          <t>GL-4, RS-9</t>
        </is>
      </c>
      <c r="I10" s="6" t="n"/>
      <c r="J10" s="80" t="n"/>
      <c r="K10" s="6" t="n"/>
      <c r="L10" s="6" t="n"/>
    </row>
    <row r="11" ht="48" customHeight="1">
      <c r="B11" s="30" t="inlineStr">
        <is>
          <t>Q11</t>
        </is>
      </c>
      <c r="C11" s="61" t="inlineStr">
        <is>
          <t>Data governance, quality &amp; privacy for AI
(Data &amp; Quality)</t>
        </is>
      </c>
      <c r="D11" s="37">
        <f>IF(Calc!E13="","-",Calc!E13)</f>
        <v>0.75</v>
      </c>
      <c r="E11" s="79">
        <f>IFERROR(MATCH(13,Calc!$B$87:$B$97,0),"-")</f>
        <v>10</v>
      </c>
      <c r="F11" s="7" t="str">
        <f>Calc!I13</f>
        <v>Medium term (6-12 months)</v>
      </c>
      <c r="G11" s="7" t="str">
        <f>Calc!L13</f>
        <v>Automate data-quality and lineage monitoring; operationalise data-subject rights and transfer assessments for AI.</v>
      </c>
      <c r="H11" s="7" t="inlineStr">
        <is>
          <t>LC-1, SE-4, PR-1, PR-4, PR-5, PR-6</t>
        </is>
      </c>
      <c r="I11" s="6" t="n"/>
      <c r="J11" s="80" t="n"/>
      <c r="K11" s="6" t="n"/>
      <c r="L11" s="6" t="n"/>
    </row>
    <row r="12" ht="48" customHeight="1">
      <c r="B12" s="30" t="inlineStr">
        <is>
          <t>Q12</t>
        </is>
      </c>
      <c r="C12" s="61" t="inlineStr">
        <is>
          <t>AI architecture, integration &amp; monitoring
(Architecture &amp; Technology)</t>
        </is>
      </c>
      <c r="D12" s="37">
        <f>IF(Calc!E14="","-",Calc!E14)</f>
        <v>0.5</v>
      </c>
      <c r="E12" s="79">
        <f>IFERROR(MATCH(14,Calc!$B$87:$B$97,0),"-")</f>
        <v>7</v>
      </c>
      <c r="F12" s="7" t="str">
        <f>Calc!I14</f>
        <v>Short term (3-6 months)</v>
      </c>
      <c r="G12" s="7" t="str">
        <f>Calc!L14</f>
        <v>Centralise API / access control for AI, define agent execution authority and implement drift / performance monitoring with thresholds.</v>
      </c>
      <c r="H12" s="7" t="inlineStr">
        <is>
          <t>LC-2, LC-3, LC-8, LC-12, OM-1, OM-4, RM-6</t>
        </is>
      </c>
      <c r="I12" s="6" t="n"/>
      <c r="J12" s="80" t="n"/>
      <c r="K12" s="6" t="n"/>
      <c r="L12" s="6" t="n"/>
    </row>
    <row r="13" ht="48" customHeight="1">
      <c r="B13" s="30" t="inlineStr">
        <is>
          <t>Q13</t>
        </is>
      </c>
      <c r="C13" s="61" t="inlineStr">
        <is>
          <t>Securing AI systems
(Protect AI Systems)</t>
        </is>
      </c>
      <c r="D13" s="37">
        <f>IF(Calc!E15="","-",Calc!E15)</f>
        <v>0.5</v>
      </c>
      <c r="E13" s="79">
        <f>IFERROR(MATCH(15,Calc!$B$87:$B$97,0),"-")</f>
        <v>2</v>
      </c>
      <c r="F13" s="7" t="str">
        <f>Calc!I15</f>
        <v>Immediate (0-3 months)</v>
      </c>
      <c r="G13" s="7" t="str">
        <f>Calc!L15</f>
        <v>Introduce AI red teaming before release, runtime guardrails (input / output filtering) and audit logging.</v>
      </c>
      <c r="H13" s="7" t="inlineStr">
        <is>
          <t>SE-2, SE-3, SE-6 to SE-10, OM-2, AA-3</t>
        </is>
      </c>
      <c r="I13" s="6" t="n"/>
      <c r="J13" s="80" t="n"/>
      <c r="K13" s="6" t="n"/>
      <c r="L13" s="6" t="n"/>
    </row>
    <row r="14" ht="48" customHeight="1">
      <c r="B14" s="30" t="inlineStr">
        <is>
          <t>Q14</t>
        </is>
      </c>
      <c r="C14" s="61" t="inlineStr">
        <is>
          <t>Defending against AI-enabled threats
(Protection from AI Threats)</t>
        </is>
      </c>
      <c r="D14" s="37">
        <f>IF(Calc!E16="","-",Calc!E16)</f>
        <v>0.75</v>
      </c>
      <c r="E14" s="79">
        <f>IFERROR(MATCH(16,Calc!$B$87:$B$97,0),"-")</f>
        <v>11</v>
      </c>
      <c r="F14" s="7" t="str">
        <f>Calc!I16</f>
        <v>Medium term (6-12 months)</v>
      </c>
      <c r="G14" s="7" t="str">
        <f>Calc!L16</f>
        <v>Adopt continuous exposure management and AI-specific red teaming; reduce patch cycles to days.</v>
      </c>
      <c r="H14" s="7" t="inlineStr">
        <is>
          <t>AT-1, AT-2, AT-3, AT-4</t>
        </is>
      </c>
      <c r="I14" s="6" t="n"/>
      <c r="J14" s="80" t="n"/>
      <c r="K14" s="6" t="n"/>
      <c r="L14" s="6" t="n"/>
    </row>
    <row r="15" ht="48" customHeight="1">
      <c r="B15" s="30" t="inlineStr">
        <is>
          <t>Q15</t>
        </is>
      </c>
      <c r="C15" s="61" t="inlineStr">
        <is>
          <t>AI incidents, monitoring &amp; assurance
(Governance &amp; Ethics)</t>
        </is>
      </c>
      <c r="D15" s="37">
        <f>IF(Calc!E17="","-",Calc!E17)</f>
        <v>0.5</v>
      </c>
      <c r="E15" s="79">
        <f>IFERROR(MATCH(17,Calc!$B$87:$B$97,0),"-")</f>
        <v>3</v>
      </c>
      <c r="F15" s="7" t="str">
        <f>Calc!I17</f>
        <v>Immediate (0-3 months)</v>
      </c>
      <c r="G15" s="7" t="str">
        <f>Calc!L17</f>
        <v>Include AI governance in the internal-audit plan and obtain assurance evidence from AI vendors.</v>
      </c>
      <c r="H15" s="7" t="inlineStr">
        <is>
          <t>IM-1, IM-2, IM-3, AA-1, AA-2, RO-4</t>
        </is>
      </c>
      <c r="I15" s="6" t="n"/>
      <c r="J15" s="80" t="n"/>
      <c r="K15" s="6" t="n"/>
      <c r="L15" s="6" t="n"/>
    </row>
  </sheetData>
  <mergeCells count="2">
    <mergeCell ref="B2:L2"/>
    <mergeCell ref="B1:L1"/>
  </mergeCells>
  <dataValidations count="1">
    <dataValidation sqref="K5:K15"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1"/>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71"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7 readiness pillars (33 items) and the maturity scale Partial / Informed / Repeatable / Adaptive; findings use AI Ready7 'potential risk' and 'recommended deliverable' language.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Pillar score = average of its questions; overall readiness = equal-weighted average of the 7 pillar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AI Ready7 pillar /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strategy, ownership &amp; risk appetite</t>
        </is>
      </c>
      <c r="D31" s="62" t="inlineStr">
        <is>
          <t>Business Alignment (1.1)</t>
        </is>
      </c>
      <c r="E31" s="62" t="inlineStr">
        <is>
          <t>☆ Recommended</t>
        </is>
      </c>
      <c r="F31" s="62" t="inlineStr">
        <is>
          <t>Accountability</t>
        </is>
      </c>
      <c r="G31" s="62" t="inlineStr">
        <is>
          <t>GL-1, GL-3, RM-6</t>
        </is>
      </c>
      <c r="H31" s="62" t="inlineStr">
        <is>
          <t>ISO/IEC 42001 cl.5, 6.2; NIST AI RMF Govern 1</t>
        </is>
      </c>
    </row>
    <row r="32" ht="30" customHeight="1">
      <c r="B32" s="62" t="inlineStr">
        <is>
          <t>Q6</t>
        </is>
      </c>
      <c r="C32" s="62" t="inlineStr">
        <is>
          <t>Use-case portfolio &amp; value realisation</t>
        </is>
      </c>
      <c r="D32" s="62" t="inlineStr">
        <is>
          <t>Business Alignment (1.2, 1.3)</t>
        </is>
      </c>
      <c r="E32" s="62" t="inlineStr">
        <is>
          <t>☆ Recommended</t>
        </is>
      </c>
      <c r="F32" s="62" t="inlineStr">
        <is>
          <t>Human, Social &amp; Environmental Wellbeing</t>
        </is>
      </c>
      <c r="G32" s="62" t="inlineStr">
        <is>
          <t>GL-6, GL-5</t>
        </is>
      </c>
      <c r="H32" s="62" t="inlineStr">
        <is>
          <t>ISO/IEC 42001 6.2; NIST AI RMF Map 3</t>
        </is>
      </c>
    </row>
    <row r="33" ht="30" customHeight="1">
      <c r="B33" s="62" t="inlineStr">
        <is>
          <t>Q7</t>
        </is>
      </c>
      <c r="C33" s="62" t="inlineStr">
        <is>
          <t>AI policy, acceptable use &amp; regulatory compliance</t>
        </is>
      </c>
      <c r="D33" s="62" t="inlineStr">
        <is>
          <t>Governance &amp; Ethics (2.1, 2.2)</t>
        </is>
      </c>
      <c r="E33" s="62" t="inlineStr">
        <is>
          <t>⟳ Compliance Obligation</t>
        </is>
      </c>
      <c r="F33" s="62" t="inlineStr">
        <is>
          <t>Accountability, Privacy &amp; Security</t>
        </is>
      </c>
      <c r="G33" s="62" t="inlineStr">
        <is>
          <t>GL-5, RO-1, RO-5</t>
        </is>
      </c>
      <c r="H33" s="62" t="inlineStr">
        <is>
          <t>ISO/IEC 42001 A.2; EU AI Act Art. 5; Bahrain PDPL; CBB</t>
        </is>
      </c>
    </row>
    <row r="34" ht="30" customHeight="1">
      <c r="B34" s="62" t="inlineStr">
        <is>
          <t>Q8</t>
        </is>
      </c>
      <c r="C34" s="62" t="inlineStr">
        <is>
          <t>AI inventory &amp; risk / impact assessment</t>
        </is>
      </c>
      <c r="D34" s="62" t="inlineStr">
        <is>
          <t>Governance &amp; Ethics (2.4, 2.5)</t>
        </is>
      </c>
      <c r="E34" s="62" t="inlineStr">
        <is>
          <t>⚠ Mandatory Requirement</t>
        </is>
      </c>
      <c r="F34" s="62" t="inlineStr">
        <is>
          <t>Accountability, Human, Social &amp; Environmental Wellbeing</t>
        </is>
      </c>
      <c r="G34" s="62" t="inlineStr">
        <is>
          <t>GL-8, RM-2, RM-5, TP-2</t>
        </is>
      </c>
      <c r="H34" s="62" t="inlineStr">
        <is>
          <t>ISO/IEC 42001 6.1, A.4, A.5; ISO/IEC 42005; EU AI Act Art. 9, 27</t>
        </is>
      </c>
    </row>
    <row r="35" ht="30" customHeight="1">
      <c r="B35" s="62" t="inlineStr">
        <is>
          <t>Q9</t>
        </is>
      </c>
      <c r="C35" s="62" t="inlineStr">
        <is>
          <t>Responsible-AI guardrails &amp; human oversight</t>
        </is>
      </c>
      <c r="D35" s="62" t="inlineStr">
        <is>
          <t>Governance &amp; Ethics (2.3, 5.2)</t>
        </is>
      </c>
      <c r="E35" s="62" t="inlineStr">
        <is>
          <t>⚖ Ethical Consideration</t>
        </is>
      </c>
      <c r="F35" s="62" t="inlineStr">
        <is>
          <t>Fairness, Transparency &amp; Explainability, Human-Centred Values, Contestability</t>
        </is>
      </c>
      <c r="G35" s="62" t="inlineStr">
        <is>
          <t>GL-7, RS-1, RS-4, RS-5, CO-1, CO-3</t>
        </is>
      </c>
      <c r="H35" s="62" t="inlineStr">
        <is>
          <t>EU AI Act Art. 14, 50, 86; GCC AI Ethics Manual</t>
        </is>
      </c>
    </row>
    <row r="36" ht="30" customHeight="1">
      <c r="B36" s="62" t="inlineStr">
        <is>
          <t>Q10</t>
        </is>
      </c>
      <c r="C36" s="62" t="inlineStr">
        <is>
          <t>AI literacy &amp; capability</t>
        </is>
      </c>
      <c r="D36" s="62" t="inlineStr">
        <is>
          <t>Training &amp; Development (3.1, 3.2, 3.3, 3.4)</t>
        </is>
      </c>
      <c r="E36" s="62" t="inlineStr">
        <is>
          <t>⟳ Compliance Obligation</t>
        </is>
      </c>
      <c r="F36" s="62" t="inlineStr">
        <is>
          <t>Human-Centred Values</t>
        </is>
      </c>
      <c r="G36" s="62" t="inlineStr">
        <is>
          <t>GL-4, RS-9</t>
        </is>
      </c>
      <c r="H36" s="62" t="inlineStr">
        <is>
          <t>EU AI Act Art. 4; ISO/IEC 42001 7.2</t>
        </is>
      </c>
    </row>
    <row r="37" ht="30" customHeight="1">
      <c r="B37" s="62" t="inlineStr">
        <is>
          <t>Q11</t>
        </is>
      </c>
      <c r="C37" s="62" t="inlineStr">
        <is>
          <t>Data governance, quality &amp; privacy for AI</t>
        </is>
      </c>
      <c r="D37" s="62" t="inlineStr">
        <is>
          <t>Data &amp; Quality (5.1, 5.3, 5.4, 5.5)</t>
        </is>
      </c>
      <c r="E37" s="62" t="inlineStr">
        <is>
          <t>⟳ Compliance Obligation</t>
        </is>
      </c>
      <c r="F37" s="62" t="inlineStr">
        <is>
          <t>Privacy &amp; Security, Fairness</t>
        </is>
      </c>
      <c r="G37" s="62" t="inlineStr">
        <is>
          <t>LC-1, SE-4, PR-1, PR-4, PR-5, PR-6</t>
        </is>
      </c>
      <c r="H37" s="62" t="inlineStr">
        <is>
          <t>EU AI Act Art. 10; Bahrain PDPL; ISO/IEC 5259</t>
        </is>
      </c>
    </row>
    <row r="38" ht="30" customHeight="1">
      <c r="B38" s="62" t="inlineStr">
        <is>
          <t>Q12</t>
        </is>
      </c>
      <c r="C38" s="62" t="inlineStr">
        <is>
          <t>AI architecture, integration &amp; monitoring</t>
        </is>
      </c>
      <c r="D38" s="62" t="inlineStr">
        <is>
          <t>Architecture &amp; Technology (4.1, 4.2, 4.3, 4.4, 4.5)</t>
        </is>
      </c>
      <c r="E38" s="62" t="inlineStr">
        <is>
          <t>☆ Recommended</t>
        </is>
      </c>
      <c r="F38" s="62" t="inlineStr">
        <is>
          <t>Reliability &amp; Safety</t>
        </is>
      </c>
      <c r="G38" s="62" t="inlineStr">
        <is>
          <t>LC-2, LC-3, LC-8, LC-12, OM-1, OM-4, RM-6</t>
        </is>
      </c>
      <c r="H38" s="62" t="inlineStr">
        <is>
          <t>ISO/IEC 42001 A.6; NIST AI RMF Measure 2</t>
        </is>
      </c>
    </row>
    <row r="39" ht="30" customHeight="1">
      <c r="B39" s="62" t="inlineStr">
        <is>
          <t>Q13</t>
        </is>
      </c>
      <c r="C39" s="62" t="inlineStr">
        <is>
          <t>Securing AI systems</t>
        </is>
      </c>
      <c r="D39" s="62" t="inlineStr">
        <is>
          <t>Protect AI Systems (6.1, 6.2, 6.3, 6.4, 6.5)</t>
        </is>
      </c>
      <c r="E39" s="62" t="inlineStr">
        <is>
          <t>⚠ Mandatory Requirement</t>
        </is>
      </c>
      <c r="F39" s="62" t="inlineStr">
        <is>
          <t>Privacy &amp; Security, Reliability &amp; Safety</t>
        </is>
      </c>
      <c r="G39" s="62" t="inlineStr">
        <is>
          <t>SE-2, SE-3, SE-6 to SE-10, OM-2, AA-3</t>
        </is>
      </c>
      <c r="H39" s="62" t="inlineStr">
        <is>
          <t>OWASP LLM Top 10; MITRE ATLAS; EU AI Act Art. 15</t>
        </is>
      </c>
    </row>
    <row r="40" ht="30" customHeight="1">
      <c r="B40" s="62" t="inlineStr">
        <is>
          <t>Q14</t>
        </is>
      </c>
      <c r="C40" s="62" t="inlineStr">
        <is>
          <t>Defending against AI-enabled threats</t>
        </is>
      </c>
      <c r="D40" s="62" t="inlineStr">
        <is>
          <t>Protection from AI Threats (7.1, 7.2, 7.3, 7.4, 7.5)</t>
        </is>
      </c>
      <c r="E40" s="62" t="inlineStr">
        <is>
          <t>☆ Recommended</t>
        </is>
      </c>
      <c r="F40" s="62" t="inlineStr">
        <is>
          <t>Privacy &amp; Security</t>
        </is>
      </c>
      <c r="G40" s="62" t="inlineStr">
        <is>
          <t>AT-1, AT-2, AT-3, AT-4</t>
        </is>
      </c>
      <c r="H40" s="62" t="inlineStr">
        <is>
          <t>MITRE ATLAS; FinCEN deepfake alert</t>
        </is>
      </c>
    </row>
    <row r="41" ht="30" customHeight="1">
      <c r="B41" s="62" t="inlineStr">
        <is>
          <t>Q15</t>
        </is>
      </c>
      <c r="C41" s="62" t="inlineStr">
        <is>
          <t>AI incidents, monitoring &amp; assurance</t>
        </is>
      </c>
      <c r="D41" s="62" t="inlineStr">
        <is>
          <t>Governance &amp; Ethics (2.2, 7.4)</t>
        </is>
      </c>
      <c r="E41" s="62" t="inlineStr">
        <is>
          <t>⟳ Compliance Obligation</t>
        </is>
      </c>
      <c r="F41" s="62" t="inlineStr">
        <is>
          <t>Accountability, Reliability &amp; Safety, Contestability, Transparency &amp; Explainability</t>
        </is>
      </c>
      <c r="G41" s="62" t="inlineStr">
        <is>
          <t>IM-1, IM-2, IM-3, AA-1, AA-2, RO-4</t>
        </is>
      </c>
      <c r="H41" s="62" t="inlineStr">
        <is>
          <t>EU AI Act Art. 72-73; ISO/IEC 42001 9-10</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AI strategy or executive owner; AI adoption is unplanned</t>
        </is>
      </c>
      <c r="C22" t="n">
        <v>0</v>
      </c>
      <c r="D22" t="inlineStr">
        <is>
          <t>Not met</t>
        </is>
      </c>
      <c r="E22" t="inlineStr">
        <is>
          <t>Appoint an executive AI sponsor and commission an AI strategy (situational / SWOT analysis, ambition, priority domains, risk appetite).</t>
        </is>
      </c>
      <c r="F22" t="inlineStr">
        <is>
          <t>Level 0 - Not in place</t>
        </is>
      </c>
    </row>
    <row r="23">
      <c r="A23" t="inlineStr">
        <is>
          <t>Q5</t>
        </is>
      </c>
      <c r="B23" t="inlineStr">
        <is>
          <t>Informal interest from leadership; no documented strategy or risk appetite</t>
        </is>
      </c>
      <c r="C23" t="n">
        <v>0.25</v>
      </c>
      <c r="D23" t="inlineStr">
        <is>
          <t>Minimal</t>
        </is>
      </c>
      <c r="E23" t="inlineStr">
        <is>
          <t>Formalise leadership intent into a documented AI strategy approved by the executive committee, with a board-approved AI risk appetite.</t>
        </is>
      </c>
      <c r="F23" t="inlineStr">
        <is>
          <t>Level 1 - Initial / ad hoc</t>
        </is>
      </c>
    </row>
    <row r="24">
      <c r="A24" t="inlineStr">
        <is>
          <t>Q5</t>
        </is>
      </c>
      <c r="B24" t="inlineStr">
        <is>
          <t>Executive sponsor named and AI strategy drafted or approved, but risk appetite and experimentation boundaries not defined</t>
        </is>
      </c>
      <c r="C24" t="n">
        <v>0.5</v>
      </c>
      <c r="D24" t="inlineStr">
        <is>
          <t>Partially met</t>
        </is>
      </c>
      <c r="E24" t="inlineStr">
        <is>
          <t>Define AI risk appetite, tolerances and approved experimentation ('sandbox') boundaries; communicate them organisation-wide.</t>
        </is>
      </c>
      <c r="F24" t="inlineStr">
        <is>
          <t>Level 2 - Defined</t>
        </is>
      </c>
    </row>
    <row r="25">
      <c r="A25" t="inlineStr">
        <is>
          <t>Q5</t>
        </is>
      </c>
      <c r="B25" t="inlineStr">
        <is>
          <t>Approved AI strategy with executive ownership, defined risk appetite and experimentation boundaries communicated to staff</t>
        </is>
      </c>
      <c r="C25" t="n">
        <v>0.75</v>
      </c>
      <c r="D25" t="inlineStr">
        <is>
          <t>Largely met</t>
        </is>
      </c>
      <c r="E25" t="inlineStr">
        <is>
          <t>Link the strategy to measurable KPIs / KRIs and introduce an annual board-level review of AI strategy and risk appetite.</t>
        </is>
      </c>
      <c r="F25" t="inlineStr">
        <is>
          <t>Level 3 - Implemented</t>
        </is>
      </c>
    </row>
    <row r="26">
      <c r="A26" t="inlineStr">
        <is>
          <t>Q5</t>
        </is>
      </c>
      <c r="B26" t="inlineStr">
        <is>
          <t>Strategy and appetite reviewed at least annually by board / executive, linked to business strategy and tracked through KPIs and KRIs</t>
        </is>
      </c>
      <c r="C26" t="n">
        <v>1</v>
      </c>
      <c r="D26" t="inlineStr">
        <is>
          <t>Fully met</t>
        </is>
      </c>
      <c r="E26" t="inlineStr">
        <is>
          <t>Sustain: benchmark annually against peers and refresh strategy as AI capabilities and regulation evolve.</t>
        </is>
      </c>
      <c r="F26" t="inlineStr">
        <is>
          <t>Level 4 - Optimised</t>
        </is>
      </c>
    </row>
    <row r="27">
      <c r="A27" t="inlineStr">
        <is>
          <t>Q6</t>
        </is>
      </c>
      <c r="B27" t="inlineStr">
        <is>
          <t>No process - AI initiatives start ad hoc and value is not tracked</t>
        </is>
      </c>
      <c r="C27" t="n">
        <v>0</v>
      </c>
      <c r="D27" t="inlineStr">
        <is>
          <t>Not met</t>
        </is>
      </c>
      <c r="E27" t="inlineStr">
        <is>
          <t>Create an AI use-case intake and approval process; build an initial prioritised backlog.</t>
        </is>
      </c>
      <c r="F27" t="inlineStr">
        <is>
          <t>Level 0 - Not in place</t>
        </is>
      </c>
    </row>
    <row r="28">
      <c r="A28" t="inlineStr">
        <is>
          <t>Q6</t>
        </is>
      </c>
      <c r="B28" t="inlineStr">
        <is>
          <t>Some use cases discussed informally; business cases are rare</t>
        </is>
      </c>
      <c r="C28" t="n">
        <v>0.25</v>
      </c>
      <c r="D28" t="inlineStr">
        <is>
          <t>Minimal</t>
        </is>
      </c>
      <c r="E28" t="inlineStr">
        <is>
          <t>Introduce a standard business-case template with value, feasibility, data-readiness and risk scoring.</t>
        </is>
      </c>
      <c r="F28" t="inlineStr">
        <is>
          <t>Level 1 - Initial / ad hoc</t>
        </is>
      </c>
    </row>
    <row r="29">
      <c r="A29" t="inlineStr">
        <is>
          <t>Q6</t>
        </is>
      </c>
      <c r="B29" t="inlineStr">
        <is>
          <t>Use-case intake exists and initiatives are prioritised, but benefits are not systematically tracked</t>
        </is>
      </c>
      <c r="C29" t="n">
        <v>0.5</v>
      </c>
      <c r="D29" t="inlineStr">
        <is>
          <t>Partially met</t>
        </is>
      </c>
      <c r="E29" t="inlineStr">
        <is>
          <t>Define benefit KPIs (financial and non-financial) at approval and assign benefit owners.</t>
        </is>
      </c>
      <c r="F29" t="inlineStr">
        <is>
          <t>Level 2 - Defined</t>
        </is>
      </c>
    </row>
    <row r="30">
      <c r="A30" t="inlineStr">
        <is>
          <t>Q6</t>
        </is>
      </c>
      <c r="B30" t="inlineStr">
        <is>
          <t>Structured intake and prioritisation by value, feasibility, data readiness and risk; KPIs tracked for major initiatives</t>
        </is>
      </c>
      <c r="C30" t="n">
        <v>0.75</v>
      </c>
      <c r="D30" t="inlineStr">
        <is>
          <t>Largely met</t>
        </is>
      </c>
      <c r="E30" t="inlineStr">
        <is>
          <t>Run quarterly portfolio reviews with continue / pivot / stop decisions; convert discovered shadow AI into governed use cases.</t>
        </is>
      </c>
      <c r="F30" t="inlineStr">
        <is>
          <t>Level 3 - Implemented</t>
        </is>
      </c>
    </row>
    <row r="31">
      <c r="A31" t="inlineStr">
        <is>
          <t>Q6</t>
        </is>
      </c>
      <c r="B31" t="inlineStr">
        <is>
          <t>Portfolio managed as a whole with quarterly value / risk reviews, stop-or-scale decisions, and shadow-AI demand routed into the governed pipeline</t>
        </is>
      </c>
      <c r="C31" t="n">
        <v>1</v>
      </c>
      <c r="D31" t="inlineStr">
        <is>
          <t>Fully met</t>
        </is>
      </c>
      <c r="E31" t="inlineStr">
        <is>
          <t>Sustain: publish realised value to leadership and reinvest in proven use cases.</t>
        </is>
      </c>
      <c r="F31" t="inlineStr">
        <is>
          <t>Level 4 - Optimised</t>
        </is>
      </c>
    </row>
    <row r="32">
      <c r="A32" t="inlineStr">
        <is>
          <t>Q7</t>
        </is>
      </c>
      <c r="B32" t="inlineStr">
        <is>
          <t>No AI policy; applicable AI regulations have not been identified</t>
        </is>
      </c>
      <c r="C32" t="n">
        <v>0</v>
      </c>
      <c r="D32" t="inlineStr">
        <is>
          <t>Not met</t>
        </is>
      </c>
      <c r="E32" t="inlineStr">
        <is>
          <t>Issue an interim AI acceptable-use policy immediately (approved tools, prohibited data, output verification) and identify applicable regulations.</t>
        </is>
      </c>
      <c r="F32" t="inlineStr">
        <is>
          <t>Level 0 - Not in place</t>
        </is>
      </c>
    </row>
    <row r="33">
      <c r="A33" t="inlineStr">
        <is>
          <t>Q7</t>
        </is>
      </c>
      <c r="B33" t="inlineStr">
        <is>
          <t>Informal guidance only (e.g., emails); obligations understood by a few individuals</t>
        </is>
      </c>
      <c r="C33" t="n">
        <v>0.25</v>
      </c>
      <c r="D33" t="inlineStr">
        <is>
          <t>Minimal</t>
        </is>
      </c>
      <c r="E33" t="inlineStr">
        <is>
          <t>Approve a formal AI policy; build an AI obligations register covering Bahrain PDPL, sector rules (e.g., CBB) and extraterritorial regimes (EU AI Act).</t>
        </is>
      </c>
      <c r="F33" t="inlineStr">
        <is>
          <t>Level 1 - Initial / ad hoc</t>
        </is>
      </c>
    </row>
    <row r="34">
      <c r="A34" t="inlineStr">
        <is>
          <t>Q7</t>
        </is>
      </c>
      <c r="B34" t="inlineStr">
        <is>
          <t>AI acceptable-use policy approved; regulatory obligations identified but not mapped to controls</t>
        </is>
      </c>
      <c r="C34" t="n">
        <v>0.5</v>
      </c>
      <c r="D34" t="inlineStr">
        <is>
          <t>Partially met</t>
        </is>
      </c>
      <c r="E34" t="inlineStr">
        <is>
          <t>Map each obligation to controls and owners using the GT AI RCM; require annual staff acknowledgement.</t>
        </is>
      </c>
      <c r="F34" t="inlineStr">
        <is>
          <t>Level 2 - Defined</t>
        </is>
      </c>
    </row>
    <row r="35">
      <c r="A35" t="inlineStr">
        <is>
          <t>Q7</t>
        </is>
      </c>
      <c r="B35" t="inlineStr">
        <is>
          <t>AI policy enforced with staff acknowledgement; obligations register maps regulations to controls and owners</t>
        </is>
      </c>
      <c r="C35" t="n">
        <v>0.75</v>
      </c>
      <c r="D35" t="inlineStr">
        <is>
          <t>Largely met</t>
        </is>
      </c>
      <c r="E35" t="inlineStr">
        <is>
          <t>Establish monthly regulatory horizon scanning and periodic compliance testing with evidence retention.</t>
        </is>
      </c>
      <c r="F35" t="inlineStr">
        <is>
          <t>Level 3 - Implemented</t>
        </is>
      </c>
    </row>
    <row r="36">
      <c r="A36" t="inlineStr">
        <is>
          <t>Q7</t>
        </is>
      </c>
      <c r="B36" t="inlineStr">
        <is>
          <t>Policy and obligations register reviewed regularly with horizon scanning; compliance tested and audit-ready evidence maintained</t>
        </is>
      </c>
      <c r="C36" t="n">
        <v>1</v>
      </c>
      <c r="D36" t="inlineStr">
        <is>
          <t>Fully met</t>
        </is>
      </c>
      <c r="E36" t="inlineStr">
        <is>
          <t>Sustain: keep audit-ready evidence packs and consider ISO/IEC 42001 certification.</t>
        </is>
      </c>
      <c r="F36" t="inlineStr">
        <is>
          <t>Level 4 - Optimised</t>
        </is>
      </c>
    </row>
    <row r="37">
      <c r="A37" t="inlineStr">
        <is>
          <t>Q8</t>
        </is>
      </c>
      <c r="B37" t="inlineStr">
        <is>
          <t>No inventory; AI risks are not assessed</t>
        </is>
      </c>
      <c r="C37" t="n">
        <v>0</v>
      </c>
      <c r="D37" t="inlineStr">
        <is>
          <t>Not met</t>
        </is>
      </c>
      <c r="E37" t="inlineStr">
        <is>
          <t>Build an AI register (discover all AI incl. embedded and shadow AI) and assign business and technical owners.</t>
        </is>
      </c>
      <c r="F37" t="inlineStr">
        <is>
          <t>Level 0 - Not in place</t>
        </is>
      </c>
    </row>
    <row r="38">
      <c r="A38" t="inlineStr">
        <is>
          <t>Q8</t>
        </is>
      </c>
      <c r="B38" t="inlineStr">
        <is>
          <t>Partial list of AI tools; risks assessed occasionally through general IT or vendor processes</t>
        </is>
      </c>
      <c r="C38" t="n">
        <v>0.25</v>
      </c>
      <c r="D38" t="inlineStr">
        <is>
          <t>Minimal</t>
        </is>
      </c>
      <c r="E38" t="inlineStr">
        <is>
          <t>Adopt the GT AI Risk Assessment Framework: prohibited-practice screening and inherent-risk tiering for every AI use case.</t>
        </is>
      </c>
      <c r="F38" t="inlineStr">
        <is>
          <t>Level 1 - Initial / ad hoc</t>
        </is>
      </c>
    </row>
    <row r="39">
      <c r="A39" t="inlineStr">
        <is>
          <t>Q8</t>
        </is>
      </c>
      <c r="B39" t="inlineStr">
        <is>
          <t>AI register with owners; risk assessments performed for some AI systems using a documented method</t>
        </is>
      </c>
      <c r="C39" t="n">
        <v>0.5</v>
      </c>
      <c r="D39" t="inlineStr">
        <is>
          <t>Partially met</t>
        </is>
      </c>
      <c r="E39" t="inlineStr">
        <is>
          <t>Extend assessments to all AI systems and third-party AI; set approval authority by risk tier.</t>
        </is>
      </c>
      <c r="F39" t="inlineStr">
        <is>
          <t>Level 2 - Defined</t>
        </is>
      </c>
    </row>
    <row r="40">
      <c r="A40" t="inlineStr">
        <is>
          <t>Q8</t>
        </is>
      </c>
      <c r="B40" t="inlineStr">
        <is>
          <t>Complete AI register; all AI use cases risk-tiered and assessed (incl. third-party AI) with approvals proportionate to risk</t>
        </is>
      </c>
      <c r="C40" t="n">
        <v>0.75</v>
      </c>
      <c r="D40" t="inlineStr">
        <is>
          <t>Largely met</t>
        </is>
      </c>
      <c r="E40" t="inlineStr">
        <is>
          <t>Introduce ISO/IEC 42005-style impact assessments for High / Critical tiers and quarterly register reconciliation.</t>
        </is>
      </c>
      <c r="F40" t="inlineStr">
        <is>
          <t>Level 3 - Implemented</t>
        </is>
      </c>
    </row>
    <row r="41">
      <c r="A41" t="inlineStr">
        <is>
          <t>Q8</t>
        </is>
      </c>
      <c r="B41" t="inlineStr">
        <is>
          <t>Register reconciled quarterly; impact assessments (ISO/IEC 42005 / FRIA) for high-risk uses; re-assessment on change with KRIs monitored</t>
        </is>
      </c>
      <c r="C41" t="n">
        <v>1</v>
      </c>
      <c r="D41" t="inlineStr">
        <is>
          <t>Fully met</t>
        </is>
      </c>
      <c r="E41" t="inlineStr">
        <is>
          <t>Sustain: automate KRI monitoring and trigger-based re-assessment.</t>
        </is>
      </c>
      <c r="F41" t="inlineStr">
        <is>
          <t>Level 4 - Optimised</t>
        </is>
      </c>
    </row>
    <row r="42">
      <c r="A42" t="inlineStr">
        <is>
          <t>Q9</t>
        </is>
      </c>
      <c r="B42" t="inlineStr">
        <is>
          <t>No responsible-AI guardrails or oversight body</t>
        </is>
      </c>
      <c r="C42" t="n">
        <v>0</v>
      </c>
      <c r="D42" t="inlineStr">
        <is>
          <t>Not met</t>
        </is>
      </c>
      <c r="E42" t="inlineStr">
        <is>
          <t>Establish an AI committee / centre of excellence with a charter and decision rights.</t>
        </is>
      </c>
      <c r="F42" t="inlineStr">
        <is>
          <t>Level 0 - Not in place</t>
        </is>
      </c>
    </row>
    <row r="43">
      <c r="A43" t="inlineStr">
        <is>
          <t>Q9</t>
        </is>
      </c>
      <c r="B43" t="inlineStr">
        <is>
          <t>High-level ethical principles published but not operationalised</t>
        </is>
      </c>
      <c r="C43" t="n">
        <v>0.25</v>
      </c>
      <c r="D43" t="inlineStr">
        <is>
          <t>Minimal</t>
        </is>
      </c>
      <c r="E43" t="inlineStr">
        <is>
          <t>Translate ethical principles (GCC AI Ethics Manual, OECD) into practical guardrails: permitted uses, disclosure, human review, bias checks.</t>
        </is>
      </c>
      <c r="F43" t="inlineStr">
        <is>
          <t>Level 1 - Initial / ad hoc</t>
        </is>
      </c>
    </row>
    <row r="44">
      <c r="A44" t="inlineStr">
        <is>
          <t>Q9</t>
        </is>
      </c>
      <c r="B44" t="inlineStr">
        <is>
          <t>AI committee / CoE established; guardrails defined for some areas (e.g., human review of outputs)</t>
        </is>
      </c>
      <c r="C44" t="n">
        <v>0.5</v>
      </c>
      <c r="D44" t="inlineStr">
        <is>
          <t>Partially met</t>
        </is>
      </c>
      <c r="E44" t="inlineStr">
        <is>
          <t>Apply mandatory human-in-charge controls and AI disclosure to all relevant AI; require committee approval for High / Critical uses.</t>
        </is>
      </c>
      <c r="F44" t="inlineStr">
        <is>
          <t>Level 2 - Defined</t>
        </is>
      </c>
    </row>
    <row r="45">
      <c r="A45" t="inlineStr">
        <is>
          <t>Q9</t>
        </is>
      </c>
      <c r="B45" t="inlineStr">
        <is>
          <t>Guardrails for fairness, transparency, disclosure and human-in-charge controls applied to all relevant AI; committee approves high-risk uses</t>
        </is>
      </c>
      <c r="C45" t="n">
        <v>0.75</v>
      </c>
      <c r="D45" t="inlineStr">
        <is>
          <t>Largely met</t>
        </is>
      </c>
      <c r="E45" t="inlineStr">
        <is>
          <t>Test guardrail effectiveness (bias testing, oversight reviews) and provide contest / appeal routes for affected persons.</t>
        </is>
      </c>
      <c r="F45" t="inlineStr">
        <is>
          <t>Level 3 - Implemented</t>
        </is>
      </c>
    </row>
    <row r="46">
      <c r="A46" t="inlineStr">
        <is>
          <t>Q9</t>
        </is>
      </c>
      <c r="B46" t="inlineStr">
        <is>
          <t>Guardrails tested (bias testing, oversight effectiveness); contestability routes for affected persons; lessons fed back into standards</t>
        </is>
      </c>
      <c r="C46" t="n">
        <v>1</v>
      </c>
      <c r="D46" t="inlineStr">
        <is>
          <t>Fully met</t>
        </is>
      </c>
      <c r="E46" t="inlineStr">
        <is>
          <t>Sustain: publish a responsible-AI statement and report guardrail performance to the board.</t>
        </is>
      </c>
      <c r="F46" t="inlineStr">
        <is>
          <t>Level 4 - Optimised</t>
        </is>
      </c>
    </row>
    <row r="47">
      <c r="A47" t="inlineStr">
        <is>
          <t>Q10</t>
        </is>
      </c>
      <c r="B47" t="inlineStr">
        <is>
          <t>No AI training provided</t>
        </is>
      </c>
      <c r="C47" t="n">
        <v>0</v>
      </c>
      <c r="D47" t="inlineStr">
        <is>
          <t>Not met</t>
        </is>
      </c>
      <c r="E47" t="inlineStr">
        <is>
          <t>Launch baseline AI literacy (safe use, limitations, data handling, verification) for all staff.</t>
        </is>
      </c>
      <c r="F47" t="inlineStr">
        <is>
          <t>Level 0 - Not in place</t>
        </is>
      </c>
    </row>
    <row r="48">
      <c r="A48" t="inlineStr">
        <is>
          <t>Q10</t>
        </is>
      </c>
      <c r="B48" t="inlineStr">
        <is>
          <t>Ad hoc awareness sessions or self-learning only</t>
        </is>
      </c>
      <c r="C48" t="n">
        <v>0.25</v>
      </c>
      <c r="D48" t="inlineStr">
        <is>
          <t>Minimal</t>
        </is>
      </c>
      <c r="E48" t="inlineStr">
        <is>
          <t>Make AI literacy mandatory before AI tool access and track completion.</t>
        </is>
      </c>
      <c r="F48" t="inlineStr">
        <is>
          <t>Level 1 - Initial / ad hoc</t>
        </is>
      </c>
    </row>
    <row r="49">
      <c r="A49" t="inlineStr">
        <is>
          <t>Q10</t>
        </is>
      </c>
      <c r="B49" t="inlineStr">
        <is>
          <t>Baseline AI literacy training available to all staff; limited role-based training</t>
        </is>
      </c>
      <c r="C49" t="n">
        <v>0.5</v>
      </c>
      <c r="D49" t="inlineStr">
        <is>
          <t>Partially met</t>
        </is>
      </c>
      <c r="E49" t="inlineStr">
        <is>
          <t>Add role-based pathways (developers, oversight staff, leaders, risk &amp; audit) and hands-on labs.</t>
        </is>
      </c>
      <c r="F49" t="inlineStr">
        <is>
          <t>Level 2 - Defined</t>
        </is>
      </c>
    </row>
    <row r="50">
      <c r="A50" t="inlineStr">
        <is>
          <t>Q10</t>
        </is>
      </c>
      <c r="B50" t="inlineStr">
        <is>
          <t>Mandatory AI literacy before tool access; role-based pathways for developers, oversight staff and leaders; scenario-based security awareness</t>
        </is>
      </c>
      <c r="C50" t="n">
        <v>0.75</v>
      </c>
      <c r="D50" t="inlineStr">
        <is>
          <t>Largely met</t>
        </is>
      </c>
      <c r="E50" t="inlineStr">
        <is>
          <t>Measure competence, refresh annually, and build an AI champions network and workforce plan.</t>
        </is>
      </c>
      <c r="F50" t="inlineStr">
        <is>
          <t>Level 3 - Implemented</t>
        </is>
      </c>
    </row>
    <row r="51">
      <c r="A51" t="inlineStr">
        <is>
          <t>Q10</t>
        </is>
      </c>
      <c r="B51" t="inlineStr">
        <is>
          <t>Competence measured and refreshed annually; workforce plan addresses future AI skills and job redesign; active AI champions network</t>
        </is>
      </c>
      <c r="C51" t="n">
        <v>1</v>
      </c>
      <c r="D51" t="inlineStr">
        <is>
          <t>Fully met</t>
        </is>
      </c>
      <c r="E51" t="inlineStr">
        <is>
          <t>Sustain: integrate AI capability into performance frameworks and succession planning.</t>
        </is>
      </c>
      <c r="F51" t="inlineStr">
        <is>
          <t>Level 4 - Optimised</t>
        </is>
      </c>
    </row>
    <row r="52">
      <c r="A52" t="inlineStr">
        <is>
          <t>Q11</t>
        </is>
      </c>
      <c r="B52" t="inlineStr">
        <is>
          <t>Data used by AI is not classified or controlled; privacy requirements not considered</t>
        </is>
      </c>
      <c r="C52" t="n">
        <v>0</v>
      </c>
      <c r="D52" t="inlineStr">
        <is>
          <t>Not met</t>
        </is>
      </c>
      <c r="E52" t="inlineStr">
        <is>
          <t>Prohibit confidential / personal data in unapproved AI tools and apply data classification to AI use immediately.</t>
        </is>
      </c>
      <c r="F52" t="inlineStr">
        <is>
          <t>Level 0 - Not in place</t>
        </is>
      </c>
    </row>
    <row r="53">
      <c r="A53" t="inlineStr">
        <is>
          <t>Q11</t>
        </is>
      </c>
      <c r="B53" t="inlineStr">
        <is>
          <t>Data classification policy exists but is not applied to AI; privacy reviewed case by case</t>
        </is>
      </c>
      <c r="C53" t="n">
        <v>0.25</v>
      </c>
      <c r="D53" t="inlineStr">
        <is>
          <t>Minimal</t>
        </is>
      </c>
      <c r="E53" t="inlineStr">
        <is>
          <t>Embed DPIAs for AI processing personal data and enforce classification-based handling rules (DLP).</t>
        </is>
      </c>
      <c r="F53" t="inlineStr">
        <is>
          <t>Level 1 - Initial / ad hoc</t>
        </is>
      </c>
    </row>
    <row r="54">
      <c r="A54" t="inlineStr">
        <is>
          <t>Q11</t>
        </is>
      </c>
      <c r="B54" t="inlineStr">
        <is>
          <t>Classification and handling rules apply to AI; DPIAs performed for some AI using personal data</t>
        </is>
      </c>
      <c r="C54" t="n">
        <v>0.5</v>
      </c>
      <c r="D54" t="inlineStr">
        <is>
          <t>Partially met</t>
        </is>
      </c>
      <c r="E54" t="inlineStr">
        <is>
          <t>Require data-readiness assessments before approving use cases; implement minimisation, anonymisation and prompt redaction.</t>
        </is>
      </c>
      <c r="F54" t="inlineStr">
        <is>
          <t>Level 2 - Defined</t>
        </is>
      </c>
    </row>
    <row r="55">
      <c r="A55" t="inlineStr">
        <is>
          <t>Q11</t>
        </is>
      </c>
      <c r="B55" t="inlineStr">
        <is>
          <t>Data readiness assessed before approval; lineage and quality monitored; minimisation, anonymisation and prompt redaction applied; DPIAs standard</t>
        </is>
      </c>
      <c r="C55" t="n">
        <v>0.75</v>
      </c>
      <c r="D55" t="inlineStr">
        <is>
          <t>Largely met</t>
        </is>
      </c>
      <c r="E55" t="inlineStr">
        <is>
          <t>Automate data-quality and lineage monitoring; operationalise data-subject rights and transfer assessments for AI.</t>
        </is>
      </c>
      <c r="F55" t="inlineStr">
        <is>
          <t>Level 3 - Implemented</t>
        </is>
      </c>
    </row>
    <row r="56">
      <c r="A56" t="inlineStr">
        <is>
          <t>Q11</t>
        </is>
      </c>
      <c r="B56" t="inlineStr">
        <is>
          <t>Automated quality, lineage and privacy controls across AI pipelines; data-subject rights and cross-border transfers handled for AI systems</t>
        </is>
      </c>
      <c r="C56" t="n">
        <v>1</v>
      </c>
      <c r="D56" t="inlineStr">
        <is>
          <t>Fully met</t>
        </is>
      </c>
      <c r="E56" t="inlineStr">
        <is>
          <t>Sustain: continuous data-quality KPIs and periodic privacy audits of AI systems.</t>
        </is>
      </c>
      <c r="F56" t="inlineStr">
        <is>
          <t>Level 4 - Optimised</t>
        </is>
      </c>
    </row>
    <row r="57">
      <c r="A57" t="inlineStr">
        <is>
          <t>Q12</t>
        </is>
      </c>
      <c r="B57" t="inlineStr">
        <is>
          <t>No architectural standards; AI solutions built or bought in isolation</t>
        </is>
      </c>
      <c r="C57" t="n">
        <v>0</v>
      </c>
      <c r="D57" t="inlineStr">
        <is>
          <t>Not met</t>
        </is>
      </c>
      <c r="E57" t="inlineStr">
        <is>
          <t>Define approved AI platforms and a minimum architecture standard (identity, data, logging) for all AI solutions.</t>
        </is>
      </c>
      <c r="F57" t="inlineStr">
        <is>
          <t>Level 0 - Not in place</t>
        </is>
      </c>
    </row>
    <row r="58">
      <c r="A58" t="inlineStr">
        <is>
          <t>Q12</t>
        </is>
      </c>
      <c r="B58" t="inlineStr">
        <is>
          <t>Some technical guidance exists; monitoring limited to availability</t>
        </is>
      </c>
      <c r="C58" t="n">
        <v>0.25</v>
      </c>
      <c r="D58" t="inlineStr">
        <is>
          <t>Minimal</t>
        </is>
      </c>
      <c r="E58" t="inlineStr">
        <is>
          <t>Develop an enterprise AI reference architecture covering data, models, agents, integration and security.</t>
        </is>
      </c>
      <c r="F58" t="inlineStr">
        <is>
          <t>Level 1 - Initial / ad hoc</t>
        </is>
      </c>
    </row>
    <row r="59">
      <c r="A59" t="inlineStr">
        <is>
          <t>Q12</t>
        </is>
      </c>
      <c r="B59" t="inlineStr">
        <is>
          <t>Reference architecture drafted; approved platforms and integration patterns for most AI; basic performance monitoring</t>
        </is>
      </c>
      <c r="C59" t="n">
        <v>0.5</v>
      </c>
      <c r="D59" t="inlineStr">
        <is>
          <t>Partially met</t>
        </is>
      </c>
      <c r="E59" t="inlineStr">
        <is>
          <t>Centralise API / access control for AI, define agent execution authority and implement drift / performance monitoring with thresholds.</t>
        </is>
      </c>
      <c r="F59" t="inlineStr">
        <is>
          <t>Level 2 - Defined</t>
        </is>
      </c>
    </row>
    <row r="60">
      <c r="A60" t="inlineStr">
        <is>
          <t>Q12</t>
        </is>
      </c>
      <c r="B60" t="inlineStr">
        <is>
          <t>Reference architecture adopted (data, models, agents, security); agent actions via a policy-enforcement gateway; performance, drift and bias monitored with thresholds; kill switches; cost governed</t>
        </is>
      </c>
      <c r="C60" t="n">
        <v>0.75</v>
      </c>
      <c r="D60" t="inlineStr">
        <is>
          <t>Largely met</t>
        </is>
      </c>
      <c r="E60" t="inlineStr">
        <is>
          <t>Implement KRI-based observability with automated responses and a governed pathway from citizen development to production.</t>
        </is>
      </c>
      <c r="F60" t="inlineStr">
        <is>
          <t>Level 3 - Implemented</t>
        </is>
      </c>
    </row>
    <row r="61">
      <c r="A61" t="inlineStr">
        <is>
          <t>Q12</t>
        </is>
      </c>
      <c r="B61" t="inlineStr">
        <is>
          <t>Full observability with KRIs and automated responses; governed path from citizen-developed AI to production; platform and vendor dependencies actively managed</t>
        </is>
      </c>
      <c r="C61" t="n">
        <v>1</v>
      </c>
      <c r="D61" t="inlineStr">
        <is>
          <t>Fully met</t>
        </is>
      </c>
      <c r="E61" t="inlineStr">
        <is>
          <t>Sustain: review architecture annually against emerging AI capabilities and vendor landscape.</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incident process or assurance</t>
        </is>
      </c>
      <c r="C72" t="n">
        <v>0</v>
      </c>
      <c r="D72" t="inlineStr">
        <is>
          <t>Not met</t>
        </is>
      </c>
      <c r="E72" t="inlineStr">
        <is>
          <t>Define AI incident categories, severity and escalation within the existing incident process.</t>
        </is>
      </c>
      <c r="F72" t="inlineStr">
        <is>
          <t>Level 0 - Not in place</t>
        </is>
      </c>
    </row>
    <row r="73">
      <c r="A73" t="inlineStr">
        <is>
          <t>Q15</t>
        </is>
      </c>
      <c r="B73" t="inlineStr">
        <is>
          <t>AI issues handled through general IT incident processes; no AI-specific assurance</t>
        </is>
      </c>
      <c r="C73" t="n">
        <v>0.25</v>
      </c>
      <c r="D73" t="inlineStr">
        <is>
          <t>Minimal</t>
        </is>
      </c>
      <c r="E73" t="inlineStr">
        <is>
          <t>Add regulatory notification criteria (PDPL, CBB, EU AI Act Art. 73 where applicable) and AI incident logging.</t>
        </is>
      </c>
      <c r="F73" t="inlineStr">
        <is>
          <t>Level 1 - Initial / ad hoc</t>
        </is>
      </c>
    </row>
    <row r="74">
      <c r="A74" t="inlineStr">
        <is>
          <t>Q15</t>
        </is>
      </c>
      <c r="B74" t="inlineStr">
        <is>
          <t>AI incident categories and escalation defined; ad hoc reviews of AI controls</t>
        </is>
      </c>
      <c r="C74" t="n">
        <v>0.5</v>
      </c>
      <c r="D74" t="inlineStr">
        <is>
          <t>Partially met</t>
        </is>
      </c>
      <c r="E74" t="inlineStr">
        <is>
          <t>Include AI governance in the internal-audit plan and obtain assurance evidence from AI vendors.</t>
        </is>
      </c>
      <c r="F74" t="inlineStr">
        <is>
          <t>Level 2 - Defined</t>
        </is>
      </c>
    </row>
    <row r="75">
      <c r="A75" t="inlineStr">
        <is>
          <t>Q15</t>
        </is>
      </c>
      <c r="B75" t="inlineStr">
        <is>
          <t>AI incident management with regulatory notification criteria; periodic internal audit of AI governance; assurance obtained from AI vendors</t>
        </is>
      </c>
      <c r="C75" t="n">
        <v>0.75</v>
      </c>
      <c r="D75" t="inlineStr">
        <is>
          <t>Largely met</t>
        </is>
      </c>
      <c r="E75" t="inlineStr">
        <is>
          <t>Implement post-incident learning and an ISO/IEC 42001 certification-readiness review.</t>
        </is>
      </c>
      <c r="F75" t="inlineStr">
        <is>
          <t>Level 3 - Implemented</t>
        </is>
      </c>
    </row>
    <row r="76">
      <c r="A76" t="inlineStr">
        <is>
          <t>Q15</t>
        </is>
      </c>
      <c r="B76" t="inlineStr">
        <is>
          <t>Post-incident learning drives improvement; AI management system certified or certification-ready (ISO/IEC 42001); assurance reported to the board</t>
        </is>
      </c>
      <c r="C76" t="n">
        <v>1</v>
      </c>
      <c r="D76" t="inlineStr">
        <is>
          <t>Fully met</t>
        </is>
      </c>
      <c r="E76" t="inlineStr">
        <is>
          <t>Sustain: maintain certification and report AI assurance results to the board annually.</t>
        </is>
      </c>
      <c r="F76"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04"/>
  <sheetViews>
    <sheetView workbookViewId="0">
      <selection activeCell="A1" sqref="A1"/>
    </sheetView>
  </sheetViews>
  <sheetFormatPr baseColWidth="8" defaultRowHeight="15"/>
  <sheetData>
    <row r="1">
      <c r="A1" t="inlineStr">
        <is>
          <t>Per-question calculations</t>
        </is>
      </c>
    </row>
    <row r="2">
      <c r="A2" t="inlineStr">
        <is>
          <t>QID</t>
        </is>
      </c>
      <c r="B2" t="inlineStr">
        <is>
          <t>Topic</t>
        </is>
      </c>
      <c r="C2" t="inlineStr">
        <is>
          <t>Pillar</t>
        </is>
      </c>
      <c r="D2" t="inlineStr">
        <is>
          <t>Answered</t>
        </is>
      </c>
      <c r="E2" t="inlineStr">
        <is>
          <t>Value</t>
        </is>
      </c>
      <c r="F2" t="inlineStr">
        <is>
          <t>Weight/Mult</t>
        </is>
      </c>
      <c r="G2" t="inlineStr">
        <is>
          <t>Gap</t>
        </is>
      </c>
      <c r="H2" t="inlineStr">
        <is>
          <t>Priority</t>
        </is>
      </c>
      <c r="I2" t="inlineStr">
        <is>
          <t>Horizon</t>
        </is>
      </c>
      <c r="J2" t="inlineStr">
        <is>
          <t>Horizon rank</t>
        </is>
      </c>
      <c r="K2" t="inlineStr">
        <is>
          <t>Sort key</t>
        </is>
      </c>
      <c r="L2" t="inlineStr">
        <is>
          <t>Recommendation</t>
        </is>
      </c>
      <c r="M2" t="inlineStr">
        <is>
          <t>RCM</t>
        </is>
      </c>
      <c r="N2" t="inlineStr">
        <is>
          <t>Type</t>
        </is>
      </c>
      <c r="O2" t="inlineStr">
        <is>
          <t>Response</t>
        </is>
      </c>
      <c r="P2" t="inlineStr">
        <is>
          <t>Status</t>
        </is>
      </c>
      <c r="Q2" t="inlineStr">
        <is>
          <t>Risk</t>
        </is>
      </c>
    </row>
    <row r="3">
      <c r="A3" t="inlineStr">
        <is>
          <t>A1</t>
        </is>
      </c>
      <c r="B3" t="inlineStr">
        <is>
          <t>AI use profile</t>
        </is>
      </c>
      <c r="C3" t="inlineStr">
        <is>
          <t>Context</t>
        </is>
      </c>
      <c r="D3">
        <f>IF('2. Assessment'!L10="",0,1)</f>
        <v>1</v>
      </c>
      <c r="E3">
        <f>IF(D3=0,"",'2. Assessment'!F10)</f>
        <v>2</v>
      </c>
      <c r="O3" t="str">
        <f>'2. Assessment'!E10</f>
        <v>Approved enterprise GenAI tools and AI features embedded in business software across teams</v>
      </c>
      <c r="P3" t="str">
        <f>'2. Assessment'!G10</f>
        <v>Medium</v>
      </c>
    </row>
    <row r="4">
      <c r="A4" t="inlineStr">
        <is>
          <t>A2</t>
        </is>
      </c>
      <c r="B4" t="inlineStr">
        <is>
          <t>Decision impact</t>
        </is>
      </c>
      <c r="C4" t="inlineStr">
        <is>
          <t>Context</t>
        </is>
      </c>
      <c r="D4">
        <f>IF('2. Assessment'!L11="",0,1)</f>
        <v>1</v>
      </c>
      <c r="E4">
        <f>IF(D4=0,"",'2. Assessment'!F11)</f>
        <v>2</v>
      </c>
      <c r="O4" t="str">
        <f>'2. Assessment'!E11</f>
        <v>Customer- or client-facing outputs with limited individual impact (e.g., FAQ chatbots, marketing content)</v>
      </c>
      <c r="P4" t="str">
        <f>'2. Assessment'!G11</f>
        <v>Medium</v>
      </c>
    </row>
    <row r="5">
      <c r="A5" t="inlineStr">
        <is>
          <t>A3</t>
        </is>
      </c>
      <c r="B5" t="inlineStr">
        <is>
          <t>Data sensitivity</t>
        </is>
      </c>
      <c r="C5" t="inlineStr">
        <is>
          <t>Context</t>
        </is>
      </c>
      <c r="D5">
        <f>IF('2. Assessment'!L12="",0,1)</f>
        <v>1</v>
      </c>
      <c r="E5">
        <f>IF(D5=0,"",'2. Assessment'!F12)</f>
        <v>2</v>
      </c>
      <c r="O5" t="str">
        <f>'2. Assessment'!E12</f>
        <v>Confidential business or client information</v>
      </c>
      <c r="P5" t="str">
        <f>'2. Assessment'!G12</f>
        <v>Medium</v>
      </c>
    </row>
    <row r="6">
      <c r="A6" t="inlineStr">
        <is>
          <t>A4</t>
        </is>
      </c>
      <c r="B6" t="inlineStr">
        <is>
          <t>Oversight &amp; reversibility</t>
        </is>
      </c>
      <c r="C6" t="inlineStr">
        <is>
          <t>Context</t>
        </is>
      </c>
      <c r="D6">
        <f>IF('2. Assessment'!L13="",0,1)</f>
        <v>1</v>
      </c>
      <c r="E6">
        <f>IF(D6=0,"",'2. Assessment'!F13)</f>
        <v>1</v>
      </c>
      <c r="O6" t="str">
        <f>'2. Assessment'!E13</f>
        <v>A qualified human reviews and approves every AI output before it is used</v>
      </c>
      <c r="P6" t="str">
        <f>'2. Assessment'!G13</f>
        <v>Low</v>
      </c>
    </row>
    <row r="7">
      <c r="A7" t="inlineStr">
        <is>
          <t>Q5</t>
        </is>
      </c>
      <c r="B7" t="inlineStr">
        <is>
          <t>AI strategy, ownership &amp; risk appetite</t>
        </is>
      </c>
      <c r="C7" t="inlineStr">
        <is>
          <t>Business Alignment</t>
        </is>
      </c>
      <c r="D7">
        <f>IF('2. Assessment'!L15="",0,1)</f>
        <v>1</v>
      </c>
      <c r="E7">
        <f>IF(D7=0,"",'2. Assessment'!F15)</f>
        <v>0.5</v>
      </c>
      <c r="F7">
        <f>1.0+IF(AND(OR(Calc!$C$32="High",Calc!$C$32="Critical"),OR(A7="Q8",A7="Q9",A7="Q13")),0.5,0)</f>
        <v>1</v>
      </c>
      <c r="G7">
        <f>IF(E7="","",1-E7)</f>
        <v>0.5</v>
      </c>
      <c r="H7">
        <f>IF(E7="",-1,G7*F7*100+(15-4)/100)</f>
        <v>50.11</v>
      </c>
      <c r="I7" t="str">
        <f>IF(E7="","",IF(E7&lt;=0.25,"Immediate (0-3 months)",IF(AND(E7=0.5,F7&gt;=1.5),"Immediate (0-3 months)",IF(E7&lt;=0.5,"Short term (3-6 months)",IF(E7&lt;=0.75,"Medium term (6-12 months)","Sustain")))))</f>
        <v>Short term (3-6 months)</v>
      </c>
      <c r="J7">
        <f>IF(I7="",0,IF(LEFT(I7,3)="Imm",4,IF(LEFT(I7,3)="Sho",3,IF(LEFT(I7,3)="Med",2,1))))</f>
        <v>3</v>
      </c>
      <c r="K7">
        <f>IF(E7="",-1,J7*1000+H7)</f>
        <v>3050.11</v>
      </c>
      <c r="L7" t="str">
        <f>'2. Assessment'!H15</f>
        <v>Define AI risk appetite, tolerances and approved experimentation ('sandbox') boundaries; communicate them organisation-wide.</v>
      </c>
      <c r="M7" t="inlineStr">
        <is>
          <t>GL-1, GL-3, RM-6</t>
        </is>
      </c>
      <c r="N7" t="inlineStr">
        <is>
          <t>☆ Recommended</t>
        </is>
      </c>
      <c r="O7" t="str">
        <f>'2. Assessment'!E15</f>
        <v>Executive sponsor named and AI strategy drafted or approved, but risk appetite and experimentation boundaries not defined</v>
      </c>
      <c r="P7" t="str">
        <f>'2. Assessment'!G15</f>
        <v>Partially met</v>
      </c>
      <c r="Q7" t="inlineStr">
        <is>
          <t>Lack of executive direction leads to inconsistent AI use, unmanaged risk-taking, poor-quality outputs and fragmented adoption.</t>
        </is>
      </c>
    </row>
    <row r="8">
      <c r="A8" t="inlineStr">
        <is>
          <t>Q6</t>
        </is>
      </c>
      <c r="B8" t="inlineStr">
        <is>
          <t>Use-case portfolio &amp; value realisation</t>
        </is>
      </c>
      <c r="C8" t="inlineStr">
        <is>
          <t>Business Alignment</t>
        </is>
      </c>
      <c r="D8">
        <f>IF('2. Assessment'!L16="",0,1)</f>
        <v>1</v>
      </c>
      <c r="E8">
        <f>IF(D8=0,"",'2. Assessment'!F16)</f>
        <v>0.5</v>
      </c>
      <c r="F8">
        <f>1.0+IF(AND(OR(Calc!$C$32="High",Calc!$C$32="Critical"),OR(A8="Q8",A8="Q9",A8="Q13")),0.5,0)</f>
        <v>1</v>
      </c>
      <c r="G8">
        <f>IF(E8="","",1-E8)</f>
        <v>0.5</v>
      </c>
      <c r="H8">
        <f>IF(E8="",-1,G8*F8*100+(15-5)/100)</f>
        <v>50.1</v>
      </c>
      <c r="I8" t="str">
        <f>IF(E8="","",IF(E8&lt;=0.25,"Immediate (0-3 months)",IF(AND(E8=0.5,F8&gt;=1.5),"Immediate (0-3 months)",IF(E8&lt;=0.5,"Short term (3-6 months)",IF(E8&lt;=0.75,"Medium term (6-12 months)","Sustain")))))</f>
        <v>Short term (3-6 months)</v>
      </c>
      <c r="J8">
        <f>IF(I8="",0,IF(LEFT(I8,3)="Imm",4,IF(LEFT(I8,3)="Sho",3,IF(LEFT(I8,3)="Med",2,1))))</f>
        <v>3</v>
      </c>
      <c r="K8">
        <f>IF(E8="",-1,J8*1000+H8)</f>
        <v>3050.1</v>
      </c>
      <c r="L8" t="str">
        <f>'2. Assessment'!H16</f>
        <v>Define benefit KPIs (financial and non-financial) at approval and assign benefit owners.</v>
      </c>
      <c r="M8" t="inlineStr">
        <is>
          <t>GL-6, GL-5</t>
        </is>
      </c>
      <c r="N8" t="inlineStr">
        <is>
          <t>☆ Recommended</t>
        </is>
      </c>
      <c r="O8" t="str">
        <f>'2. Assessment'!E16</f>
        <v>Use-case intake exists and initiatives are prioritised, but benefits are not systematically tracked</v>
      </c>
      <c r="P8" t="str">
        <f>'2. Assessment'!G16</f>
        <v>Partially met</v>
      </c>
      <c r="Q8" t="inlineStr">
        <is>
          <t>Duplicated or low-value AI investment, shadow AI and inability to demonstrate return on investment.</t>
        </is>
      </c>
    </row>
    <row r="9">
      <c r="A9" t="inlineStr">
        <is>
          <t>Q7</t>
        </is>
      </c>
      <c r="B9" t="inlineStr">
        <is>
          <t>AI policy, acceptable use &amp; regulatory compliance</t>
        </is>
      </c>
      <c r="C9" t="inlineStr">
        <is>
          <t>Governance &amp; Ethics</t>
        </is>
      </c>
      <c r="D9">
        <f>IF('2. Assessment'!L17="",0,1)</f>
        <v>1</v>
      </c>
      <c r="E9">
        <f>IF(D9=0,"",'2. Assessment'!F17)</f>
        <v>0.75</v>
      </c>
      <c r="F9">
        <f>1.5+IF(AND(OR(Calc!$C$32="High",Calc!$C$32="Critical"),OR(A9="Q8",A9="Q9",A9="Q13")),0.5,0)</f>
        <v>1.5</v>
      </c>
      <c r="G9">
        <f>IF(E9="","",1-E9)</f>
        <v>0.25</v>
      </c>
      <c r="H9">
        <f>IF(E9="",-1,G9*F9*100+(15-6)/100)</f>
        <v>37.59</v>
      </c>
      <c r="I9" t="str">
        <f>IF(E9="","",IF(E9&lt;=0.25,"Immediate (0-3 months)",IF(AND(E9=0.5,F9&gt;=1.5),"Immediate (0-3 months)",IF(E9&lt;=0.5,"Short term (3-6 months)",IF(E9&lt;=0.75,"Medium term (6-12 months)","Sustain")))))</f>
        <v>Medium term (6-12 months)</v>
      </c>
      <c r="J9">
        <f>IF(I9="",0,IF(LEFT(I9,3)="Imm",4,IF(LEFT(I9,3)="Sho",3,IF(LEFT(I9,3)="Med",2,1))))</f>
        <v>2</v>
      </c>
      <c r="K9">
        <f>IF(E9="",-1,J9*1000+H9)</f>
        <v>2037.59</v>
      </c>
      <c r="L9" t="str">
        <f>'2. Assessment'!H17</f>
        <v>Establish monthly regulatory horizon scanning and periodic compliance testing with evidence retention.</v>
      </c>
      <c r="M9" t="inlineStr">
        <is>
          <t>GL-5, RO-1, RO-5</t>
        </is>
      </c>
      <c r="N9" t="inlineStr">
        <is>
          <t>⟳ Compliance Obligation</t>
        </is>
      </c>
      <c r="O9" t="str">
        <f>'2. Assessment'!E17</f>
        <v>AI policy enforced with staff acknowledgement; obligations register maps regulations to controls and owners</v>
      </c>
      <c r="P9" t="str">
        <f>'2. Assessment'!G17</f>
        <v>Largely met</v>
      </c>
      <c r="Q9" t="inlineStr">
        <is>
          <t>Misuse of AI, data leakage and breach of legal or regulatory requirements, with exposure to penalties, licence conditions and reputational harm.</t>
        </is>
      </c>
    </row>
    <row r="10">
      <c r="A10" t="inlineStr">
        <is>
          <t>Q8</t>
        </is>
      </c>
      <c r="B10" t="inlineStr">
        <is>
          <t>AI inventory &amp; risk / impact assessment</t>
        </is>
      </c>
      <c r="C10" t="inlineStr">
        <is>
          <t>Governance &amp; Ethics</t>
        </is>
      </c>
      <c r="D10">
        <f>IF('2. Assessment'!L18="",0,1)</f>
        <v>1</v>
      </c>
      <c r="E10">
        <f>IF(D10=0,"",'2. Assessment'!F18)</f>
        <v>0.5</v>
      </c>
      <c r="F10">
        <f>1.5+IF(AND(OR(Calc!$C$32="High",Calc!$C$32="Critical"),OR(A10="Q8",A10="Q9",A10="Q13")),0.5,0)</f>
        <v>1.5</v>
      </c>
      <c r="G10">
        <f>IF(E10="","",1-E10)</f>
        <v>0.5</v>
      </c>
      <c r="H10">
        <f>IF(E10="",-1,G10*F10*100+(15-7)/100)</f>
        <v>75.08</v>
      </c>
      <c r="I10" t="str">
        <f>IF(E10="","",IF(E10&lt;=0.25,"Immediate (0-3 months)",IF(AND(E10=0.5,F10&gt;=1.5),"Immediate (0-3 months)",IF(E10&lt;=0.5,"Short term (3-6 months)",IF(E10&lt;=0.75,"Medium term (6-12 months)","Sustain")))))</f>
        <v>Immediate (0-3 months)</v>
      </c>
      <c r="J10">
        <f>IF(I10="",0,IF(LEFT(I10,3)="Imm",4,IF(LEFT(I10,3)="Sho",3,IF(LEFT(I10,3)="Med",2,1))))</f>
        <v>4</v>
      </c>
      <c r="K10">
        <f>IF(E10="",-1,J10*1000+H10)</f>
        <v>4075.08</v>
      </c>
      <c r="L10" t="str">
        <f>'2. Assessment'!H18</f>
        <v>Extend assessments to all AI systems and third-party AI; set approval authority by risk tier.</v>
      </c>
      <c r="M10" t="inlineStr">
        <is>
          <t>GL-8, RM-2, RM-5, TP-2</t>
        </is>
      </c>
      <c r="N10" t="inlineStr">
        <is>
          <t>⚠ Mandatory Requirement</t>
        </is>
      </c>
      <c r="O10" t="str">
        <f>'2. Assessment'!E18</f>
        <v>AI register with owners; risk assessments performed for some AI systems using a documented method</v>
      </c>
      <c r="P10" t="str">
        <f>'2. Assessment'!G18</f>
        <v>Partially met</v>
      </c>
      <c r="Q10" t="inlineStr">
        <is>
          <t>Deployment of vulnerable, non-compliant or harmful AI systems and unknown AI exposure across the organisation and its supply chain.</t>
        </is>
      </c>
    </row>
    <row r="11">
      <c r="A11" t="inlineStr">
        <is>
          <t>Q9</t>
        </is>
      </c>
      <c r="B11" t="inlineStr">
        <is>
          <t>Responsible-AI guardrails &amp; human oversight</t>
        </is>
      </c>
      <c r="C11" t="inlineStr">
        <is>
          <t>Governance &amp; Ethics</t>
        </is>
      </c>
      <c r="D11">
        <f>IF('2. Assessment'!L19="",0,1)</f>
        <v>1</v>
      </c>
      <c r="E11">
        <f>IF(D11=0,"",'2. Assessment'!F19)</f>
        <v>0.5</v>
      </c>
      <c r="F11">
        <f>1.0+IF(AND(OR(Calc!$C$32="High",Calc!$C$32="Critical"),OR(A11="Q8",A11="Q9",A11="Q13")),0.5,0)</f>
        <v>1</v>
      </c>
      <c r="G11">
        <f>IF(E11="","",1-E11)</f>
        <v>0.5</v>
      </c>
      <c r="H11">
        <f>IF(E11="",-1,G11*F11*100+(15-8)/100)</f>
        <v>50.07</v>
      </c>
      <c r="I11" t="str">
        <f>IF(E11="","",IF(E11&lt;=0.25,"Immediate (0-3 months)",IF(AND(E11=0.5,F11&gt;=1.5),"Immediate (0-3 months)",IF(E11&lt;=0.5,"Short term (3-6 months)",IF(E11&lt;=0.75,"Medium term (6-12 months)","Sustain")))))</f>
        <v>Short term (3-6 months)</v>
      </c>
      <c r="J11">
        <f>IF(I11="",0,IF(LEFT(I11,3)="Imm",4,IF(LEFT(I11,3)="Sho",3,IF(LEFT(I11,3)="Med",2,1))))</f>
        <v>3</v>
      </c>
      <c r="K11">
        <f>IF(E11="",-1,J11*1000+H11)</f>
        <v>3050.07</v>
      </c>
      <c r="L11" t="str">
        <f>'2. Assessment'!H19</f>
        <v>Apply mandatory human-in-charge controls and AI disclosure to all relevant AI; require committee approval for High / Critical uses.</v>
      </c>
      <c r="M11" t="inlineStr">
        <is>
          <t>GL-7, RS-1, RS-4, RS-5, CO-1, CO-3</t>
        </is>
      </c>
      <c r="N11" t="inlineStr">
        <is>
          <t>⚖ Ethical Consideration</t>
        </is>
      </c>
      <c r="O11" t="str">
        <f>'2. Assessment'!E19</f>
        <v>AI committee / CoE established; guardrails defined for some areas (e.g., human review of outputs)</v>
      </c>
      <c r="P11" t="str">
        <f>'2. Assessment'!G19</f>
        <v>Partially met</v>
      </c>
      <c r="Q11" t="inlineStr">
        <is>
          <t>Biased or harmful outcomes, undisclosed AI use and lack of accountability for AI-supported decisions.</t>
        </is>
      </c>
    </row>
    <row r="12">
      <c r="A12" t="inlineStr">
        <is>
          <t>Q10</t>
        </is>
      </c>
      <c r="B12" t="inlineStr">
        <is>
          <t>AI literacy &amp; capability</t>
        </is>
      </c>
      <c r="C12" t="inlineStr">
        <is>
          <t>Training &amp; Development</t>
        </is>
      </c>
      <c r="D12">
        <f>IF('2. Assessment'!L20="",0,1)</f>
        <v>1</v>
      </c>
      <c r="E12">
        <f>IF(D12=0,"",'2. Assessment'!F20)</f>
        <v>0.75</v>
      </c>
      <c r="F12">
        <f>1.5+IF(AND(OR(Calc!$C$32="High",Calc!$C$32="Critical"),OR(A12="Q8",A12="Q9",A12="Q13")),0.5,0)</f>
        <v>1.5</v>
      </c>
      <c r="G12">
        <f>IF(E12="","",1-E12)</f>
        <v>0.25</v>
      </c>
      <c r="H12">
        <f>IF(E12="",-1,G12*F12*100+(15-9)/100)</f>
        <v>37.56</v>
      </c>
      <c r="I12" t="str">
        <f>IF(E12="","",IF(E12&lt;=0.25,"Immediate (0-3 months)",IF(AND(E12=0.5,F12&gt;=1.5),"Immediate (0-3 months)",IF(E12&lt;=0.5,"Short term (3-6 months)",IF(E12&lt;=0.75,"Medium term (6-12 months)","Sustain")))))</f>
        <v>Medium term (6-12 months)</v>
      </c>
      <c r="J12">
        <f>IF(I12="",0,IF(LEFT(I12,3)="Imm",4,IF(LEFT(I12,3)="Sho",3,IF(LEFT(I12,3)="Med",2,1))))</f>
        <v>2</v>
      </c>
      <c r="K12">
        <f>IF(E12="",-1,J12*1000+H12)</f>
        <v>2037.56</v>
      </c>
      <c r="L12" t="str">
        <f>'2. Assessment'!H20</f>
        <v>Measure competence, refresh annually, and build an AI champions network and workforce plan.</v>
      </c>
      <c r="M12" t="inlineStr">
        <is>
          <t>GL-4, RS-9</t>
        </is>
      </c>
      <c r="N12" t="inlineStr">
        <is>
          <t>⟳ Compliance Obligation</t>
        </is>
      </c>
      <c r="O12" t="str">
        <f>'2. Assessment'!E20</f>
        <v>Mandatory AI literacy before tool access; role-based pathways for developers, oversight staff and leaders; scenario-based security awareness</v>
      </c>
      <c r="P12" t="str">
        <f>'2. Assessment'!G20</f>
        <v>Largely met</v>
      </c>
      <c r="Q12" t="inlineStr">
        <is>
          <t>Unsafe use, susceptibility to AI-enabled threats and poor adoption; non-compliance with the EU AI Act Art. 4 AI-literacy duty where applicable.</t>
        </is>
      </c>
    </row>
    <row r="13">
      <c r="A13" t="inlineStr">
        <is>
          <t>Q11</t>
        </is>
      </c>
      <c r="B13" t="inlineStr">
        <is>
          <t>Data governance, quality &amp; privacy for AI</t>
        </is>
      </c>
      <c r="C13" t="inlineStr">
        <is>
          <t>Data &amp; Quality</t>
        </is>
      </c>
      <c r="D13">
        <f>IF('2. Assessment'!L21="",0,1)</f>
        <v>1</v>
      </c>
      <c r="E13">
        <f>IF(D13=0,"",'2. Assessment'!F21)</f>
        <v>0.75</v>
      </c>
      <c r="F13">
        <f>1.5+IF(AND(OR(Calc!$C$32="High",Calc!$C$32="Critical"),OR(A13="Q8",A13="Q9",A13="Q13")),0.5,0)</f>
        <v>1.5</v>
      </c>
      <c r="G13">
        <f>IF(E13="","",1-E13)</f>
        <v>0.25</v>
      </c>
      <c r="H13">
        <f>IF(E13="",-1,G13*F13*100+(15-10)/100)</f>
        <v>37.55</v>
      </c>
      <c r="I13" t="str">
        <f>IF(E13="","",IF(E13&lt;=0.25,"Immediate (0-3 months)",IF(AND(E13=0.5,F13&gt;=1.5),"Immediate (0-3 months)",IF(E13&lt;=0.5,"Short term (3-6 months)",IF(E13&lt;=0.75,"Medium term (6-12 months)","Sustain")))))</f>
        <v>Medium term (6-12 months)</v>
      </c>
      <c r="J13">
        <f>IF(I13="",0,IF(LEFT(I13,3)="Imm",4,IF(LEFT(I13,3)="Sho",3,IF(LEFT(I13,3)="Med",2,1))))</f>
        <v>2</v>
      </c>
      <c r="K13">
        <f>IF(E13="",-1,J13*1000+H13)</f>
        <v>2037.55</v>
      </c>
      <c r="L13" t="str">
        <f>'2. Assessment'!H21</f>
        <v>Automate data-quality and lineage monitoring; operationalise data-subject rights and transfer assessments for AI.</v>
      </c>
      <c r="M13" t="inlineStr">
        <is>
          <t>LC-1, SE-4, PR-1, PR-4, PR-5, PR-6</t>
        </is>
      </c>
      <c r="N13" t="inlineStr">
        <is>
          <t>⟳ Compliance Obligation</t>
        </is>
      </c>
      <c r="O13" t="str">
        <f>'2. Assessment'!E21</f>
        <v>Data readiness assessed before approval; lineage and quality monitored; minimisation, anonymisation and prompt redaction applied; DPIAs standard</v>
      </c>
      <c r="P13" t="str">
        <f>'2. Assessment'!G21</f>
        <v>Largely met</v>
      </c>
      <c r="Q13" t="inlineStr">
        <is>
          <t>Data breaches, PDPL non-compliance, and biased or inaccurate outputs from poor-quality or unsuitable data.</t>
        </is>
      </c>
    </row>
    <row r="14">
      <c r="A14" t="inlineStr">
        <is>
          <t>Q12</t>
        </is>
      </c>
      <c r="B14" t="inlineStr">
        <is>
          <t>AI architecture, integration &amp; monitoring</t>
        </is>
      </c>
      <c r="C14" t="inlineStr">
        <is>
          <t>Architecture &amp; Technology</t>
        </is>
      </c>
      <c r="D14">
        <f>IF('2. Assessment'!L22="",0,1)</f>
        <v>1</v>
      </c>
      <c r="E14">
        <f>IF(D14=0,"",'2. Assessment'!F22)</f>
        <v>0.5</v>
      </c>
      <c r="F14">
        <f>1.0+IF(AND(OR(Calc!$C$32="High",Calc!$C$32="Critical"),OR(A14="Q8",A14="Q9",A14="Q13")),0.5,0)</f>
        <v>1</v>
      </c>
      <c r="G14">
        <f>IF(E14="","",1-E14)</f>
        <v>0.5</v>
      </c>
      <c r="H14">
        <f>IF(E14="",-1,G14*F14*100+(15-11)/100)</f>
        <v>50.04</v>
      </c>
      <c r="I14" t="str">
        <f>IF(E14="","",IF(E14&lt;=0.25,"Immediate (0-3 months)",IF(AND(E14=0.5,F14&gt;=1.5),"Immediate (0-3 months)",IF(E14&lt;=0.5,"Short term (3-6 months)",IF(E14&lt;=0.75,"Medium term (6-12 months)","Sustain")))))</f>
        <v>Short term (3-6 months)</v>
      </c>
      <c r="J14">
        <f>IF(I14="",0,IF(LEFT(I14,3)="Imm",4,IF(LEFT(I14,3)="Sho",3,IF(LEFT(I14,3)="Med",2,1))))</f>
        <v>3</v>
      </c>
      <c r="K14">
        <f>IF(E14="",-1,J14*1000+H14)</f>
        <v>3050.04</v>
      </c>
      <c r="L14" t="str">
        <f>'2. Assessment'!H22</f>
        <v>Centralise API / access control for AI, define agent execution authority and implement drift / performance monitoring with thresholds.</v>
      </c>
      <c r="M14" t="inlineStr">
        <is>
          <t>LC-2, LC-3, LC-8, LC-12, OM-1, OM-4, RM-6</t>
        </is>
      </c>
      <c r="N14" t="inlineStr">
        <is>
          <t>☆ Recommended</t>
        </is>
      </c>
      <c r="O14" t="str">
        <f>'2. Assessment'!E22</f>
        <v>Reference architecture drafted; approved platforms and integration patterns for most AI; basic performance monitoring</v>
      </c>
      <c r="P14" t="str">
        <f>'2. Assessment'!G22</f>
        <v>Partially met</v>
      </c>
      <c r="Q14" t="inlineStr">
        <is>
          <t>Inconsistent and insecure implementations, undetected model drift or failure, excessive agent privileges and unsustainable AI costs.</t>
        </is>
      </c>
    </row>
    <row r="15">
      <c r="A15" t="inlineStr">
        <is>
          <t>Q13</t>
        </is>
      </c>
      <c r="B15" t="inlineStr">
        <is>
          <t>Securing AI systems</t>
        </is>
      </c>
      <c r="C15" t="inlineStr">
        <is>
          <t>Protect AI Systems</t>
        </is>
      </c>
      <c r="D15">
        <f>IF('2. Assessment'!L23="",0,1)</f>
        <v>1</v>
      </c>
      <c r="E15">
        <f>IF(D15=0,"",'2. Assessment'!F23)</f>
        <v>0.5</v>
      </c>
      <c r="F15">
        <f>1.5+IF(AND(OR(Calc!$C$32="High",Calc!$C$32="Critical"),OR(A15="Q8",A15="Q9",A15="Q13")),0.5,0)</f>
        <v>1.5</v>
      </c>
      <c r="G15">
        <f>IF(E15="","",1-E15)</f>
        <v>0.5</v>
      </c>
      <c r="H15">
        <f>IF(E15="",-1,G15*F15*100+(15-12)/100)</f>
        <v>75.03</v>
      </c>
      <c r="I15" t="str">
        <f>IF(E15="","",IF(E15&lt;=0.25,"Immediate (0-3 months)",IF(AND(E15=0.5,F15&gt;=1.5),"Immediate (0-3 months)",IF(E15&lt;=0.5,"Short term (3-6 months)",IF(E15&lt;=0.75,"Medium term (6-12 months)","Sustain")))))</f>
        <v>Immediate (0-3 months)</v>
      </c>
      <c r="J15">
        <f>IF(I15="",0,IF(LEFT(I15,3)="Imm",4,IF(LEFT(I15,3)="Sho",3,IF(LEFT(I15,3)="Med",2,1))))</f>
        <v>4</v>
      </c>
      <c r="K15">
        <f>IF(E15="",-1,J15*1000+H15)</f>
        <v>4075.03</v>
      </c>
      <c r="L15" t="str">
        <f>'2. Assessment'!H23</f>
        <v>Introduce AI red teaming before release, runtime guardrails (input / output filtering) and audit logging.</v>
      </c>
      <c r="M15" t="inlineStr">
        <is>
          <t>SE-2, SE-3, SE-6 to SE-10, OM-2, AA-3</t>
        </is>
      </c>
      <c r="N15" t="inlineStr">
        <is>
          <t>⚠ Mandatory Requirement</t>
        </is>
      </c>
      <c r="O15" t="str">
        <f>'2. Assessment'!E23</f>
        <v>AI-specific threats (e.g., prompt injection, data leakage) assessed for some systems; access controls and logging in place</v>
      </c>
      <c r="P15" t="str">
        <f>'2. Assessment'!G23</f>
        <v>Partially met</v>
      </c>
      <c r="Q15" t="inlineStr">
        <is>
          <t>Unauthorised access, model compromise, data exfiltration through AI and undetected misuse.</t>
        </is>
      </c>
    </row>
    <row r="16">
      <c r="A16" t="inlineStr">
        <is>
          <t>Q14</t>
        </is>
      </c>
      <c r="B16" t="inlineStr">
        <is>
          <t>Defending against AI-enabled threats</t>
        </is>
      </c>
      <c r="C16" t="inlineStr">
        <is>
          <t>Protection from AI Threats</t>
        </is>
      </c>
      <c r="D16">
        <f>IF('2. Assessment'!L24="",0,1)</f>
        <v>1</v>
      </c>
      <c r="E16">
        <f>IF(D16=0,"",'2. Assessment'!F24)</f>
        <v>0.75</v>
      </c>
      <c r="F16">
        <f>1.0+IF(AND(OR(Calc!$C$32="High",Calc!$C$32="Critical"),OR(A16="Q8",A16="Q9",A16="Q13")),0.5,0)</f>
        <v>1</v>
      </c>
      <c r="G16">
        <f>IF(E16="","",1-E16)</f>
        <v>0.25</v>
      </c>
      <c r="H16">
        <f>IF(E16="",-1,G16*F16*100+(15-13)/100)</f>
        <v>25.02</v>
      </c>
      <c r="I16" t="str">
        <f>IF(E16="","",IF(E16&lt;=0.25,"Immediate (0-3 months)",IF(AND(E16=0.5,F16&gt;=1.5),"Immediate (0-3 months)",IF(E16&lt;=0.5,"Short term (3-6 months)",IF(E16&lt;=0.75,"Medium term (6-12 months)","Sustain")))))</f>
        <v>Medium term (6-12 months)</v>
      </c>
      <c r="J16">
        <f>IF(I16="",0,IF(LEFT(I16,3)="Imm",4,IF(LEFT(I16,3)="Sho",3,IF(LEFT(I16,3)="Med",2,1))))</f>
        <v>2</v>
      </c>
      <c r="K16">
        <f>IF(E16="",-1,J16*1000+H16)</f>
        <v>2025.02</v>
      </c>
      <c r="L16" t="str">
        <f>'2. Assessment'!H24</f>
        <v>Adopt continuous exposure management and AI-specific red teaming; reduce patch cycles to days.</v>
      </c>
      <c r="M16" t="inlineStr">
        <is>
          <t>AT-1, AT-2, AT-3, AT-4</t>
        </is>
      </c>
      <c r="N16" t="inlineStr">
        <is>
          <t>☆ Recommended</t>
        </is>
      </c>
      <c r="O16" t="str">
        <f>'2. Assessment'!E24</f>
        <v>Deepfake-resilient verification for payments and sensitive requests; behaviour-based detection; AI incident playbooks exercised</v>
      </c>
      <c r="P16" t="str">
        <f>'2. Assessment'!G24</f>
        <v>Largely met</v>
      </c>
      <c r="Q16" t="inlineStr">
        <is>
          <t>Deepfake-enabled fraud, account compromise and faster, more scalable attacks that outpace defences.</t>
        </is>
      </c>
    </row>
    <row r="17">
      <c r="A17" t="inlineStr">
        <is>
          <t>Q15</t>
        </is>
      </c>
      <c r="B17" t="inlineStr">
        <is>
          <t>AI incidents, monitoring &amp; assurance</t>
        </is>
      </c>
      <c r="C17" t="inlineStr">
        <is>
          <t>Governance &amp; Ethics</t>
        </is>
      </c>
      <c r="D17">
        <f>IF('2. Assessment'!L25="",0,1)</f>
        <v>1</v>
      </c>
      <c r="E17">
        <f>IF(D17=0,"",'2. Assessment'!F25)</f>
        <v>0.5</v>
      </c>
      <c r="F17">
        <f>1.5+IF(AND(OR(Calc!$C$32="High",Calc!$C$32="Critical"),OR(A17="Q8",A17="Q9",A17="Q13")),0.5,0)</f>
        <v>1.5</v>
      </c>
      <c r="G17">
        <f>IF(E17="","",1-E17)</f>
        <v>0.5</v>
      </c>
      <c r="H17">
        <f>IF(E17="",-1,G17*F17*100+(15-14)/100)</f>
        <v>75.01</v>
      </c>
      <c r="I17" t="str">
        <f>IF(E17="","",IF(E17&lt;=0.25,"Immediate (0-3 months)",IF(AND(E17=0.5,F17&gt;=1.5),"Immediate (0-3 months)",IF(E17&lt;=0.5,"Short term (3-6 months)",IF(E17&lt;=0.75,"Medium term (6-12 months)","Sustain")))))</f>
        <v>Immediate (0-3 months)</v>
      </c>
      <c r="J17">
        <f>IF(I17="",0,IF(LEFT(I17,3)="Imm",4,IF(LEFT(I17,3)="Sho",3,IF(LEFT(I17,3)="Med",2,1))))</f>
        <v>4</v>
      </c>
      <c r="K17">
        <f>IF(E17="",-1,J17*1000+H17)</f>
        <v>4075.01</v>
      </c>
      <c r="L17" t="str">
        <f>'2. Assessment'!H25</f>
        <v>Include AI governance in the internal-audit plan and obtain assurance evidence from AI vendors.</v>
      </c>
      <c r="M17" t="inlineStr">
        <is>
          <t>IM-1, IM-2, IM-3, AA-1, AA-2, RO-4</t>
        </is>
      </c>
      <c r="N17" t="inlineStr">
        <is>
          <t>⟳ Compliance Obligation</t>
        </is>
      </c>
      <c r="O17" t="str">
        <f>'2. Assessment'!E25</f>
        <v>AI incident categories and escalation defined; ad hoc reviews of AI controls</v>
      </c>
      <c r="P17" t="str">
        <f>'2. Assessment'!G25</f>
        <v>Partially met</v>
      </c>
      <c r="Q17" t="inlineStr">
        <is>
          <t>Delayed response to AI failures, missed regulatory notifications and lack of defensible evidence for regulators, auditors and clients.</t>
        </is>
      </c>
    </row>
    <row r="20">
      <c r="A20" t="inlineStr">
        <is>
          <t>Answered</t>
        </is>
      </c>
      <c r="B20">
        <f>SUM(D3:D17)</f>
        <v>15</v>
      </c>
    </row>
    <row r="21">
      <c r="A21" t="inlineStr">
        <is>
          <t>Complete</t>
        </is>
      </c>
      <c r="B21">
        <f>IF(B20=15,1,0)</f>
        <v>1</v>
      </c>
    </row>
    <row r="25">
      <c r="A25" t="inlineStr">
        <is>
          <t>Inherent risk</t>
        </is>
      </c>
    </row>
    <row r="26">
      <c r="A26" t="inlineStr">
        <is>
          <t>A1</t>
        </is>
      </c>
      <c r="B26">
        <f>IF(E3="","",E3)</f>
        <v>2</v>
      </c>
      <c r="C26" t="n">
        <v>2</v>
      </c>
    </row>
    <row r="27">
      <c r="A27" t="inlineStr">
        <is>
          <t>A2</t>
        </is>
      </c>
      <c r="B27">
        <f>IF(E4="","",E4)</f>
        <v>2</v>
      </c>
      <c r="C27" t="n">
        <v>3</v>
      </c>
    </row>
    <row r="28">
      <c r="A28" t="inlineStr">
        <is>
          <t>A3</t>
        </is>
      </c>
      <c r="B28">
        <f>IF(E5="","",E5)</f>
        <v>2</v>
      </c>
      <c r="C28" t="n">
        <v>2</v>
      </c>
    </row>
    <row r="29">
      <c r="A29" t="inlineStr">
        <is>
          <t>A4</t>
        </is>
      </c>
      <c r="B29">
        <f>IF(E6="","",E6)</f>
        <v>1</v>
      </c>
      <c r="C29" t="n">
        <v>3</v>
      </c>
    </row>
    <row r="30">
      <c r="A30" t="inlineStr">
        <is>
          <t>Inherent %</t>
        </is>
      </c>
      <c r="C30">
        <f>IF(COUNT(B26:B29)&lt;4,"",SUMPRODUCT(B26:B29,C26:C29)/(4*SUM(C26:C29)))</f>
        <v>0.425</v>
      </c>
    </row>
    <row r="31">
      <c r="A31" t="inlineStr">
        <is>
          <t>Score tier</t>
        </is>
      </c>
      <c r="C31" t="str">
        <f>IF(C30="","",IF(C30&gt;=0.75,"Critical",IF(C30&gt;=0.5,"High",IF(C30&gt;=0.25,"Medium","Low"))))</f>
        <v>Medium</v>
      </c>
    </row>
    <row r="32">
      <c r="A32" t="inlineStr">
        <is>
          <t>Final tier</t>
        </is>
      </c>
      <c r="C32" t="str">
        <f>IF(C31="","",IF(AND(B27=4,B29&gt;=3),"Critical",IF(AND(B27=4,OR(C31="Low",C31="Medium")),"High",IF(AND(B28=4,C31="Low"),"Medium",C31))))</f>
        <v>Medium</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No override applied</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Business Alignment</t>
        </is>
      </c>
      <c r="B37">
        <f>IFERROR(AVERAGEIF($C$7:$C$17,A37,$E$7:$E$17),"")</f>
        <v>0.5</v>
      </c>
      <c r="C37" t="str">
        <f>IF(B37="","",IF(B37&gt;=0.9,"Adaptive",IF(B37&gt;=0.7,"Repeatable",IF(B37&gt;=0.5,"Informed","Partial"))))</f>
        <v>Informed</v>
      </c>
      <c r="D37" t="n">
        <v>0.7</v>
      </c>
      <c r="E37" t="inlineStr">
        <is>
          <t>Poor AI direction leads to inconsistent use, unmanaged risk, duplication and weak accountability, slowing adoption and reducing trust.</t>
        </is>
      </c>
      <c r="H37" t="inlineStr">
        <is>
          <t>Business</t>
        </is>
      </c>
      <c r="I37">
        <f>IF(B37="",0,B37*100)</f>
        <v>50</v>
      </c>
      <c r="J37" t="n">
        <v>70</v>
      </c>
    </row>
    <row r="38">
      <c r="A38" t="inlineStr">
        <is>
          <t>Governance &amp; Ethics</t>
        </is>
      </c>
      <c r="B38">
        <f>IFERROR(AVERAGEIF($C$7:$C$17,A38,$E$7:$E$17),"")</f>
        <v>0.5625</v>
      </c>
      <c r="C38" t="str">
        <f>IF(B38="","",IF(B38&gt;=0.9,"Adaptive",IF(B38&gt;=0.7,"Repeatable",IF(B38&gt;=0.5,"Informed","Partial"))))</f>
        <v>Informed</v>
      </c>
      <c r="D38" t="n">
        <v>0.7</v>
      </c>
      <c r="E38" t="inlineStr">
        <is>
          <t>Weak AI governance (policies, guardrails, risk assessment, ownership) increases misuse, compliance breaches and uncontrolled AI sprawl.</t>
        </is>
      </c>
      <c r="H38" t="inlineStr">
        <is>
          <t>Governance</t>
        </is>
      </c>
      <c r="I38">
        <f>IF(B38="",0,B38*100)</f>
        <v>56.25</v>
      </c>
      <c r="J38" t="n">
        <v>70</v>
      </c>
    </row>
    <row r="39">
      <c r="A39" t="inlineStr">
        <is>
          <t>Training &amp; Development</t>
        </is>
      </c>
      <c r="B39">
        <f>IFERROR(AVERAGEIF($C$7:$C$17,A39,$E$7:$E$17),"")</f>
        <v>0.75</v>
      </c>
      <c r="C39" t="str">
        <f>IF(B39="","",IF(B39&gt;=0.9,"Adaptive",IF(B39&gt;=0.7,"Repeatable",IF(B39&gt;=0.5,"Informed","Partial"))))</f>
        <v>Repeatable</v>
      </c>
      <c r="D39" t="n">
        <v>0.7</v>
      </c>
      <c r="E39" t="inlineStr">
        <is>
          <t>Low AI literacy and skills increase unsafe use, susceptibility to AI-enabled threats, biased outcomes and limit effective adoption.</t>
        </is>
      </c>
      <c r="H39" t="inlineStr">
        <is>
          <t>Training</t>
        </is>
      </c>
      <c r="I39">
        <f>IF(B39="",0,B39*100)</f>
        <v>75</v>
      </c>
      <c r="J39" t="n">
        <v>70</v>
      </c>
    </row>
    <row r="40">
      <c r="A40" t="inlineStr">
        <is>
          <t>Data &amp; Quality</t>
        </is>
      </c>
      <c r="B40">
        <f>IFERROR(AVERAGEIF($C$7:$C$17,A40,$E$7:$E$17),"")</f>
        <v>0.75</v>
      </c>
      <c r="C40" t="str">
        <f>IF(B40="","",IF(B40&gt;=0.9,"Adaptive",IF(B40&gt;=0.7,"Repeatable",IF(B40&gt;=0.5,"Informed","Partial"))))</f>
        <v>Repeatable</v>
      </c>
      <c r="D40" t="n">
        <v>0.7</v>
      </c>
      <c r="E40" t="inlineStr">
        <is>
          <t>Weak data governance and oversight increase the risk of breaches, bias, data misuse, lack of transparency and non-compliance.</t>
        </is>
      </c>
      <c r="H40" t="inlineStr">
        <is>
          <t>Data</t>
        </is>
      </c>
      <c r="I40">
        <f>IF(B40="",0,B40*100)</f>
        <v>75</v>
      </c>
      <c r="J40" t="n">
        <v>70</v>
      </c>
    </row>
    <row r="41">
      <c r="A41" t="inlineStr">
        <is>
          <t>Architecture &amp; Technology</t>
        </is>
      </c>
      <c r="B41">
        <f>IFERROR(AVERAGEIF($C$7:$C$17,A41,$E$7:$E$17),"")</f>
        <v>0.5</v>
      </c>
      <c r="C41" t="str">
        <f>IF(B41="","",IF(B41&gt;=0.9,"Adaptive",IF(B41&gt;=0.7,"Repeatable",IF(B41&gt;=0.5,"Informed","Partial"))))</f>
        <v>Informed</v>
      </c>
      <c r="D41" t="n">
        <v>0.7</v>
      </c>
      <c r="E41" t="inlineStr">
        <is>
          <t>Weak AI architecture and controls increase security gaps, integration risk, undetected failures and unsustainable costs.</t>
        </is>
      </c>
      <c r="H41" t="inlineStr">
        <is>
          <t>Architecture</t>
        </is>
      </c>
      <c r="I41">
        <f>IF(B41="",0,B41*100)</f>
        <v>50</v>
      </c>
      <c r="J41" t="n">
        <v>70</v>
      </c>
    </row>
    <row r="42">
      <c r="A42" t="inlineStr">
        <is>
          <t>Protect AI Systems</t>
        </is>
      </c>
      <c r="B42">
        <f>IFERROR(AVERAGEIF($C$7:$C$17,A42,$E$7:$E$17),"")</f>
        <v>0.5</v>
      </c>
      <c r="C42" t="str">
        <f>IF(B42="","",IF(B42&gt;=0.9,"Adaptive",IF(B42&gt;=0.7,"Repeatable",IF(B42&gt;=0.5,"Informed","Partial"))))</f>
        <v>Informed</v>
      </c>
      <c r="D42" t="n">
        <v>0.7</v>
      </c>
      <c r="E42" t="inlineStr">
        <is>
          <t>Weak AI security practices increase the risk of unauthorised access, data leakage, vulnerable deployments and undetected misuse.</t>
        </is>
      </c>
      <c r="H42" t="inlineStr">
        <is>
          <t>Protect AI</t>
        </is>
      </c>
      <c r="I42">
        <f>IF(B42="",0,B42*100)</f>
        <v>50</v>
      </c>
      <c r="J42" t="n">
        <v>70</v>
      </c>
    </row>
    <row r="43">
      <c r="A43" t="inlineStr">
        <is>
          <t>Protection from AI Threats</t>
        </is>
      </c>
      <c r="B43">
        <f>IFERROR(AVERAGEIF($C$7:$C$17,A43,$E$7:$E$17),"")</f>
        <v>0.75</v>
      </c>
      <c r="C43" t="str">
        <f>IF(B43="","",IF(B43&gt;=0.9,"Adaptive",IF(B43&gt;=0.7,"Repeatable",IF(B43&gt;=0.5,"Informed","Partial"))))</f>
        <v>Repeatable</v>
      </c>
      <c r="D43" t="n">
        <v>0.7</v>
      </c>
      <c r="E43" t="inlineStr">
        <is>
          <t>Weak AI-threat detection and response increase exposure to deepfakes, AI-crafted attacks and delayed response.</t>
        </is>
      </c>
      <c r="H43" t="inlineStr">
        <is>
          <t>AI Threats</t>
        </is>
      </c>
      <c r="I43">
        <f>IF(B43="",0,B43*100)</f>
        <v>75</v>
      </c>
      <c r="J43" t="n">
        <v>70</v>
      </c>
    </row>
    <row r="45">
      <c r="A45" t="inlineStr">
        <is>
          <t>Overall readiness</t>
        </is>
      </c>
      <c r="B45">
        <f>IF(COUNT(B37:B43)=0,"",AVERAGE(B37:B43))</f>
        <v>0.616071428571429</v>
      </c>
    </row>
    <row r="46">
      <c r="A46" t="inlineStr">
        <is>
          <t>Maturity</t>
        </is>
      </c>
      <c r="B46" t="str">
        <f>IF(B45="","",IF(B45&gt;=0.9,"Adaptive",IF(B45&gt;=0.7,"Repeatable",IF(B45&gt;=0.5,"Informed","Partial"))))</f>
        <v>Informed</v>
      </c>
    </row>
    <row r="47">
      <c r="A47" t="inlineStr">
        <is>
          <t>Strongest pillar</t>
        </is>
      </c>
      <c r="B47" t="str">
        <f>IFERROR(INDEX(A37:A43,MATCH(MAX(B37:B43),B37:B43,0)),"")</f>
        <v>Training &amp; Development</v>
      </c>
      <c r="C47">
        <f>IFERROR(MAX(B37:B43),"")</f>
        <v>0.75</v>
      </c>
    </row>
    <row r="48">
      <c r="A48" t="inlineStr">
        <is>
          <t>Weakest pillar</t>
        </is>
      </c>
      <c r="B48" t="str">
        <f>IFERROR(INDEX(A37:A43,MATCH(MIN(B37:B43),B37:B43,0)),"")</f>
        <v>Business Alignment</v>
      </c>
      <c r="C48">
        <f>IFERROR(MIN(B37:B43),"")</f>
        <v>0.5</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Moderate</v>
      </c>
    </row>
    <row r="58">
      <c r="A58" t="inlineStr">
        <is>
          <t>Pathway</t>
        </is>
      </c>
      <c r="B58" t="str">
        <f>IFERROR(VLOOKUP(B57,$A$60:$C$63,2,FALSE),"")</f>
        <v>PROCEED WITH CONDITIONS</v>
      </c>
      <c r="C58" t="str">
        <f>IFERROR(VLOOKUP(B57,$A$60:$C$63,3,FALSE),"")</f>
        <v>Continue AI adoption, but address the identified gaps through a time-bound remediation plan (within 90 days for priority items). Obtain SME review (risk, privacy, security) for new AI use cases.</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Awareness and some defined practices exist, but they are not consistently implemented.</v>
      </c>
    </row>
    <row r="72">
      <c r="A72" t="inlineStr">
        <is>
          <t>Narrative</t>
        </is>
      </c>
      <c r="B72" t="str">
        <f>IF(B21=0,"The assessment is incomplete ("&amp;B20&amp;" of 15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Based on the responses provided, Grant Thornton Bahrain has an overall AI readiness score of 62%, corresponding to the 'Informed' maturity level: awareness and some defined practices exist, but they are not consistently implemented. Its AI use profile indicates a MEDIUM inherent risk tier (43% of maximum inherent risk), resulting in an overall AI risk exposure rating of MODERATE. The strongest area is Training &amp; Development (75%) and the area requiring most attention is Business Alignment (50%). Recommended pathway: PROCEED WITH CONDITIONS. Continue AI adoption, but address the identified gaps through a time-bound remediation plan (within 90 days for priority items). Obtain SME review (risk, privacy, security) for new AI use cases.</v>
      </c>
    </row>
    <row r="75">
      <c r="A75" t="inlineStr">
        <is>
          <t>AIAF principle coverage</t>
        </is>
      </c>
    </row>
    <row r="76">
      <c r="A76" t="inlineStr">
        <is>
          <t>Fairness</t>
        </is>
      </c>
      <c r="B76">
        <f>IFERROR(AVERAGE(E11,E13),"")</f>
        <v>0.625</v>
      </c>
      <c r="C76" t="inlineStr">
        <is>
          <t>Q9, Q11</t>
        </is>
      </c>
      <c r="D76" t="str">
        <f>IF(B76="","",IF(B76&gt;=0.75,"Well addressed",IF(B76&gt;=0.5,"Partially addressed","Needs attention")))</f>
        <v>Partially addressed</v>
      </c>
    </row>
    <row r="77">
      <c r="A77" t="inlineStr">
        <is>
          <t>Privacy &amp; Security</t>
        </is>
      </c>
      <c r="B77">
        <f>IFERROR(AVERAGE(E9,E13,E15,E16),"")</f>
        <v>0.6875</v>
      </c>
      <c r="C77" t="inlineStr">
        <is>
          <t>Q7, Q11, Q13, Q14</t>
        </is>
      </c>
      <c r="D77" t="str">
        <f>IF(B77="","",IF(B77&gt;=0.75,"Well addressed",IF(B77&gt;=0.5,"Partially addressed","Needs attention")))</f>
        <v>Partially addressed</v>
      </c>
    </row>
    <row r="78">
      <c r="A78" t="inlineStr">
        <is>
          <t>Transparency &amp; Explainability</t>
        </is>
      </c>
      <c r="B78">
        <f>IFERROR(AVERAGE(E11,E17),"")</f>
        <v>0.5</v>
      </c>
      <c r="C78" t="inlineStr">
        <is>
          <t>Q9, Q15</t>
        </is>
      </c>
      <c r="D78" t="str">
        <f>IF(B78="","",IF(B78&gt;=0.75,"Well addressed",IF(B78&gt;=0.5,"Partially addressed","Needs attention")))</f>
        <v>Partially addressed</v>
      </c>
    </row>
    <row r="79">
      <c r="A79" t="inlineStr">
        <is>
          <t>Accountability</t>
        </is>
      </c>
      <c r="B79">
        <f>IFERROR(AVERAGE(E7,E9,E10,E17),"")</f>
        <v>0.5625</v>
      </c>
      <c r="C79" t="inlineStr">
        <is>
          <t>Q5, Q7, Q8, Q15</t>
        </is>
      </c>
      <c r="D79" t="str">
        <f>IF(B79="","",IF(B79&gt;=0.75,"Well addressed",IF(B79&gt;=0.5,"Partially addressed","Needs attention")))</f>
        <v>Partially addressed</v>
      </c>
    </row>
    <row r="80">
      <c r="A80" t="inlineStr">
        <is>
          <t>Human, Social &amp; Environmental Wellbeing</t>
        </is>
      </c>
      <c r="B80">
        <f>IFERROR(AVERAGE(E8,E10),"")</f>
        <v>0.5</v>
      </c>
      <c r="C80" t="inlineStr">
        <is>
          <t>Q6, Q8</t>
        </is>
      </c>
      <c r="D80" t="str">
        <f>IF(B80="","",IF(B80&gt;=0.75,"Well addressed",IF(B80&gt;=0.5,"Partially addressed","Needs attention")))</f>
        <v>Partially addressed</v>
      </c>
    </row>
    <row r="81">
      <c r="A81" t="inlineStr">
        <is>
          <t>Human-Centred Values</t>
        </is>
      </c>
      <c r="B81">
        <f>IFERROR(AVERAGE(E11,E12),"")</f>
        <v>0.625</v>
      </c>
      <c r="C81" t="inlineStr">
        <is>
          <t>Q9, Q10</t>
        </is>
      </c>
      <c r="D81" t="str">
        <f>IF(B81="","",IF(B81&gt;=0.75,"Well addressed",IF(B81&gt;=0.5,"Partially addressed","Needs attention")))</f>
        <v>Partially addressed</v>
      </c>
    </row>
    <row r="82">
      <c r="A82" t="inlineStr">
        <is>
          <t>Reliability &amp; Safety</t>
        </is>
      </c>
      <c r="B82">
        <f>IFERROR(AVERAGE(E14,E15,E17),"")</f>
        <v>0.5</v>
      </c>
      <c r="C82" t="inlineStr">
        <is>
          <t>Q12, Q13, Q15</t>
        </is>
      </c>
      <c r="D82" t="str">
        <f>IF(B82="","",IF(B82&gt;=0.75,"Well addressed",IF(B82&gt;=0.5,"Partially addressed","Needs attention")))</f>
        <v>Partially addressed</v>
      </c>
    </row>
    <row r="83">
      <c r="A83" t="inlineStr">
        <is>
          <t>Contestability</t>
        </is>
      </c>
      <c r="B83">
        <f>IFERROR(AVERAGE(E11,E17),"")</f>
        <v>0.5</v>
      </c>
      <c r="C83" t="inlineStr">
        <is>
          <t>Q9, Q15</t>
        </is>
      </c>
      <c r="D83" t="str">
        <f>IF(B83="","",IF(B83&gt;=0.75,"Well addressed",IF(B83&gt;=0.5,"Partially addressed","Needs attention")))</f>
        <v>Partially addressed</v>
      </c>
    </row>
    <row r="86">
      <c r="A86" t="inlineStr">
        <is>
          <t>Rank</t>
        </is>
      </c>
      <c r="B86" t="inlineStr">
        <is>
          <t>Priority row</t>
        </is>
      </c>
      <c r="C86" t="inlineStr">
        <is>
          <t>Roadmap row</t>
        </is>
      </c>
    </row>
    <row r="87">
      <c r="A87" t="n">
        <v>1</v>
      </c>
      <c r="B87">
        <f>IFERROR(IF(LARGE($H$7:$H$17,A87)&lt;0.5,"",MATCH(LARGE($H$7:$H$17,A87),$H$7:$H$17,0)+6),"")</f>
        <v>10</v>
      </c>
      <c r="C87">
        <f>IFERROR(IF(LARGE($K$7:$K$17,A87)&lt;1000,"",IF(INDEX($J$7:$J$17,MATCH(LARGE($K$7:$K$17,A87),$K$7:$K$17,0))&lt;2,"",MATCH(LARGE($K$7:$K$17,A87),$K$7:$K$17,0)+6)),"")</f>
        <v>10</v>
      </c>
    </row>
    <row r="88">
      <c r="A88" t="n">
        <v>2</v>
      </c>
      <c r="B88">
        <f>IFERROR(IF(LARGE($H$7:$H$17,A88)&lt;0.5,"",MATCH(LARGE($H$7:$H$17,A88),$H$7:$H$17,0)+6),"")</f>
        <v>15</v>
      </c>
      <c r="C88">
        <f>IFERROR(IF(LARGE($K$7:$K$17,A88)&lt;1000,"",IF(INDEX($J$7:$J$17,MATCH(LARGE($K$7:$K$17,A88),$K$7:$K$17,0))&lt;2,"",MATCH(LARGE($K$7:$K$17,A88),$K$7:$K$17,0)+6)),"")</f>
        <v>15</v>
      </c>
    </row>
    <row r="89">
      <c r="A89" t="n">
        <v>3</v>
      </c>
      <c r="B89">
        <f>IFERROR(IF(LARGE($H$7:$H$17,A89)&lt;0.5,"",MATCH(LARGE($H$7:$H$17,A89),$H$7:$H$17,0)+6),"")</f>
        <v>17</v>
      </c>
      <c r="C89">
        <f>IFERROR(IF(LARGE($K$7:$K$17,A89)&lt;1000,"",IF(INDEX($J$7:$J$17,MATCH(LARGE($K$7:$K$17,A89),$K$7:$K$17,0))&lt;2,"",MATCH(LARGE($K$7:$K$17,A89),$K$7:$K$17,0)+6)),"")</f>
        <v>17</v>
      </c>
    </row>
    <row r="90">
      <c r="A90" t="n">
        <v>4</v>
      </c>
      <c r="B90">
        <f>IFERROR(IF(LARGE($H$7:$H$17,A90)&lt;0.5,"",MATCH(LARGE($H$7:$H$17,A90),$H$7:$H$17,0)+6),"")</f>
        <v>7</v>
      </c>
      <c r="C90">
        <f>IFERROR(IF(LARGE($K$7:$K$17,A90)&lt;1000,"",IF(INDEX($J$7:$J$17,MATCH(LARGE($K$7:$K$17,A90),$K$7:$K$17,0))&lt;2,"",MATCH(LARGE($K$7:$K$17,A90),$K$7:$K$17,0)+6)),"")</f>
        <v>7</v>
      </c>
    </row>
    <row r="91">
      <c r="A91" t="n">
        <v>5</v>
      </c>
      <c r="B91">
        <f>IFERROR(IF(LARGE($H$7:$H$17,A91)&lt;0.5,"",MATCH(LARGE($H$7:$H$17,A91),$H$7:$H$17,0)+6),"")</f>
        <v>8</v>
      </c>
      <c r="C91">
        <f>IFERROR(IF(LARGE($K$7:$K$17,A91)&lt;1000,"",IF(INDEX($J$7:$J$17,MATCH(LARGE($K$7:$K$17,A91),$K$7:$K$17,0))&lt;2,"",MATCH(LARGE($K$7:$K$17,A91),$K$7:$K$17,0)+6)),"")</f>
        <v>8</v>
      </c>
    </row>
    <row r="92">
      <c r="A92" t="n">
        <v>6</v>
      </c>
      <c r="B92">
        <f>IFERROR(IF(LARGE($H$7:$H$17,A92)&lt;0.5,"",MATCH(LARGE($H$7:$H$17,A92),$H$7:$H$17,0)+6),"")</f>
        <v>11</v>
      </c>
      <c r="C92">
        <f>IFERROR(IF(LARGE($K$7:$K$17,A92)&lt;1000,"",IF(INDEX($J$7:$J$17,MATCH(LARGE($K$7:$K$17,A92),$K$7:$K$17,0))&lt;2,"",MATCH(LARGE($K$7:$K$17,A92),$K$7:$K$17,0)+6)),"")</f>
        <v>11</v>
      </c>
    </row>
    <row r="93">
      <c r="A93" t="n">
        <v>7</v>
      </c>
      <c r="B93">
        <f>IFERROR(IF(LARGE($H$7:$H$17,A93)&lt;0.5,"",MATCH(LARGE($H$7:$H$17,A93),$H$7:$H$17,0)+6),"")</f>
        <v>14</v>
      </c>
      <c r="C93">
        <f>IFERROR(IF(LARGE($K$7:$K$17,A93)&lt;1000,"",IF(INDEX($J$7:$J$17,MATCH(LARGE($K$7:$K$17,A93),$K$7:$K$17,0))&lt;2,"",MATCH(LARGE($K$7:$K$17,A93),$K$7:$K$17,0)+6)),"")</f>
        <v>14</v>
      </c>
    </row>
    <row r="94">
      <c r="A94" t="n">
        <v>8</v>
      </c>
      <c r="B94">
        <f>IFERROR(IF(LARGE($H$7:$H$17,A94)&lt;0.5,"",MATCH(LARGE($H$7:$H$17,A94),$H$7:$H$17,0)+6),"")</f>
        <v>9</v>
      </c>
      <c r="C94">
        <f>IFERROR(IF(LARGE($K$7:$K$17,A94)&lt;1000,"",IF(INDEX($J$7:$J$17,MATCH(LARGE($K$7:$K$17,A94),$K$7:$K$17,0))&lt;2,"",MATCH(LARGE($K$7:$K$17,A94),$K$7:$K$17,0)+6)),"")</f>
        <v>9</v>
      </c>
    </row>
    <row r="95">
      <c r="A95" t="n">
        <v>9</v>
      </c>
      <c r="B95">
        <f>IFERROR(IF(LARGE($H$7:$H$17,A95)&lt;0.5,"",MATCH(LARGE($H$7:$H$17,A95),$H$7:$H$17,0)+6),"")</f>
        <v>12</v>
      </c>
      <c r="C95">
        <f>IFERROR(IF(LARGE($K$7:$K$17,A95)&lt;1000,"",IF(INDEX($J$7:$J$17,MATCH(LARGE($K$7:$K$17,A95),$K$7:$K$17,0))&lt;2,"",MATCH(LARGE($K$7:$K$17,A95),$K$7:$K$17,0)+6)),"")</f>
        <v>12</v>
      </c>
    </row>
    <row r="96">
      <c r="A96" t="n">
        <v>10</v>
      </c>
      <c r="B96">
        <f>IFERROR(IF(LARGE($H$7:$H$17,A96)&lt;0.5,"",MATCH(LARGE($H$7:$H$17,A96),$H$7:$H$17,0)+6),"")</f>
        <v>13</v>
      </c>
      <c r="C96">
        <f>IFERROR(IF(LARGE($K$7:$K$17,A96)&lt;1000,"",IF(INDEX($J$7:$J$17,MATCH(LARGE($K$7:$K$17,A96),$K$7:$K$17,0))&lt;2,"",MATCH(LARGE($K$7:$K$17,A96),$K$7:$K$17,0)+6)),"")</f>
        <v>13</v>
      </c>
    </row>
    <row r="97">
      <c r="A97" t="n">
        <v>11</v>
      </c>
      <c r="B97">
        <f>IFERROR(IF(LARGE($H$7:$H$17,A97)&lt;0.5,"",MATCH(LARGE($H$7:$H$17,A97),$H$7:$H$17,0)+6),"")</f>
        <v>16</v>
      </c>
      <c r="C97">
        <f>IFERROR(IF(LARGE($K$7:$K$17,A97)&lt;1000,"",IF(INDEX($J$7:$J$17,MATCH(LARGE($K$7:$K$17,A97),$K$7:$K$17,0))&lt;2,"",MATCH(LARGE($K$7:$K$17,A97),$K$7:$K$17,0)+6)),"")</f>
        <v>16</v>
      </c>
    </row>
    <row r="100">
      <c r="A100" t="inlineStr">
        <is>
          <t>AI Governance, Risk &amp; Compliance</t>
        </is>
      </c>
      <c r="B100" t="inlineStr">
        <is>
          <t>Governance &amp; Ethics</t>
        </is>
      </c>
      <c r="C100" t="inlineStr">
        <is>
          <t>AI governance framework &amp; policies, AI register, risk &amp; impact assessments (GT AI Risk Assessment Framework), RCM-based compliance reviews, ISO/IEC 42001 readiness.</t>
        </is>
      </c>
      <c r="D100">
        <f>IFERROR(B38,"")</f>
        <v>0.5625</v>
      </c>
      <c r="E100" t="str">
        <f>IF(D100="","",IF(D100&lt;0.5,"Priority",IF(D100&lt;0.7,"Advised",IF(D100&lt;0.9,"Optional","Sustain"))))</f>
        <v>Advised</v>
      </c>
    </row>
    <row r="101">
      <c r="A101" t="inlineStr">
        <is>
          <t>AI Strategy &amp; Roadmap</t>
        </is>
      </c>
      <c r="B101" t="inlineStr">
        <is>
          <t>Business Alignment</t>
        </is>
      </c>
      <c r="C101" t="inlineStr">
        <is>
          <t>Situational / SWOT analysis, AI strategy and risk appetite, use-case prioritisation, value-realisation KPIs and phased roadmap.</t>
        </is>
      </c>
      <c r="D101">
        <f>IFERROR(B37,"")</f>
        <v>0.5</v>
      </c>
      <c r="E101" t="str">
        <f>IF(D101="","",IF(D101&lt;0.5,"Priority",IF(D101&lt;0.7,"Advised",IF(D101&lt;0.9,"Optional","Sustain"))))</f>
        <v>Advised</v>
      </c>
    </row>
    <row r="102">
      <c r="A102" t="inlineStr">
        <is>
          <t>Training &amp; Awareness</t>
        </is>
      </c>
      <c r="B102" t="inlineStr">
        <is>
          <t>Training &amp; Development</t>
        </is>
      </c>
      <c r="C102" t="inlineStr">
        <is>
          <t>AI literacy programmes, role-based pathways, immersive labs, deepfake &amp; AI-phishing simulations, leadership workshops.</t>
        </is>
      </c>
      <c r="D102">
        <f>IFERROR(B39,"")</f>
        <v>0.75</v>
      </c>
      <c r="E102" t="str">
        <f>IF(D102="","",IF(D102&lt;0.5,"Priority",IF(D102&lt;0.7,"Advised",IF(D102&lt;0.9,"Optional","Sustain"))))</f>
        <v>Optional</v>
      </c>
    </row>
    <row r="103">
      <c r="A103" t="inlineStr">
        <is>
          <t>AI-Driven Automation &amp; Architecture</t>
        </is>
      </c>
      <c r="B103" t="inlineStr">
        <is>
          <t>Architecture &amp; Technology</t>
        </is>
      </c>
      <c r="C103" t="inlineStr">
        <is>
          <t>Technology evaluation and selection, reference architecture, AI integration and monitoring. GT AI apps in preparation: AI-powered Business Continuity (BCP) tool and AI-powered Financial Statements tool.</t>
        </is>
      </c>
      <c r="D103">
        <f>IFERROR(B41,"")</f>
        <v>0.5</v>
      </c>
      <c r="E103" t="str">
        <f>IF(D103="","",IF(D103&lt;0.5,"Priority",IF(D103&lt;0.7,"Advised",IF(D103&lt;0.9,"Optional","Sustain"))))</f>
        <v>Advised</v>
      </c>
    </row>
    <row r="104">
      <c r="A104" t="inlineStr">
        <is>
          <t>AI Security &amp; Cyber Resilience</t>
        </is>
      </c>
      <c r="B104" t="inlineStr">
        <is>
          <t>Protect AI Systems</t>
        </is>
      </c>
      <c r="C104" t="inlineStr">
        <is>
          <t>AI security audits (GT AI Security &amp; Agent Audit Checklist), AI red teaming, secure AI agents (ISACA 2026 baseline), deepfake-resilient processes.</t>
        </is>
      </c>
      <c r="D104">
        <f>IFERROR(AVERAGE(B42,B43),"")</f>
        <v>0.625</v>
      </c>
      <c r="E104" t="str">
        <f>IF(D104="","",IF(D104&lt;0.5,"Priority",IF(D104&lt;0.7,"Advised",IF(D104&lt;0.9,"Optional","Sustain"))))</f>
        <v>Advised</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2026-09-26T13:20:46Z</dcterms:created>
  <dcterms:modified xmlns:dcterms="http://purl.org/dc/terms/" xmlns:xsi="http://www.w3.org/2001/XMLSchema-instance" xsi:type="dcterms:W3CDTF">2026-09-26T13:20:46Z</dcterms:modified>
</cp:coreProperties>
</file>