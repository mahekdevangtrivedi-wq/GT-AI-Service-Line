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Welcome" sheetId="1" state="visible" r:id="rId1"/>
    <sheet xmlns:r="http://schemas.openxmlformats.org/officeDocument/2006/relationships" name="1. Profile" sheetId="2" state="visible" r:id="rId2"/>
    <sheet xmlns:r="http://schemas.openxmlformats.org/officeDocument/2006/relationships" name="2. Assessment" sheetId="3" state="visible" r:id="rId3"/>
    <sheet xmlns:r="http://schemas.openxmlformats.org/officeDocument/2006/relationships" name="3. Report" sheetId="4" state="visible" r:id="rId4"/>
    <sheet xmlns:r="http://schemas.openxmlformats.org/officeDocument/2006/relationships" name="4. Action Plan" sheetId="5" state="visible" r:id="rId5"/>
    <sheet xmlns:r="http://schemas.openxmlformats.org/officeDocument/2006/relationships" name="Methodology" sheetId="6" state="visible" r:id="rId6"/>
    <sheet xmlns:r="http://schemas.openxmlformats.org/officeDocument/2006/relationships" name="QBank" sheetId="7" state="hidden" r:id="rId7"/>
    <sheet xmlns:r="http://schemas.openxmlformats.org/officeDocument/2006/relationships" name="Calc" sheetId="8" state="hidden" r:id="rId8"/>
    <sheet xmlns:r="http://schemas.openxmlformats.org/officeDocument/2006/relationships" name="Lists" sheetId="9" state="hidden" r:id="rId9"/>
  </sheets>
  <definedNames>
    <definedName name="_xlnm.Print_Area" localSheetId="0">'Welcome'!$A$1:$F$15</definedName>
    <definedName name="_xlnm.Print_Area" localSheetId="1">'1. Profile'!$A$1:$E$21</definedName>
    <definedName name="_xlnm.Print_Area" localSheetId="2">'2. Assessment'!$A$1:$L$25</definedName>
    <definedName name="_xlnm.Print_Area" localSheetId="3">'3. Report'!$A$1:$K$120</definedName>
    <definedName name="_xlnm.Print_Area" localSheetId="4">'4. Action Plan'!$A$1:$L$15</definedName>
    <definedName name="_xlnm.Print_Area" localSheetId="5">'Methodology'!$A$1:$H$41</definedName>
  </definedNames>
  <calcPr calcId="124519" fullCalcOnLoad="1"/>
</workbook>
</file>

<file path=xl/styles.xml><?xml version="1.0" encoding="utf-8"?>
<styleSheet xmlns="http://schemas.openxmlformats.org/spreadsheetml/2006/main">
  <numFmts count="2">
    <numFmt numFmtId="164" formatCode="0&quot; / 4&quot;"/>
    <numFmt numFmtId="165" formatCode="dd/mm/yyyy"/>
  </numFmts>
  <fonts count="44">
    <font>
      <name val="Calibri"/>
      <family val="2"/>
      <color theme="1"/>
      <sz val="11"/>
      <scheme val="minor"/>
    </font>
    <font>
      <name val="Calibri"/>
      <b val="1"/>
      <color rgb="00FFFFFF"/>
      <sz val="16"/>
    </font>
    <font>
      <name val="Calibri"/>
      <i val="1"/>
      <color rgb="004F2D7F"/>
      <sz val="10"/>
    </font>
    <font>
      <name val="Calibri"/>
      <b val="1"/>
      <color rgb="00000000"/>
      <sz val="10"/>
    </font>
    <font>
      <name val="Calibri"/>
      <color rgb="00000000"/>
      <sz val="10"/>
    </font>
    <font>
      <name val="Calibri"/>
      <b val="1"/>
      <color rgb="00FFFFFF"/>
      <sz val="11"/>
    </font>
    <font>
      <name val="Calibri"/>
      <b val="1"/>
      <color rgb="004F2D7F"/>
      <sz val="10"/>
    </font>
    <font>
      <name val="Calibri"/>
      <i val="1"/>
      <color rgb="00595959"/>
      <sz val="9"/>
    </font>
    <font>
      <name val="Calibri"/>
      <i val="1"/>
      <color rgb="003B2160"/>
      <sz val="9.5"/>
    </font>
    <font>
      <name val="Calibri"/>
      <b val="1"/>
      <color rgb="00FFFFFF"/>
      <sz val="10"/>
    </font>
    <font>
      <name val="Calibri"/>
      <b val="1"/>
      <color rgb="004F2D7F"/>
      <sz val="9"/>
    </font>
    <font>
      <name val="Calibri"/>
      <sz val="9.5"/>
    </font>
    <font>
      <name val="Calibri"/>
      <b val="1"/>
      <color rgb="00000000"/>
      <sz val="9"/>
    </font>
    <font>
      <name val="Calibri"/>
      <color rgb="00000000"/>
      <sz val="9"/>
    </font>
    <font>
      <name val="Calibri"/>
      <b val="1"/>
      <color rgb="00FFFFFF"/>
      <sz val="9"/>
    </font>
    <font>
      <name val="Calibri"/>
      <b val="1"/>
      <color rgb="003B2160"/>
      <sz val="16"/>
    </font>
    <font>
      <name val="Calibri"/>
      <b val="1"/>
      <color rgb="003B2160"/>
      <sz val="12"/>
    </font>
    <font>
      <name val="Calibri"/>
      <b val="1"/>
      <color rgb="003B2160"/>
      <sz val="11"/>
    </font>
    <font>
      <name val="Calibri"/>
      <b val="1"/>
      <color rgb="00FFFFFF"/>
      <sz val="18"/>
    </font>
    <font>
      <name val="Calibri"/>
      <b val="1"/>
      <color rgb="004F2D7F"/>
      <sz val="11"/>
    </font>
    <font>
      <name val="Calibri"/>
      <color rgb="00404040"/>
      <sz val="9"/>
    </font>
    <font>
      <name val="Calibri"/>
      <i val="1"/>
      <color rgb="00595959"/>
      <sz val="8.5"/>
    </font>
    <font>
      <name val="Calibri"/>
      <b val="1"/>
      <color rgb="00FFFFFF"/>
      <sz val="12"/>
    </font>
    <font>
      <name val="Calibri"/>
      <b val="1"/>
      <color rgb="00FFFFFF"/>
      <sz val="8.5"/>
    </font>
    <font>
      <name val="Calibri"/>
      <b val="1"/>
      <color rgb="003B2160"/>
      <sz val="22"/>
    </font>
    <font>
      <name val="Calibri"/>
      <i val="1"/>
      <color rgb="00404040"/>
      <sz val="7.5"/>
    </font>
    <font>
      <name val="Calibri"/>
      <b val="1"/>
      <color rgb="003B2160"/>
      <sz val="13"/>
    </font>
    <font>
      <name val="Calibri"/>
      <color rgb="00202020"/>
      <sz val="9.5"/>
    </font>
    <font>
      <name val="Calibri"/>
      <color rgb="00202020"/>
      <sz val="10"/>
    </font>
    <font>
      <name val="Calibri"/>
      <b val="1"/>
      <color rgb="004F2D7F"/>
      <sz val="9.5"/>
    </font>
    <font>
      <name val="Calibri"/>
      <color rgb="004F2D7F"/>
      <sz val="10"/>
    </font>
    <font>
      <name val="Calibri"/>
      <color rgb="00000000"/>
      <sz val="8.5"/>
    </font>
    <font>
      <name val="Calibri"/>
      <b val="1"/>
      <color rgb="003B2160"/>
      <sz val="10"/>
    </font>
    <font>
      <name val="Calibri"/>
      <i val="1"/>
      <color rgb="00000000"/>
      <sz val="8.5"/>
    </font>
    <font>
      <name val="Calibri"/>
      <b val="1"/>
      <color rgb="004F2D7F"/>
      <sz val="8.5"/>
    </font>
    <font>
      <name val="Calibri"/>
      <b val="1"/>
      <color rgb="00000000"/>
      <sz val="8.5"/>
    </font>
    <font>
      <name val="Calibri"/>
      <color rgb="00000000"/>
      <sz val="7.5"/>
    </font>
    <font>
      <name val="Calibri"/>
      <b val="1"/>
      <color rgb="00000000"/>
      <sz val="8"/>
    </font>
    <font>
      <name val="Calibri"/>
      <color rgb="00000000"/>
      <sz val="8"/>
    </font>
    <font>
      <name val="Calibri"/>
      <i val="1"/>
      <color rgb="00595959"/>
      <sz val="7.5"/>
    </font>
    <font>
      <name val="Calibri"/>
      <b val="1"/>
      <color rgb="000563C1"/>
      <sz val="10"/>
    </font>
    <font>
      <name val="Calibri"/>
      <color rgb="00000000"/>
      <sz val="9.5"/>
    </font>
    <font>
      <name val="Calibri"/>
      <b val="1"/>
      <color rgb="00FFFFFF"/>
      <sz val="22"/>
    </font>
    <font>
      <name val="Calibri"/>
      <i val="1"/>
      <color rgb="004F2D7F"/>
      <sz val="10.5"/>
    </font>
  </fonts>
  <fills count="13">
    <fill>
      <patternFill/>
    </fill>
    <fill>
      <patternFill patternType="gray125"/>
    </fill>
    <fill>
      <patternFill patternType="solid">
        <fgColor rgb="004F2D7F"/>
      </patternFill>
    </fill>
    <fill>
      <patternFill patternType="solid">
        <fgColor rgb="00EDE7F6"/>
      </patternFill>
    </fill>
    <fill>
      <patternFill patternType="solid">
        <fgColor rgb="00FFF9E6"/>
      </patternFill>
    </fill>
    <fill>
      <patternFill patternType="solid">
        <fgColor rgb="007B5BA6"/>
      </patternFill>
    </fill>
    <fill>
      <patternFill patternType="solid">
        <fgColor rgb="003B2160"/>
      </patternFill>
    </fill>
    <fill>
      <patternFill patternType="solid">
        <fgColor rgb="009BC2E6"/>
      </patternFill>
    </fill>
    <fill>
      <patternFill patternType="solid">
        <fgColor rgb="00C6E0B4"/>
      </patternFill>
    </fill>
    <fill>
      <patternFill patternType="solid">
        <fgColor rgb="00FFE699"/>
      </patternFill>
    </fill>
    <fill>
      <patternFill patternType="solid">
        <fgColor rgb="00F8CBAD"/>
      </patternFill>
    </fill>
    <fill>
      <patternFill patternType="solid">
        <fgColor rgb="00F4B183"/>
      </patternFill>
    </fill>
    <fill>
      <patternFill patternType="solid">
        <fgColor rgb="00E06666"/>
      </patternFill>
    </fill>
  </fills>
  <borders count="5">
    <border>
      <left/>
      <right/>
      <top/>
      <bottom/>
      <diagonal/>
    </border>
    <border>
      <left style="thin">
        <color rgb="00C9C9C9"/>
      </left>
      <right style="thin">
        <color rgb="00C9C9C9"/>
      </right>
      <top style="thin">
        <color rgb="00C9C9C9"/>
      </top>
      <bottom style="thin">
        <color rgb="00C9C9C9"/>
      </bottom>
    </border>
    <border>
      <left style="thin">
        <color rgb="00C9C9C9"/>
      </left>
      <right/>
      <top/>
      <bottom/>
      <diagonal/>
    </border>
    <border>
      <left style="thin">
        <color rgb="00C9C9C9"/>
      </left>
      <right style="thin">
        <color rgb="00C9C9C9"/>
      </right>
      <top/>
      <bottom/>
      <diagonal/>
    </border>
    <border>
      <left style="thin">
        <color rgb="00C9C9C9"/>
      </left>
      <right style="thin">
        <color rgb="00C9C9C9"/>
      </right>
      <top/>
      <bottom style="thin">
        <color rgb="00C9C9C9"/>
      </bottom>
      <diagonal/>
    </border>
  </borders>
  <cellStyleXfs count="1">
    <xf numFmtId="0" fontId="0" fillId="0" borderId="0"/>
  </cellStyleXfs>
  <cellXfs count="92">
    <xf numFmtId="0" fontId="0" fillId="0" borderId="0" pivotButton="0" quotePrefix="0" xfId="0"/>
    <xf numFmtId="0" fontId="42" fillId="2" borderId="0" applyAlignment="1" pivotButton="0" quotePrefix="0" xfId="0">
      <alignment vertical="center" indent="1"/>
    </xf>
    <xf numFmtId="0" fontId="43" fillId="0" borderId="0" applyAlignment="1" pivotButton="0" quotePrefix="0" xfId="0">
      <alignment vertical="top" wrapText="1"/>
    </xf>
    <xf numFmtId="0" fontId="5" fillId="5" borderId="1" applyAlignment="1" pivotButton="0" quotePrefix="0" xfId="0">
      <alignment vertical="center" wrapText="1"/>
    </xf>
    <xf numFmtId="0" fontId="41" fillId="3" borderId="1" applyAlignment="1" pivotButton="0" quotePrefix="0" xfId="0">
      <alignment vertical="top" wrapText="1"/>
    </xf>
    <xf numFmtId="0" fontId="6" fillId="0" borderId="0" applyAlignment="1" pivotButton="0" quotePrefix="0" xfId="0">
      <alignment vertical="top" wrapText="1"/>
    </xf>
    <xf numFmtId="0" fontId="13" fillId="4" borderId="1" applyAlignment="1" pivotButton="0" quotePrefix="0" xfId="0">
      <alignment vertical="center" wrapText="1"/>
    </xf>
    <xf numFmtId="0" fontId="13" fillId="0" borderId="1" applyAlignment="1" pivotButton="0" quotePrefix="0" xfId="0">
      <alignment vertical="center" wrapText="1"/>
    </xf>
    <xf numFmtId="0" fontId="22" fillId="2" borderId="1" applyAlignment="1" pivotButton="0" quotePrefix="0" xfId="0">
      <alignment horizontal="center" vertical="center" wrapText="1"/>
    </xf>
    <xf numFmtId="0" fontId="13" fillId="8" borderId="1" applyAlignment="1" pivotButton="0" quotePrefix="0" xfId="0">
      <alignment vertical="center" wrapText="1"/>
    </xf>
    <xf numFmtId="0" fontId="13" fillId="9" borderId="1" applyAlignment="1" pivotButton="0" quotePrefix="0" xfId="0">
      <alignment vertical="center" wrapText="1"/>
    </xf>
    <xf numFmtId="0" fontId="19" fillId="3" borderId="1" applyAlignment="1" pivotButton="0" quotePrefix="0" xfId="0">
      <alignment horizontal="center" vertical="center" wrapText="1"/>
    </xf>
    <xf numFmtId="0" fontId="13" fillId="11" borderId="1" applyAlignment="1" pivotButton="0" quotePrefix="0" xfId="0">
      <alignment vertical="center" wrapText="1"/>
    </xf>
    <xf numFmtId="0" fontId="13" fillId="12" borderId="1" applyAlignment="1" pivotButton="0" quotePrefix="0" xfId="0">
      <alignment vertical="center" wrapText="1"/>
    </xf>
    <xf numFmtId="0" fontId="21" fillId="0" borderId="0" applyAlignment="1" pivotButton="0" quotePrefix="0" xfId="0">
      <alignment vertical="top" wrapText="1"/>
    </xf>
    <xf numFmtId="0" fontId="1" fillId="2" borderId="0" applyAlignment="1" pivotButton="0" quotePrefix="0" xfId="0">
      <alignment vertical="center" indent="1"/>
    </xf>
    <xf numFmtId="0" fontId="2" fillId="0" borderId="0" applyAlignment="1" pivotButton="0" quotePrefix="0" xfId="0">
      <alignment vertical="top" wrapText="1"/>
    </xf>
    <xf numFmtId="0" fontId="3" fillId="3" borderId="1" applyAlignment="1" pivotButton="0" quotePrefix="0" xfId="0">
      <alignment vertical="center" wrapText="1"/>
    </xf>
    <xf numFmtId="0" fontId="4" fillId="4" borderId="1" applyAlignment="1" pivotButton="0" quotePrefix="0" xfId="0">
      <alignment vertical="center" wrapText="1"/>
    </xf>
    <xf numFmtId="0" fontId="7" fillId="0" borderId="0" applyAlignment="1" pivotButton="0" quotePrefix="0" xfId="0">
      <alignment vertical="top" wrapText="1"/>
    </xf>
    <xf numFmtId="0" fontId="5" fillId="5" borderId="1" applyAlignment="1" pivotButton="0" quotePrefix="0" xfId="0">
      <alignment vertical="top" wrapText="1"/>
    </xf>
    <xf numFmtId="0" fontId="0" fillId="0" borderId="1" pivotButton="0" quotePrefix="0" xfId="0"/>
    <xf numFmtId="0" fontId="8" fillId="0" borderId="0" applyAlignment="1" pivotButton="0" quotePrefix="0" xfId="0">
      <alignment vertical="top" wrapText="1"/>
    </xf>
    <xf numFmtId="0" fontId="14" fillId="5" borderId="1" applyAlignment="1" pivotButton="0" quotePrefix="0" xfId="0">
      <alignment horizontal="center" vertical="center" wrapText="1"/>
    </xf>
    <xf numFmtId="0" fontId="15" fillId="3" borderId="1" applyAlignment="1" pivotButton="0" quotePrefix="0" xfId="0">
      <alignment horizontal="center" vertical="center" wrapText="1"/>
    </xf>
    <xf numFmtId="9" fontId="15" fillId="3" borderId="1" applyAlignment="1" pivotButton="0" quotePrefix="0" xfId="0">
      <alignment horizontal="center" vertical="center" wrapText="1"/>
    </xf>
    <xf numFmtId="0" fontId="16" fillId="3" borderId="1" applyAlignment="1" pivotButton="0" quotePrefix="0" xfId="0">
      <alignment horizontal="center" vertical="center" wrapText="1"/>
    </xf>
    <xf numFmtId="0" fontId="17" fillId="3" borderId="1" applyAlignment="1" pivotButton="0" quotePrefix="0" xfId="0">
      <alignment horizontal="center" vertical="center" wrapText="1"/>
    </xf>
    <xf numFmtId="0" fontId="9" fillId="2" borderId="1" applyAlignment="1" pivotButton="0" quotePrefix="0" xfId="0">
      <alignment horizontal="center" vertical="center" wrapText="1"/>
    </xf>
    <xf numFmtId="0" fontId="5" fillId="5" borderId="1" applyAlignment="1" pivotButton="0" quotePrefix="0" xfId="0">
      <alignment vertical="center" indent="1"/>
    </xf>
    <xf numFmtId="0" fontId="3" fillId="3" borderId="1" applyAlignment="1" pivotButton="0" quotePrefix="0" xfId="0">
      <alignment horizontal="center" vertical="center" wrapText="1"/>
    </xf>
    <xf numFmtId="0" fontId="10" fillId="3" borderId="1" applyAlignment="1" pivotButton="0" quotePrefix="0" xfId="0">
      <alignment vertical="top" wrapText="1"/>
    </xf>
    <xf numFmtId="0" fontId="11" fillId="0" borderId="1" applyAlignment="1" pivotButton="0" quotePrefix="0" xfId="0">
      <alignment vertical="top" wrapText="1"/>
    </xf>
    <xf numFmtId="0" fontId="4" fillId="4" borderId="1" applyAlignment="1" applyProtection="1" pivotButton="0" quotePrefix="0" xfId="0">
      <alignment vertical="center" wrapText="1"/>
      <protection locked="0" hidden="0"/>
    </xf>
    <xf numFmtId="164" fontId="3" fillId="0" borderId="1" applyAlignment="1" pivotButton="0" quotePrefix="0" xfId="0">
      <alignment horizontal="center" vertical="center" wrapText="1"/>
    </xf>
    <xf numFmtId="0" fontId="12" fillId="0" borderId="1" applyAlignment="1" pivotButton="0" quotePrefix="0" xfId="0">
      <alignment horizontal="center" vertical="center" wrapText="1"/>
    </xf>
    <xf numFmtId="0" fontId="13" fillId="0" borderId="1" applyAlignment="1" pivotButton="0" quotePrefix="0" xfId="0">
      <alignment vertical="top" wrapText="1"/>
    </xf>
    <xf numFmtId="9" fontId="3" fillId="0" borderId="1" applyAlignment="1" pivotButton="0" quotePrefix="0" xfId="0">
      <alignment horizontal="center" vertical="center" wrapText="1"/>
    </xf>
    <xf numFmtId="0" fontId="18" fillId="2" borderId="0" applyAlignment="1" pivotButton="0" quotePrefix="0" xfId="0">
      <alignment vertical="center" indent="1"/>
    </xf>
    <xf numFmtId="0" fontId="5" fillId="2" borderId="1" applyAlignment="1" pivotButton="0" quotePrefix="0" xfId="0">
      <alignment vertical="center" wrapText="1"/>
    </xf>
    <xf numFmtId="0" fontId="19" fillId="0" borderId="0" applyAlignment="1" pivotButton="0" quotePrefix="0" xfId="0">
      <alignment vertical="center" wrapText="1"/>
    </xf>
    <xf numFmtId="0" fontId="13" fillId="3" borderId="1" applyAlignment="1" pivotButton="0" quotePrefix="0" xfId="0">
      <alignment vertical="top" wrapText="1"/>
    </xf>
    <xf numFmtId="0" fontId="20" fillId="0" borderId="0" applyAlignment="1" pivotButton="0" quotePrefix="0" xfId="0">
      <alignment vertical="center" wrapText="1"/>
    </xf>
    <xf numFmtId="0" fontId="0" fillId="0" borderId="3" pivotButton="0" quotePrefix="0" xfId="0"/>
    <xf numFmtId="0" fontId="21" fillId="0" borderId="0" applyAlignment="1" pivotButton="0" quotePrefix="0" xfId="0">
      <alignment vertical="center" wrapText="1"/>
    </xf>
    <xf numFmtId="0" fontId="0" fillId="0" borderId="4" pivotButton="0" quotePrefix="0" xfId="0"/>
    <xf numFmtId="0" fontId="40" fillId="0" borderId="1" applyAlignment="1" pivotButton="0" quotePrefix="0" xfId="0">
      <alignment vertical="center" wrapText="1"/>
    </xf>
    <xf numFmtId="0" fontId="22" fillId="2" borderId="0" applyAlignment="1" pivotButton="0" quotePrefix="0" xfId="0">
      <alignment vertical="center" indent="1"/>
    </xf>
    <xf numFmtId="0" fontId="23" fillId="5" borderId="1" applyAlignment="1" pivotButton="0" quotePrefix="0" xfId="0">
      <alignment horizontal="center" vertical="center" wrapText="1"/>
    </xf>
    <xf numFmtId="9" fontId="24" fillId="3" borderId="1" applyAlignment="1" pivotButton="0" quotePrefix="0" xfId="0">
      <alignment horizontal="center" vertical="center" wrapText="1"/>
    </xf>
    <xf numFmtId="0" fontId="24" fillId="3" borderId="1" applyAlignment="1" pivotButton="0" quotePrefix="0" xfId="0">
      <alignment horizontal="center" vertical="center" wrapText="1"/>
    </xf>
    <xf numFmtId="0" fontId="25" fillId="3" borderId="1" applyAlignment="1" pivotButton="0" quotePrefix="0" xfId="0">
      <alignment horizontal="center" vertical="center" wrapText="1"/>
    </xf>
    <xf numFmtId="0" fontId="14" fillId="6" borderId="1" applyAlignment="1" pivotButton="0" quotePrefix="0" xfId="0">
      <alignment horizontal="center" vertical="center" wrapText="1"/>
    </xf>
    <xf numFmtId="0" fontId="26" fillId="0" borderId="1" applyAlignment="1" pivotButton="0" quotePrefix="0" xfId="0">
      <alignment vertical="center" indent="1"/>
    </xf>
    <xf numFmtId="0" fontId="27" fillId="0" borderId="1" applyAlignment="1" pivotButton="0" quotePrefix="0" xfId="0">
      <alignment vertical="center" wrapText="1"/>
    </xf>
    <xf numFmtId="0" fontId="28" fillId="0" borderId="1" applyAlignment="1" pivotButton="0" quotePrefix="0" xfId="0">
      <alignment vertical="top" wrapText="1"/>
    </xf>
    <xf numFmtId="0" fontId="29" fillId="0" borderId="1" applyAlignment="1" pivotButton="0" quotePrefix="0" xfId="0">
      <alignment vertical="center" wrapText="1"/>
    </xf>
    <xf numFmtId="0" fontId="30" fillId="0" borderId="1" applyAlignment="1" pivotButton="0" quotePrefix="0" xfId="0">
      <alignment horizontal="left" vertical="center"/>
    </xf>
    <xf numFmtId="0" fontId="9" fillId="6" borderId="1" applyAlignment="1" pivotButton="0" quotePrefix="0" xfId="0">
      <alignment vertical="center" wrapText="1"/>
    </xf>
    <xf numFmtId="9" fontId="3" fillId="3" borderId="1" applyAlignment="1" pivotButton="0" quotePrefix="0" xfId="0">
      <alignment horizontal="center" vertical="center" wrapText="1"/>
    </xf>
    <xf numFmtId="0" fontId="30" fillId="3" borderId="1" applyAlignment="1" pivotButton="0" quotePrefix="0" xfId="0">
      <alignment horizontal="left" vertical="center"/>
    </xf>
    <xf numFmtId="0" fontId="10" fillId="0" borderId="1" applyAlignment="1" pivotButton="0" quotePrefix="0" xfId="0">
      <alignment vertical="center" wrapText="1"/>
    </xf>
    <xf numFmtId="0" fontId="31" fillId="0" borderId="1" applyAlignment="1" pivotButton="0" quotePrefix="0" xfId="0">
      <alignment vertical="center" wrapText="1"/>
    </xf>
    <xf numFmtId="0" fontId="32" fillId="3" borderId="1" applyAlignment="1" pivotButton="0" quotePrefix="0" xfId="0">
      <alignment vertical="center" wrapText="1"/>
    </xf>
    <xf numFmtId="0" fontId="33" fillId="3" borderId="1" applyAlignment="1" pivotButton="0" quotePrefix="0" xfId="0">
      <alignment vertical="center" wrapText="1"/>
    </xf>
    <xf numFmtId="9" fontId="12" fillId="0" borderId="1" applyAlignment="1" pivotButton="0" quotePrefix="0" xfId="0">
      <alignment horizontal="center" vertical="center" wrapText="1"/>
    </xf>
    <xf numFmtId="0" fontId="34" fillId="0" borderId="1" applyAlignment="1" pivotButton="0" quotePrefix="0" xfId="0">
      <alignment vertical="top" wrapText="1"/>
    </xf>
    <xf numFmtId="0" fontId="31" fillId="0" borderId="1" applyAlignment="1" pivotButton="0" quotePrefix="0" xfId="0">
      <alignment vertical="top" wrapText="1"/>
    </xf>
    <xf numFmtId="0" fontId="35" fillId="0" borderId="1" applyAlignment="1" pivotButton="0" quotePrefix="0" xfId="0">
      <alignment horizontal="center" vertical="center" wrapText="1"/>
    </xf>
    <xf numFmtId="0" fontId="35" fillId="0" borderId="1" applyAlignment="1" pivotButton="0" quotePrefix="0" xfId="0">
      <alignment vertical="center" wrapText="1"/>
    </xf>
    <xf numFmtId="0" fontId="34" fillId="0" borderId="1" applyAlignment="1" pivotButton="0" quotePrefix="0" xfId="0">
      <alignment vertical="center" wrapText="1"/>
    </xf>
    <xf numFmtId="0" fontId="36" fillId="0" borderId="1" applyAlignment="1" pivotButton="0" quotePrefix="0" xfId="0">
      <alignment vertical="center" wrapText="1"/>
    </xf>
    <xf numFmtId="0" fontId="37" fillId="0" borderId="1" applyAlignment="1" pivotButton="0" quotePrefix="0" xfId="0">
      <alignment horizontal="center" vertical="center" wrapText="1"/>
    </xf>
    <xf numFmtId="0" fontId="38" fillId="0" borderId="1" applyAlignment="1" pivotButton="0" quotePrefix="0" xfId="0">
      <alignment vertical="center" wrapText="1"/>
    </xf>
    <xf numFmtId="0" fontId="12" fillId="0" borderId="1" applyAlignment="1" pivotButton="0" quotePrefix="0" xfId="0">
      <alignment vertical="center" wrapText="1"/>
    </xf>
    <xf numFmtId="0" fontId="13" fillId="0" borderId="1" applyAlignment="1" applyProtection="1" pivotButton="0" quotePrefix="0" xfId="0">
      <alignment vertical="center" wrapText="1"/>
      <protection locked="0" hidden="0"/>
    </xf>
    <xf numFmtId="0" fontId="0" fillId="0" borderId="1" applyProtection="1" pivotButton="0" quotePrefix="0" xfId="0">
      <protection locked="0" hidden="0"/>
    </xf>
    <xf numFmtId="0" fontId="13" fillId="0" borderId="1" applyAlignment="1" applyProtection="1" pivotButton="0" quotePrefix="0" xfId="0">
      <alignment vertical="top" wrapText="1"/>
      <protection locked="0" hidden="0"/>
    </xf>
    <xf numFmtId="0" fontId="39" fillId="0" borderId="0" applyAlignment="1" pivotButton="0" quotePrefix="0" xfId="0">
      <alignment vertical="top" wrapText="1"/>
    </xf>
    <xf numFmtId="0" fontId="3" fillId="0" borderId="1" applyAlignment="1" pivotButton="0" quotePrefix="0" xfId="0">
      <alignment horizontal="center" vertical="center" wrapText="1"/>
    </xf>
    <xf numFmtId="165" fontId="13" fillId="4" borderId="1" applyAlignment="1" pivotButton="0" quotePrefix="0" xfId="0">
      <alignment vertical="center" wrapText="1"/>
    </xf>
    <xf numFmtId="0" fontId="41" fillId="0" borderId="1" applyAlignment="1" pivotButton="0" quotePrefix="0" xfId="0">
      <alignment vertical="top" wrapText="1"/>
    </xf>
    <xf numFmtId="0" fontId="3" fillId="7" borderId="1" applyAlignment="1" pivotButton="0" quotePrefix="0" xfId="0">
      <alignment horizontal="center" vertical="center" wrapText="1"/>
    </xf>
    <xf numFmtId="0" fontId="3" fillId="8" borderId="1" applyAlignment="1" pivotButton="0" quotePrefix="0" xfId="0">
      <alignment horizontal="center" vertical="center" wrapText="1"/>
    </xf>
    <xf numFmtId="0" fontId="3" fillId="9" borderId="1" applyAlignment="1" pivotButton="0" quotePrefix="0" xfId="0">
      <alignment horizontal="center" vertical="center" wrapText="1"/>
    </xf>
    <xf numFmtId="0" fontId="3" fillId="10" borderId="1" applyAlignment="1" pivotButton="0" quotePrefix="0" xfId="0">
      <alignment horizontal="center" vertical="center" wrapText="1"/>
    </xf>
    <xf numFmtId="0" fontId="4" fillId="8" borderId="1" applyAlignment="1" pivotButton="0" quotePrefix="0" xfId="0">
      <alignment horizontal="center" vertical="center" wrapText="1"/>
    </xf>
    <xf numFmtId="0" fontId="4" fillId="9" borderId="1" applyAlignment="1" pivotButton="0" quotePrefix="0" xfId="0">
      <alignment horizontal="center" vertical="center" wrapText="1"/>
    </xf>
    <xf numFmtId="0" fontId="4" fillId="11" borderId="1" applyAlignment="1" pivotButton="0" quotePrefix="0" xfId="0">
      <alignment horizontal="center" vertical="center" wrapText="1"/>
    </xf>
    <xf numFmtId="0" fontId="3" fillId="11" borderId="1" applyAlignment="1" pivotButton="0" quotePrefix="0" xfId="0">
      <alignment horizontal="center" vertical="center" wrapText="1"/>
    </xf>
    <xf numFmtId="0" fontId="4" fillId="12" borderId="1" applyAlignment="1" pivotButton="0" quotePrefix="0" xfId="0">
      <alignment horizontal="center" vertical="center" wrapText="1"/>
    </xf>
    <xf numFmtId="0" fontId="3" fillId="12" borderId="1" applyAlignment="1" pivotButton="0" quotePrefix="0" xfId="0">
      <alignment horizontal="center" vertical="center" wrapText="1"/>
    </xf>
  </cellXfs>
  <cellStyles count="1">
    <cellStyle name="Normal" xfId="0" builtinId="0" hidden="0"/>
  </cellStyles>
  <dxfs count="9">
    <dxf>
      <fill>
        <patternFill patternType="solid">
          <fgColor rgb="00C6E0B4"/>
        </patternFill>
      </fill>
    </dxf>
    <dxf>
      <fill>
        <patternFill patternType="solid">
          <fgColor rgb="00FFE699"/>
        </patternFill>
      </fill>
    </dxf>
    <dxf>
      <fill>
        <patternFill patternType="solid">
          <fgColor rgb="00F4B183"/>
        </patternFill>
      </fill>
    </dxf>
    <dxf>
      <fill>
        <patternFill patternType="solid">
          <fgColor rgb="00E06666"/>
        </patternFill>
      </fill>
    </dxf>
    <dxf>
      <fill>
        <patternFill patternType="solid">
          <fgColor rgb="009BC2E6"/>
        </patternFill>
      </fill>
    </dxf>
    <dxf>
      <font>
        <i val="1"/>
        <color rgb="00A6A6A6"/>
      </font>
    </dxf>
    <dxf>
      <fill>
        <patternFill patternType="solid">
          <fgColor rgb="00F8CBAD"/>
        </patternFill>
      </fill>
    </dxf>
    <dxf>
      <font>
        <b val="1"/>
        <color rgb="00FFFFFF"/>
      </font>
      <fill>
        <patternFill patternType="solid">
          <fgColor rgb="00E06666"/>
        </patternFill>
      </fill>
    </dxf>
    <dxf>
      <font>
        <b val="1"/>
        <color rgb="003B2160"/>
      </font>
      <fill>
        <patternFill patternType="solid">
          <fgColor rgb="00D9CCE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1. Profile'!A1" TargetMode="External" Id="rId1"/><Relationship Type="http://schemas.openxmlformats.org/officeDocument/2006/relationships/hyperlink" Target="#'2. Assessment'!A1" TargetMode="External" Id="rId2"/><Relationship Type="http://schemas.openxmlformats.org/officeDocument/2006/relationships/hyperlink" Target="#'3. Report'!A1" TargetMode="External" Id="rId3"/></Relationships>
</file>

<file path=xl/worksheets/_rels/sheet3.xml.rels><Relationships xmlns="http://schemas.openxmlformats.org/package/2006/relationships"><Relationship Type="http://schemas.openxmlformats.org/officeDocument/2006/relationships/hyperlink" Target="#'3. Report'!A1" TargetMode="External" Id="rId1"/></Relationships>
</file>

<file path=xl/worksheets/sheet1.xml><?xml version="1.0" encoding="utf-8"?>
<worksheet xmlns="http://schemas.openxmlformats.org/spreadsheetml/2006/main">
  <sheetPr>
    <tabColor rgb="004F2D7F"/>
    <outlinePr summaryBelow="1" summaryRight="1"/>
    <pageSetUpPr fitToPage="1"/>
  </sheetPr>
  <dimension ref="B1:F15"/>
  <sheetViews>
    <sheetView showGridLines="0" workbookViewId="0">
      <selection activeCell="A1" sqref="A1"/>
    </sheetView>
  </sheetViews>
  <sheetFormatPr baseColWidth="8" defaultRowHeight="15"/>
  <cols>
    <col width="2" customWidth="1" min="1" max="1"/>
    <col width="44" customWidth="1" min="2" max="2"/>
    <col width="3" customWidth="1" min="3" max="3"/>
    <col width="44" customWidth="1" min="4" max="4"/>
    <col width="3" customWidth="1" min="5" max="5"/>
    <col width="44" customWidth="1" min="6" max="6"/>
    <col width="2" customWidth="1" min="7" max="7"/>
  </cols>
  <sheetData>
    <row r="1" ht="52" customHeight="1">
      <c r="B1" s="1" t="inlineStr">
        <is>
          <t>GT AI READINESS &amp; RISK ASSESSMENT TOOL</t>
        </is>
      </c>
    </row>
    <row r="2" ht="22" customHeight="1">
      <c r="B2" s="2" t="inlineStr">
        <is>
          <t>Grant Thornton Bahrain  |  AI Governance, Risk &amp; Compliance  |  Combines the NSW AI Assessment Framework, GT AI Ready7 and the GT AI Risk &amp; Control Matrix v2.1</t>
        </is>
      </c>
    </row>
    <row r="4" ht="24" customHeight="1">
      <c r="B4" s="3" t="inlineStr">
        <is>
          <t>WHEN TO USE THIS TOOL</t>
        </is>
      </c>
      <c r="D4" s="3" t="inlineStr">
        <is>
          <t>HOW IT WORKS  (approx. 15-20 minutes)</t>
        </is>
      </c>
      <c r="F4" s="3" t="inlineStr">
        <is>
          <t>WHAT YOU GET</t>
        </is>
      </c>
    </row>
    <row r="5" ht="210" customHeight="1">
      <c r="B5" s="4" t="inlineStr">
        <is>
          <t>- Before or early in your AI journey, to baseline readiness
- Before scaling AI or deploying AI that affects customers or decisions
- When AI is discovered in use without assessment (shadow AI)
- When risk or context changes: new data, model, vendor, purpose or less human oversight
- Annually, to track maturity progress
Public GenAI tools used for low-risk drafting may be governed by your Acceptable Use Policy instead (AIAF approach).</t>
        </is>
      </c>
      <c r="D5" s="4" t="inlineStr">
        <is>
          <t>1. PROFILE - organisation details and regulatory context
2. ASSESSMENT - 15 questions
   Part A: 4 questions on AI use and inherent risk (AIAF)
   Part B: 11 questions on readiness across the 7 AI Ready7 pillars
3. REPORT - generated automatically, print-ready (A4)
4. ACTION PLAN - assign owners and dates to recommended actions</t>
        </is>
      </c>
      <c r="F5" s="4" t="inlineStr">
        <is>
          <t>- Overall AI readiness score and maturity level
- Inherent AI risk tier (Low / Medium / High / Critical)
- Overall AI risk exposure and recommended oversight pathway
- Pillar radar chart and responsible-AI principle coverage
- Findings, potential risks and recommendations per area
- Top-5 priorities and a phased roadmap
- Applicable regulations (Bahrain PDPL, CBB, EU AI Act, GCC)
- Printable report you can save as PDF and email</t>
        </is>
      </c>
    </row>
    <row r="7">
      <c r="B7" s="5" t="inlineStr">
        <is>
          <t>COLOUR LEGEND</t>
        </is>
      </c>
      <c r="D7" s="5" t="inlineStr">
        <is>
          <t>REQUIREMENT TYPES (as in the AIAF)</t>
        </is>
      </c>
      <c r="F7" s="5" t="inlineStr">
        <is>
          <t>START HERE</t>
        </is>
      </c>
    </row>
    <row r="8">
      <c r="B8" s="6" t="inlineStr">
        <is>
          <t>Input cell - select or type</t>
        </is>
      </c>
      <c r="D8" s="7" t="inlineStr">
        <is>
          <t>⟳ Compliance Obligation - linked to laws / regulation</t>
        </is>
      </c>
      <c r="F8" s="8" t="inlineStr">
        <is>
          <t>Go to '1. Profile'  &gt;&gt;</t>
        </is>
      </c>
    </row>
    <row r="9">
      <c r="B9" s="9" t="inlineStr">
        <is>
          <t>Low / Largely met</t>
        </is>
      </c>
      <c r="D9" s="7" t="inlineStr">
        <is>
          <t>⚠ Mandatory Requirement - baseline control expected for any AI use</t>
        </is>
      </c>
    </row>
    <row r="10">
      <c r="B10" s="10" t="inlineStr">
        <is>
          <t>Medium / Moderate / Partially met</t>
        </is>
      </c>
      <c r="D10" s="7" t="inlineStr">
        <is>
          <t>⚖ Ethical Consideration - responsible-AI principle</t>
        </is>
      </c>
      <c r="F10" s="11" t="inlineStr">
        <is>
          <t>Go to '2. Assessment'  &gt;&gt;</t>
        </is>
      </c>
    </row>
    <row r="11">
      <c r="B11" s="12" t="inlineStr">
        <is>
          <t>High / Minimal</t>
        </is>
      </c>
      <c r="D11" s="7" t="inlineStr">
        <is>
          <t>☆ Recommended - good practice</t>
        </is>
      </c>
    </row>
    <row r="12">
      <c r="B12" s="13" t="inlineStr">
        <is>
          <t>Critical / Very high / Not met</t>
        </is>
      </c>
      <c r="F12" s="11" t="inlineStr">
        <is>
          <t>View '3. Report'  &gt;&gt;</t>
        </is>
      </c>
    </row>
    <row r="15" ht="30" customHeight="1">
      <c r="B15" s="14" t="inlineStr">
        <is>
          <t>This is a self-assessment tool. Results depend on the accuracy of responses and do not constitute an audit, certification or legal advice. Version 1.1 - September 2026.</t>
        </is>
      </c>
    </row>
  </sheetData>
  <mergeCells count="3">
    <mergeCell ref="B2:F2"/>
    <mergeCell ref="B15:F15"/>
    <mergeCell ref="B1:F1"/>
  </mergeCells>
  <hyperlinks>
    <hyperlink xmlns:r="http://schemas.openxmlformats.org/officeDocument/2006/relationships" ref="F8" r:id="rId1"/>
    <hyperlink xmlns:r="http://schemas.openxmlformats.org/officeDocument/2006/relationships" ref="F10" r:id="rId2"/>
    <hyperlink xmlns:r="http://schemas.openxmlformats.org/officeDocument/2006/relationships" ref="F12" r:id="rId3"/>
  </hyperlinks>
  <printOptions gridLines="0"/>
  <pageMargins left="0.5" right="0.5" top="0.75" bottom="0.75" header="0.25" footer="0.25"/>
  <pageSetup orientation="landscape" paperSize="9" fitToHeight="0" fitToWidth="1"/>
</worksheet>
</file>

<file path=xl/worksheets/sheet2.xml><?xml version="1.0" encoding="utf-8"?>
<worksheet xmlns="http://schemas.openxmlformats.org/spreadsheetml/2006/main">
  <sheetPr>
    <tabColor rgb="004F2D7F"/>
    <outlinePr summaryBelow="1" summaryRight="1"/>
    <pageSetUpPr fitToPage="1"/>
  </sheetPr>
  <dimension ref="B1:E21"/>
  <sheetViews>
    <sheetView showGridLines="0" workbookViewId="0">
      <selection activeCell="A1" sqref="A1"/>
    </sheetView>
  </sheetViews>
  <sheetFormatPr baseColWidth="8" defaultRowHeight="15"/>
  <cols>
    <col width="2" customWidth="1" min="1" max="1"/>
    <col width="46" customWidth="1" min="2" max="2"/>
    <col width="62" customWidth="1" min="3" max="3"/>
    <col width="2" customWidth="1" min="4" max="4"/>
    <col width="40" customWidth="1" min="5" max="5"/>
  </cols>
  <sheetData>
    <row r="1" ht="34" customHeight="1">
      <c r="B1" s="15" t="inlineStr">
        <is>
          <t>1. ORGANISATION PROFILE</t>
        </is>
      </c>
    </row>
    <row r="2" ht="28" customHeight="1">
      <c r="B2" s="16" t="inlineStr">
        <is>
          <t>Complete the yellow cells. The profile personalises the report and determines which regulatory considerations apply. Takes about 2 minutes.</t>
        </is>
      </c>
    </row>
    <row r="4" ht="24" customHeight="1">
      <c r="B4" s="17" t="inlineStr">
        <is>
          <t>Organisation name</t>
        </is>
      </c>
      <c r="C4" s="18" t="n"/>
      <c r="E4" s="5" t="inlineStr">
        <is>
          <t>Tip</t>
        </is>
      </c>
    </row>
    <row r="5" ht="24" customHeight="1">
      <c r="B5" s="17" t="inlineStr">
        <is>
          <t>Sector</t>
        </is>
      </c>
      <c r="C5" s="18" t="n"/>
      <c r="E5" s="19" t="inlineStr">
        <is>
          <t>Scope the assessment to the whole organisation for a readiness baseline, or to a single AI system to support a use-case decision. For use-case level risk assessment use the GT AI Risk Assessment Toolkit.</t>
        </is>
      </c>
    </row>
    <row r="6" ht="24" customHeight="1">
      <c r="B6" s="17" t="inlineStr">
        <is>
          <t>Organisation size</t>
        </is>
      </c>
      <c r="C6" s="18" t="n"/>
    </row>
    <row r="7" ht="24" customHeight="1">
      <c r="B7" s="17" t="inlineStr">
        <is>
          <t>Scope of assessment</t>
        </is>
      </c>
      <c r="C7" s="18" t="n"/>
    </row>
    <row r="8" ht="24" customHeight="1">
      <c r="B8" s="17" t="inlineStr">
        <is>
          <t>Scope description (optional)</t>
        </is>
      </c>
      <c r="C8" s="18" t="n"/>
    </row>
    <row r="9" ht="24" customHeight="1">
      <c r="B9" s="17" t="inlineStr">
        <is>
          <t>Completed by</t>
        </is>
      </c>
      <c r="C9" s="18" t="n"/>
    </row>
    <row r="10" ht="24" customHeight="1">
      <c r="B10" s="17" t="inlineStr">
        <is>
          <t>Role / title</t>
        </is>
      </c>
      <c r="C10" s="18" t="n"/>
    </row>
    <row r="11" ht="24" customHeight="1">
      <c r="B11" s="17" t="inlineStr">
        <is>
          <t>Email address (to send yourself the report)</t>
        </is>
      </c>
      <c r="C11" s="18" t="n"/>
    </row>
    <row r="12" ht="24" customHeight="1">
      <c r="B12" s="17" t="inlineStr">
        <is>
          <t>Assessment date (dd/mm/yyyy)</t>
        </is>
      </c>
      <c r="C12" s="18" t="n"/>
    </row>
    <row r="13" ht="24" customHeight="1">
      <c r="B13" s="17" t="inlineStr">
        <is>
          <t>Grant Thornton contact (optional)</t>
        </is>
      </c>
      <c r="C13" s="18" t="n"/>
    </row>
    <row r="15">
      <c r="B15" s="20" t="inlineStr">
        <is>
          <t>REGULATORY CONTEXT</t>
        </is>
      </c>
      <c r="C15" s="21" t="n"/>
    </row>
    <row r="16" ht="24" customHeight="1">
      <c r="B16" s="17" t="inlineStr">
        <is>
          <t>Is the organisation licensed by the Central Bank of Bahrain (CBB)?</t>
        </is>
      </c>
      <c r="C16" s="18" t="n"/>
    </row>
    <row r="17" ht="24" customHeight="1">
      <c r="B17" s="17" t="inlineStr">
        <is>
          <t>Do AI systems process personal data of individuals in Bahrain?</t>
        </is>
      </c>
      <c r="C17" s="18" t="n"/>
    </row>
    <row r="18" ht="24" customHeight="1">
      <c r="B18" s="17" t="inlineStr">
        <is>
          <t>Are AI-enabled products / services offered in the EU, or AI outputs used in the EU?</t>
        </is>
      </c>
      <c r="C18" s="18" t="n"/>
    </row>
    <row r="19" ht="24" customHeight="1">
      <c r="B19" s="17" t="inlineStr">
        <is>
          <t>Does the organisation operate in KSA, UAE or other GCC markets?</t>
        </is>
      </c>
      <c r="C19" s="18" t="n"/>
    </row>
    <row r="20" ht="24" customHeight="1">
      <c r="B20" s="17" t="inlineStr">
        <is>
          <t>Is the organisation a government entity or public-sector body?</t>
        </is>
      </c>
      <c r="C20" s="18" t="n"/>
    </row>
    <row r="21" ht="24" customHeight="1">
      <c r="B21" s="17" t="inlineStr">
        <is>
          <t>Does the organisation develop AI (provider) or only use it (deployer)?</t>
        </is>
      </c>
      <c r="C21" s="18" t="n"/>
    </row>
  </sheetData>
  <mergeCells count="4">
    <mergeCell ref="B1:C1"/>
    <mergeCell ref="E5:E9"/>
    <mergeCell ref="B2:C2"/>
    <mergeCell ref="B15:C15"/>
  </mergeCells>
  <dataValidations count="9">
    <dataValidation sqref="C5" showDropDown="0" showInputMessage="0" showErrorMessage="1" allowBlank="1" errorTitle="Invalid entry" error="Please choose a value from the list." type="list">
      <formula1>=Lists!$B$1:$B$12</formula1>
    </dataValidation>
    <dataValidation sqref="C6" showDropDown="0" showInputMessage="0" showErrorMessage="1" allowBlank="1" errorTitle="Invalid entry" error="Please choose a value from the list." type="list">
      <formula1>=Lists!$C$1:$C$5</formula1>
    </dataValidation>
    <dataValidation sqref="C7" showDropDown="0" showInputMessage="0" showErrorMessage="1" allowBlank="1" errorTitle="Invalid entry" error="Please choose a value from the list." type="list">
      <formula1>=Lists!$D$1:$D$3</formula1>
    </dataValidation>
    <dataValidation sqref="C16" showDropDown="0" showInputMessage="0" showErrorMessage="1" allowBlank="1" errorTitle="Invalid entry" error="Please choose a value from the list." type="list">
      <formula1>=Lists!$A$1:$A$2</formula1>
    </dataValidation>
    <dataValidation sqref="C17" showDropDown="0" showInputMessage="0" showErrorMessage="1" allowBlank="1" errorTitle="Invalid entry" error="Please choose a value from the list." type="list">
      <formula1>=Lists!$A$1:$A$2</formula1>
    </dataValidation>
    <dataValidation sqref="C18" showDropDown="0" showInputMessage="0" showErrorMessage="1" allowBlank="1" errorTitle="Invalid entry" error="Please choose a value from the list." type="list">
      <formula1>=Lists!$A$1:$A$2</formula1>
    </dataValidation>
    <dataValidation sqref="C19" showDropDown="0" showInputMessage="0" showErrorMessage="1" allowBlank="1" errorTitle="Invalid entry" error="Please choose a value from the list." type="list">
      <formula1>=Lists!$A$1:$A$2</formula1>
    </dataValidation>
    <dataValidation sqref="C20" showDropDown="0" showInputMessage="0" showErrorMessage="1" allowBlank="1" errorTitle="Invalid entry" error="Please choose a value from the list." type="list">
      <formula1>=Lists!$A$1:$A$2</formula1>
    </dataValidation>
    <dataValidation sqref="C21" showDropDown="0" showInputMessage="0" showErrorMessage="1" allowBlank="1" errorTitle="Invalid entry" error="Please choose a value from the list." type="list">
      <formula1>=Lists!$E$1:$E$3</formula1>
    </dataValidation>
  </dataValidations>
  <printOptions gridLines="0"/>
  <pageMargins left="0.5" right="0.5" top="0.75" bottom="0.75" header="0.25" footer="0.25"/>
  <pageSetup orientation="landscape" paperSize="9" fitToHeight="0" fitToWidth="1"/>
</worksheet>
</file>

<file path=xl/worksheets/sheet3.xml><?xml version="1.0" encoding="utf-8"?>
<worksheet xmlns="http://schemas.openxmlformats.org/spreadsheetml/2006/main">
  <sheetPr>
    <tabColor rgb="004F2D7F"/>
    <outlinePr summaryBelow="1" summaryRight="1"/>
    <pageSetUpPr fitToPage="1"/>
  </sheetPr>
  <dimension ref="B1:L25"/>
  <sheetViews>
    <sheetView showGridLines="0" workbookViewId="0">
      <pane ySplit="8" topLeftCell="A9" activePane="bottomLeft" state="frozen"/>
      <selection pane="bottomLeft" activeCell="A1" sqref="A1"/>
    </sheetView>
  </sheetViews>
  <sheetFormatPr baseColWidth="8" defaultRowHeight="15"/>
  <cols>
    <col width="2" customWidth="1" min="1" max="1"/>
    <col width="6" customWidth="1" min="2" max="2"/>
    <col width="17" customWidth="1" min="3" max="3"/>
    <col width="52" customWidth="1" min="4" max="4"/>
    <col width="56" customWidth="1" min="5" max="5"/>
    <col width="9" customWidth="1" min="6" max="6"/>
    <col width="13" customWidth="1" min="7" max="7"/>
    <col width="54" customWidth="1" min="8" max="8"/>
    <col width="17" customWidth="1" min="9" max="9"/>
    <col width="17" customWidth="1" min="10" max="10"/>
    <col width="2" customWidth="1" min="11" max="11"/>
    <col hidden="1" width="6" customWidth="1" min="12" max="12"/>
  </cols>
  <sheetData>
    <row r="1" ht="34" customHeight="1">
      <c r="B1" s="15" t="inlineStr">
        <is>
          <t>2. ASSESSMENT  -  15 questions  |  approx. 15 minutes</t>
        </is>
      </c>
    </row>
    <row r="2" ht="44" customHeight="1">
      <c r="B2" s="22" t="inlineStr">
        <is>
          <t>Select the statement in column E that best describes your current state (choose the lower level if unsure - evidence should exist for the level selected). Part A profiles your AI use and inherent risk (based on the NSW AI Assessment Framework). Part B measures readiness across the 7 GT AI Ready7 pillars, mapped to the GT AI RCM v2.1 controls. Results update live below and in the '3. Report' sheet.</t>
        </is>
      </c>
    </row>
    <row r="4" ht="20" customHeight="1">
      <c r="B4" s="23" t="inlineStr">
        <is>
          <t>ANSWERED</t>
        </is>
      </c>
      <c r="C4" s="21" t="n"/>
      <c r="D4" s="23" t="inlineStr">
        <is>
          <t>OVERALL AI READINESS</t>
        </is>
      </c>
      <c r="E4" s="23" t="inlineStr">
        <is>
          <t>MATURITY LEVEL (AI Ready7 scale)</t>
        </is>
      </c>
      <c r="F4" s="23" t="inlineStr">
        <is>
          <t>INHERENT RISK TIER</t>
        </is>
      </c>
      <c r="G4" s="21" t="n"/>
      <c r="H4" s="23" t="inlineStr">
        <is>
          <t>AI RISK EXPOSURE -&gt; PATHWAY</t>
        </is>
      </c>
      <c r="I4" s="23" t="inlineStr">
        <is>
          <t>YOUR REPORT</t>
        </is>
      </c>
      <c r="J4" s="21" t="n"/>
    </row>
    <row r="5" ht="36" customHeight="1">
      <c r="B5" s="24">
        <f>Calc!B20&amp;" / 15"</f>
        <v/>
      </c>
      <c r="C5" s="21" t="n"/>
      <c r="D5" s="25">
        <f>IF(Calc!B45="","-",Calc!B45)</f>
        <v/>
      </c>
      <c r="E5" s="24">
        <f>IF(Calc!B46="","-",Calc!B46)</f>
        <v/>
      </c>
      <c r="F5" s="24">
        <f>IF(Calc!C32="","-",Calc!C32)</f>
        <v/>
      </c>
      <c r="G5" s="21" t="n"/>
      <c r="H5" s="26">
        <f>IF(Calc!B57="","-",Calc!B57&amp;"  -&gt;  "&amp;Calc!B58)</f>
        <v/>
      </c>
      <c r="I5" s="27">
        <f>IF(Calc!B21=1,"Ready - see 3. Report","Complete all questions")</f>
        <v/>
      </c>
      <c r="J5" s="21" t="n"/>
    </row>
    <row r="8" ht="30" customHeight="1">
      <c r="B8" s="28" t="inlineStr">
        <is>
          <t>#</t>
        </is>
      </c>
      <c r="C8" s="28" t="inlineStr">
        <is>
          <t>Area</t>
        </is>
      </c>
      <c r="D8" s="28" t="inlineStr">
        <is>
          <t>Question</t>
        </is>
      </c>
      <c r="E8" s="28" t="inlineStr">
        <is>
          <t>Your response (select from list)</t>
        </is>
      </c>
      <c r="F8" s="28" t="inlineStr">
        <is>
          <t>Score</t>
        </is>
      </c>
      <c r="G8" s="28" t="inlineStr">
        <is>
          <t>Status</t>
        </is>
      </c>
      <c r="H8" s="28" t="inlineStr">
        <is>
          <t>What this means / recommended next step</t>
        </is>
      </c>
      <c r="I8" s="28" t="inlineStr">
        <is>
          <t>Linked controls (GT AI RCM v2.1)</t>
        </is>
      </c>
      <c r="J8" s="28" t="inlineStr">
        <is>
          <t>Requirement type</t>
        </is>
      </c>
    </row>
    <row r="9" ht="22" customHeight="1">
      <c r="B9" s="29" t="inlineStr">
        <is>
          <t>PART A  -  AI USE &amp; INHERENT RISK PROFILE  (AIAF-based: how much could go wrong?)</t>
        </is>
      </c>
      <c r="C9" s="21" t="n"/>
      <c r="D9" s="21" t="n"/>
      <c r="E9" s="21" t="n"/>
      <c r="F9" s="21" t="n"/>
      <c r="G9" s="21" t="n"/>
      <c r="H9" s="21" t="n"/>
      <c r="I9" s="21" t="n"/>
      <c r="J9" s="21" t="n"/>
    </row>
    <row r="10" ht="84" customHeight="1">
      <c r="B10" s="30" t="inlineStr">
        <is>
          <t>A1</t>
        </is>
      </c>
      <c r="C10" s="31" t="inlineStr">
        <is>
          <t>AI use profile</t>
        </is>
      </c>
      <c r="D10" s="32" t="inlineStr">
        <is>
          <t>Which statement best describes how AI is used in your organisation today (including AI embedded in software and tools used by staff)?
Guidance: Consider approved and unapproved tools, vendor software with AI features and AI used by suppliers on your behalf.</t>
        </is>
      </c>
      <c r="E10" s="33" t="n"/>
      <c r="F10" s="34">
        <f>IF(L10="","",INDEX(QBank!$C$2:$C$6,L10))</f>
        <v/>
      </c>
      <c r="G10" s="35">
        <f>IF(L10="","Not answered",INDEX(QBank!$D$2:$D$6,L10))</f>
        <v/>
      </c>
      <c r="H10" s="36">
        <f>IF(L10="","",INDEX(QBank!$E$2:$E$6,L10))</f>
        <v/>
      </c>
      <c r="I10" s="7" t="inlineStr">
        <is>
          <t>Tiering factor (risk framework T1-T3)</t>
        </is>
      </c>
      <c r="J10" s="7" t="inlineStr">
        <is>
          <t>Inherent-risk driver</t>
        </is>
      </c>
      <c r="L10">
        <f>IF(E10="","",IFERROR(MATCH(E10,QBank!$B$2:$B$6,0),""))</f>
        <v/>
      </c>
    </row>
    <row r="11" ht="84" customHeight="1">
      <c r="B11" s="30" t="inlineStr">
        <is>
          <t>A2</t>
        </is>
      </c>
      <c r="C11" s="31" t="inlineStr">
        <is>
          <t>Decision impact</t>
        </is>
      </c>
      <c r="D11" s="32" t="inlineStr">
        <is>
          <t>What is the most significant type of decision or outcome your AI systems influence?
Guidance: Answer for the highest-impact AI use case in scope (AIAF: 'worst credible harm').</t>
        </is>
      </c>
      <c r="E11" s="33" t="n"/>
      <c r="F11" s="34">
        <f>IF(L11="","",INDEX(QBank!$C$7:$C$11,L11))</f>
        <v/>
      </c>
      <c r="G11" s="35">
        <f>IF(L11="","Not answered",INDEX(QBank!$D$7:$D$11,L11))</f>
        <v/>
      </c>
      <c r="H11" s="36">
        <f>IF(L11="","",INDEX(QBank!$E$7:$E$11,L11))</f>
        <v/>
      </c>
      <c r="I11" s="7" t="inlineStr">
        <is>
          <t>Tiering factor (risk framework T1-T3)</t>
        </is>
      </c>
      <c r="J11" s="7" t="inlineStr">
        <is>
          <t>Inherent-risk driver</t>
        </is>
      </c>
      <c r="L11">
        <f>IF(E11="","",IFERROR(MATCH(E11,QBank!$B$7:$B$11,0),""))</f>
        <v/>
      </c>
    </row>
    <row r="12" ht="84" customHeight="1">
      <c r="B12" s="30" t="inlineStr">
        <is>
          <t>A3</t>
        </is>
      </c>
      <c r="C12" s="31" t="inlineStr">
        <is>
          <t>Data sensitivity</t>
        </is>
      </c>
      <c r="D12" s="32" t="inlineStr">
        <is>
          <t>What is the most sensitive data processed by your AI systems (including data staff enter into AI tools)?
Guidance: Include prompts, uploaded documents, training / fine-tuning data, retrieval sources and logs.</t>
        </is>
      </c>
      <c r="E12" s="33" t="n"/>
      <c r="F12" s="34">
        <f>IF(L12="","",INDEX(QBank!$C$12:$C$16,L12))</f>
        <v/>
      </c>
      <c r="G12" s="35">
        <f>IF(L12="","Not answered",INDEX(QBank!$D$12:$D$16,L12))</f>
        <v/>
      </c>
      <c r="H12" s="36">
        <f>IF(L12="","",INDEX(QBank!$E$12:$E$16,L12))</f>
        <v/>
      </c>
      <c r="I12" s="7" t="inlineStr">
        <is>
          <t>Tiering factor (risk framework T1-T3)</t>
        </is>
      </c>
      <c r="J12" s="7" t="inlineStr">
        <is>
          <t>Inherent-risk driver</t>
        </is>
      </c>
      <c r="L12">
        <f>IF(E12="","",IFERROR(MATCH(E12,QBank!$B$12:$B$16,0),""))</f>
        <v/>
      </c>
    </row>
    <row r="13" ht="84" customHeight="1">
      <c r="B13" s="30" t="inlineStr">
        <is>
          <t>A4</t>
        </is>
      </c>
      <c r="C13" s="31" t="inlineStr">
        <is>
          <t>Oversight &amp; reversibility</t>
        </is>
      </c>
      <c r="D13" s="32" t="inlineStr">
        <is>
          <t>How much human oversight applies to AI outputs, and how reversible are the outcomes?
Guidance: AIAF considers autonomy, human oversight and whether outputs are reversible or correctable.</t>
        </is>
      </c>
      <c r="E13" s="33" t="n"/>
      <c r="F13" s="34">
        <f>IF(L13="","",INDEX(QBank!$C$17:$C$21,L13))</f>
        <v/>
      </c>
      <c r="G13" s="35">
        <f>IF(L13="","Not answered",INDEX(QBank!$D$17:$D$21,L13))</f>
        <v/>
      </c>
      <c r="H13" s="36">
        <f>IF(L13="","",INDEX(QBank!$E$17:$E$21,L13))</f>
        <v/>
      </c>
      <c r="I13" s="7" t="inlineStr">
        <is>
          <t>Tiering factor (risk framework T1-T3)</t>
        </is>
      </c>
      <c r="J13" s="7" t="inlineStr">
        <is>
          <t>Inherent-risk driver</t>
        </is>
      </c>
      <c r="L13">
        <f>IF(E13="","",IFERROR(MATCH(E13,QBank!$B$17:$B$21,0),""))</f>
        <v/>
      </c>
    </row>
    <row r="14" ht="22" customHeight="1">
      <c r="B14" s="29" t="inlineStr">
        <is>
          <t>PART B  -  AI READINESS &amp; CONTROL MATURITY  (AI Ready7 pillars + GT AI RCM: how well is it managed?)</t>
        </is>
      </c>
      <c r="C14" s="21" t="n"/>
      <c r="D14" s="21" t="n"/>
      <c r="E14" s="21" t="n"/>
      <c r="F14" s="21" t="n"/>
      <c r="G14" s="21" t="n"/>
      <c r="H14" s="21" t="n"/>
      <c r="I14" s="21" t="n"/>
      <c r="J14" s="21" t="n"/>
    </row>
    <row r="15" ht="96" customHeight="1">
      <c r="B15" s="30" t="inlineStr">
        <is>
          <t>Q5</t>
        </is>
      </c>
      <c r="C15" s="31" t="inlineStr">
        <is>
          <t>Business Alignment
AI strategy, ownership &amp; risk appetite</t>
        </is>
      </c>
      <c r="D15" s="32" t="inlineStr">
        <is>
          <t>Is there executive ownership and an approved AI strategy that defines the ambition, where AI will be used and the organisation's AI risk appetite?
Guidance: Evidence: approved AI strategy, named executive sponsor, risk appetite statement, experimentation boundaries.</t>
        </is>
      </c>
      <c r="E15" s="33" t="n"/>
      <c r="F15" s="37">
        <f>IF(L15="","",INDEX(QBank!$C$22:$C$26,L15))</f>
        <v/>
      </c>
      <c r="G15" s="35">
        <f>IF(L15="","Not answered",INDEX(QBank!$D$22:$D$26,L15))</f>
        <v/>
      </c>
      <c r="H15" s="36">
        <f>IF(L15="","",INDEX(QBank!$E$22:$E$26,L15))</f>
        <v/>
      </c>
      <c r="I15" s="7" t="inlineStr">
        <is>
          <t>GL-1, GL-3, RM-6</t>
        </is>
      </c>
      <c r="J15" s="7" t="inlineStr">
        <is>
          <t>☆ Recommended</t>
        </is>
      </c>
      <c r="L15">
        <f>IF(E15="","",IFERROR(MATCH(E15,QBank!$B$22:$B$26,0),""))</f>
        <v/>
      </c>
    </row>
    <row r="16" ht="96" customHeight="1">
      <c r="B16" s="30" t="inlineStr">
        <is>
          <t>Q6</t>
        </is>
      </c>
      <c r="C16" s="31" t="inlineStr">
        <is>
          <t>Business Alignment
Use-case portfolio &amp; value realisation</t>
        </is>
      </c>
      <c r="D16" s="32" t="inlineStr">
        <is>
          <t>How are AI use cases identified, prioritised, approved and measured for value?
Guidance: Evidence: intake form, prioritisation criteria, business cases, benefit KPIs, portfolio reviews.</t>
        </is>
      </c>
      <c r="E16" s="33" t="n"/>
      <c r="F16" s="37">
        <f>IF(L16="","",INDEX(QBank!$C$27:$C$31,L16))</f>
        <v/>
      </c>
      <c r="G16" s="35">
        <f>IF(L16="","Not answered",INDEX(QBank!$D$27:$D$31,L16))</f>
        <v/>
      </c>
      <c r="H16" s="36">
        <f>IF(L16="","",INDEX(QBank!$E$27:$E$31,L16))</f>
        <v/>
      </c>
      <c r="I16" s="7" t="inlineStr">
        <is>
          <t>GL-6, GL-5</t>
        </is>
      </c>
      <c r="J16" s="7" t="inlineStr">
        <is>
          <t>☆ Recommended</t>
        </is>
      </c>
      <c r="L16">
        <f>IF(E16="","",IFERROR(MATCH(E16,QBank!$B$27:$B$31,0),""))</f>
        <v/>
      </c>
    </row>
    <row r="17" ht="96" customHeight="1">
      <c r="B17" s="30" t="inlineStr">
        <is>
          <t>Q7</t>
        </is>
      </c>
      <c r="C17" s="31" t="inlineStr">
        <is>
          <t>Governance &amp; Ethics
AI policy, acceptable use &amp; regulatory compliance</t>
        </is>
      </c>
      <c r="D17" s="32" t="inlineStr">
        <is>
          <t>Do you have an approved AI (acceptable-use) policy and a process to identify and comply with applicable AI-related regulation (e.g., Bahrain PDPL, CBB rules, EU AI Act)?
Guidance: Evidence: AI policy, approved-tools list, staff acknowledgements, obligations register, compliance reviews.</t>
        </is>
      </c>
      <c r="E17" s="33" t="n"/>
      <c r="F17" s="37">
        <f>IF(L17="","",INDEX(QBank!$C$32:$C$36,L17))</f>
        <v/>
      </c>
      <c r="G17" s="35">
        <f>IF(L17="","Not answered",INDEX(QBank!$D$32:$D$36,L17))</f>
        <v/>
      </c>
      <c r="H17" s="36">
        <f>IF(L17="","",INDEX(QBank!$E$32:$E$36,L17))</f>
        <v/>
      </c>
      <c r="I17" s="7" t="inlineStr">
        <is>
          <t>GL-5, RO-1, RO-5</t>
        </is>
      </c>
      <c r="J17" s="7" t="inlineStr">
        <is>
          <t>⟳ Compliance Obligation</t>
        </is>
      </c>
      <c r="L17">
        <f>IF(E17="","",IFERROR(MATCH(E17,QBank!$B$32:$B$36,0),""))</f>
        <v/>
      </c>
    </row>
    <row r="18" ht="96" customHeight="1">
      <c r="B18" s="30" t="inlineStr">
        <is>
          <t>Q8</t>
        </is>
      </c>
      <c r="C18" s="31" t="inlineStr">
        <is>
          <t>Governance &amp; Ethics
AI inventory &amp; risk / impact assessment</t>
        </is>
      </c>
      <c r="D18" s="32" t="inlineStr">
        <is>
          <t>Do you maintain an inventory of AI systems with named owners, and assess AI risks and impacts (including third-party AI) before and after deployment?
Guidance: Evidence: AI register, risk-tiering records, impact assessments, vendor AI due diligence, re-assessment records.</t>
        </is>
      </c>
      <c r="E18" s="33" t="n"/>
      <c r="F18" s="37">
        <f>IF(L18="","",INDEX(QBank!$C$37:$C$41,L18))</f>
        <v/>
      </c>
      <c r="G18" s="35">
        <f>IF(L18="","Not answered",INDEX(QBank!$D$37:$D$41,L18))</f>
        <v/>
      </c>
      <c r="H18" s="36">
        <f>IF(L18="","",INDEX(QBank!$E$37:$E$41,L18))</f>
        <v/>
      </c>
      <c r="I18" s="7" t="inlineStr">
        <is>
          <t>GL-8, RM-2, RM-5, TP-2</t>
        </is>
      </c>
      <c r="J18" s="7" t="inlineStr">
        <is>
          <t>⚠ Mandatory Requirement</t>
        </is>
      </c>
      <c r="L18">
        <f>IF(E18="","",IFERROR(MATCH(E18,QBank!$B$37:$B$41,0),""))</f>
        <v/>
      </c>
    </row>
    <row r="19" ht="96" customHeight="1">
      <c r="B19" s="30" t="inlineStr">
        <is>
          <t>Q9</t>
        </is>
      </c>
      <c r="C19" s="31" t="inlineStr">
        <is>
          <t>Governance &amp; Ethics
Responsible-AI guardrails &amp; human oversight</t>
        </is>
      </c>
      <c r="D19" s="32" t="inlineStr">
        <is>
          <t>Are there practical guardrails for fairness, transparency and human oversight, overseen by an AI committee or centre of excellence?
Guidance: Evidence: committee / CoE charter, guardrail standards, human-in-charge procedures, bias tests, AI disclosures, appeal routes.</t>
        </is>
      </c>
      <c r="E19" s="33" t="n"/>
      <c r="F19" s="37">
        <f>IF(L19="","",INDEX(QBank!$C$42:$C$46,L19))</f>
        <v/>
      </c>
      <c r="G19" s="35">
        <f>IF(L19="","Not answered",INDEX(QBank!$D$42:$D$46,L19))</f>
        <v/>
      </c>
      <c r="H19" s="36">
        <f>IF(L19="","",INDEX(QBank!$E$42:$E$46,L19))</f>
        <v/>
      </c>
      <c r="I19" s="7" t="inlineStr">
        <is>
          <t>GL-7, RS-1, RS-4, RS-5, CO-1, CO-3</t>
        </is>
      </c>
      <c r="J19" s="7" t="inlineStr">
        <is>
          <t>⚖ Ethical Consideration</t>
        </is>
      </c>
      <c r="L19">
        <f>IF(E19="","",IFERROR(MATCH(E19,QBank!$B$42:$B$46,0),""))</f>
        <v/>
      </c>
    </row>
    <row r="20" ht="96" customHeight="1">
      <c r="B20" s="30" t="inlineStr">
        <is>
          <t>Q10</t>
        </is>
      </c>
      <c r="C20" s="31" t="inlineStr">
        <is>
          <t>Training &amp; Development
AI literacy &amp; capability</t>
        </is>
      </c>
      <c r="D20" s="32" t="inlineStr">
        <is>
          <t>Have staff received AI literacy training appropriate to their role, and are specialist AI, governance and security skills being developed?
Guidance: Evidence: training curricula, completion records, role-based pathways, deepfake / phishing simulations, workforce plan.</t>
        </is>
      </c>
      <c r="E20" s="33" t="n"/>
      <c r="F20" s="37">
        <f>IF(L20="","",INDEX(QBank!$C$47:$C$51,L20))</f>
        <v/>
      </c>
      <c r="G20" s="35">
        <f>IF(L20="","Not answered",INDEX(QBank!$D$47:$D$51,L20))</f>
        <v/>
      </c>
      <c r="H20" s="36">
        <f>IF(L20="","",INDEX(QBank!$E$47:$E$51,L20))</f>
        <v/>
      </c>
      <c r="I20" s="7" t="inlineStr">
        <is>
          <t>GL-4, RS-9</t>
        </is>
      </c>
      <c r="J20" s="7" t="inlineStr">
        <is>
          <t>⟳ Compliance Obligation</t>
        </is>
      </c>
      <c r="L20">
        <f>IF(E20="","",IFERROR(MATCH(E20,QBank!$B$47:$B$51,0),""))</f>
        <v/>
      </c>
    </row>
    <row r="21" ht="96" customHeight="1">
      <c r="B21" s="30" t="inlineStr">
        <is>
          <t>Q11</t>
        </is>
      </c>
      <c r="C21" s="31" t="inlineStr">
        <is>
          <t>Data &amp; Quality
Data governance, quality &amp; privacy for AI</t>
        </is>
      </c>
      <c r="D21" s="32" t="inlineStr">
        <is>
          <t>Is data used by AI classified, quality-assured, traceable and protected in line with privacy requirements (e.g., Bahrain PDPL)?
Guidance: Evidence: data classification applied to AI, data-readiness assessments, lineage, DPIAs, redaction / anonymisation, transfer assessments.</t>
        </is>
      </c>
      <c r="E21" s="33" t="n"/>
      <c r="F21" s="37">
        <f>IF(L21="","",INDEX(QBank!$C$52:$C$56,L21))</f>
        <v/>
      </c>
      <c r="G21" s="35">
        <f>IF(L21="","Not answered",INDEX(QBank!$D$52:$D$56,L21))</f>
        <v/>
      </c>
      <c r="H21" s="36">
        <f>IF(L21="","",INDEX(QBank!$E$52:$E$56,L21))</f>
        <v/>
      </c>
      <c r="I21" s="7" t="inlineStr">
        <is>
          <t>LC-1, SE-4, PR-1, PR-4, PR-5, PR-6</t>
        </is>
      </c>
      <c r="J21" s="7" t="inlineStr">
        <is>
          <t>⟳ Compliance Obligation</t>
        </is>
      </c>
      <c r="L21">
        <f>IF(E21="","",IFERROR(MATCH(E21,QBank!$B$52:$B$56,0),""))</f>
        <v/>
      </c>
    </row>
    <row r="22" ht="96" customHeight="1">
      <c r="B22" s="30" t="inlineStr">
        <is>
          <t>Q12</t>
        </is>
      </c>
      <c r="C22" s="31" t="inlineStr">
        <is>
          <t>Architecture &amp; Technology
AI architecture, integration &amp; monitoring</t>
        </is>
      </c>
      <c r="D22" s="32" t="inlineStr">
        <is>
          <t>Is there a common AI reference architecture with standard integration patterns, and are AI systems monitored for performance, drift and cost?
Guidance: Evidence: reference architecture, approved platforms, integration / agent patterns, monitoring dashboards, cost reports.</t>
        </is>
      </c>
      <c r="E22" s="33" t="n"/>
      <c r="F22" s="37">
        <f>IF(L22="","",INDEX(QBank!$C$57:$C$61,L22))</f>
        <v/>
      </c>
      <c r="G22" s="35">
        <f>IF(L22="","Not answered",INDEX(QBank!$D$57:$D$61,L22))</f>
        <v/>
      </c>
      <c r="H22" s="36">
        <f>IF(L22="","",INDEX(QBank!$E$57:$E$61,L22))</f>
        <v/>
      </c>
      <c r="I22" s="7" t="inlineStr">
        <is>
          <t>LC-2, LC-3, LC-8, LC-12, OM-1, OM-4, RM-6</t>
        </is>
      </c>
      <c r="J22" s="7" t="inlineStr">
        <is>
          <t>☆ Recommended</t>
        </is>
      </c>
      <c r="L22">
        <f>IF(E22="","",IFERROR(MATCH(E22,QBank!$B$57:$B$61,0),""))</f>
        <v/>
      </c>
    </row>
    <row r="23" ht="96" customHeight="1">
      <c r="B23" s="30" t="inlineStr">
        <is>
          <t>Q13</t>
        </is>
      </c>
      <c r="C23" s="31" t="inlineStr">
        <is>
          <t>Protect AI Systems
Securing AI systems</t>
        </is>
      </c>
      <c r="D23" s="32" t="inlineStr">
        <is>
          <t>Are AI systems protected with least-privilege access, secure development and testing (incl. red teaming for prompt injection), and runtime logging?
Guidance: Evidence: AI threat models, access reviews (incl. agent identities), AI red-team reports, guardrail and sandbox configurations, audit logs. Detailed test: GT AI Security &amp; Agent Audit Checklist.</t>
        </is>
      </c>
      <c r="E23" s="33" t="n"/>
      <c r="F23" s="37">
        <f>IF(L23="","",INDEX(QBank!$C$62:$C$66,L23))</f>
        <v/>
      </c>
      <c r="G23" s="35">
        <f>IF(L23="","Not answered",INDEX(QBank!$D$62:$D$66,L23))</f>
        <v/>
      </c>
      <c r="H23" s="36">
        <f>IF(L23="","",INDEX(QBank!$E$62:$E$66,L23))</f>
        <v/>
      </c>
      <c r="I23" s="7" t="inlineStr">
        <is>
          <t>SE-2, SE-3, SE-6 to SE-10, OM-2, AA-3</t>
        </is>
      </c>
      <c r="J23" s="7" t="inlineStr">
        <is>
          <t>⚠ Mandatory Requirement</t>
        </is>
      </c>
      <c r="L23">
        <f>IF(E23="","",IFERROR(MATCH(E23,QBank!$B$62:$B$66,0),""))</f>
        <v/>
      </c>
    </row>
    <row r="24" ht="96" customHeight="1">
      <c r="B24" s="30" t="inlineStr">
        <is>
          <t>Q14</t>
        </is>
      </c>
      <c r="C24" s="31" t="inlineStr">
        <is>
          <t>Protection from AI Threats
Defending against AI-enabled threats</t>
        </is>
      </c>
      <c r="D24" s="32" t="inlineStr">
        <is>
          <t>Is the organisation prepared for AI-enabled attacks such as deepfake impersonation, AI-crafted phishing and automated exploitation?
Guidance: Evidence: AI threat intelligence, out-of-band verification procedures, deepfake simulations, SOC use cases, playbooks, patch metrics.</t>
        </is>
      </c>
      <c r="E24" s="33" t="n"/>
      <c r="F24" s="37">
        <f>IF(L24="","",INDEX(QBank!$C$67:$C$71,L24))</f>
        <v/>
      </c>
      <c r="G24" s="35">
        <f>IF(L24="","Not answered",INDEX(QBank!$D$67:$D$71,L24))</f>
        <v/>
      </c>
      <c r="H24" s="36">
        <f>IF(L24="","",INDEX(QBank!$E$67:$E$71,L24))</f>
        <v/>
      </c>
      <c r="I24" s="7" t="inlineStr">
        <is>
          <t>AT-1, AT-2, AT-3, AT-4</t>
        </is>
      </c>
      <c r="J24" s="7" t="inlineStr">
        <is>
          <t>☆ Recommended</t>
        </is>
      </c>
      <c r="L24">
        <f>IF(E24="","",IFERROR(MATCH(E24,QBank!$B$67:$B$71,0),""))</f>
        <v/>
      </c>
    </row>
    <row r="25" ht="96" customHeight="1">
      <c r="B25" s="30" t="inlineStr">
        <is>
          <t>Q15</t>
        </is>
      </c>
      <c r="C25" s="31" t="inlineStr">
        <is>
          <t>Governance &amp; Ethics
AI incidents, monitoring &amp; assurance</t>
        </is>
      </c>
      <c r="D25" s="32" t="inlineStr">
        <is>
          <t>Are AI incidents detected, managed and reported, and is AI governance subject to internal audit or independent assurance?
Guidance: Evidence: AI incident categories, notification criteria, incident logs, internal-audit reports, vendor assurance, certification status.</t>
        </is>
      </c>
      <c r="E25" s="33" t="n"/>
      <c r="F25" s="37">
        <f>IF(L25="","",INDEX(QBank!$C$72:$C$76,L25))</f>
        <v/>
      </c>
      <c r="G25" s="35">
        <f>IF(L25="","Not answered",INDEX(QBank!$D$72:$D$76,L25))</f>
        <v/>
      </c>
      <c r="H25" s="36">
        <f>IF(L25="","",INDEX(QBank!$E$72:$E$76,L25))</f>
        <v/>
      </c>
      <c r="I25" s="7" t="inlineStr">
        <is>
          <t>IM-1, IM-2, IM-3, AA-1, AA-2, RO-4</t>
        </is>
      </c>
      <c r="J25" s="7" t="inlineStr">
        <is>
          <t>⟳ Compliance Obligation</t>
        </is>
      </c>
      <c r="L25">
        <f>IF(E25="","",IFERROR(MATCH(E25,QBank!$B$72:$B$76,0),""))</f>
        <v/>
      </c>
    </row>
  </sheetData>
  <mergeCells count="16">
    <mergeCell ref="F4:G4"/>
    <mergeCell ref="D4"/>
    <mergeCell ref="H5"/>
    <mergeCell ref="I4:J4"/>
    <mergeCell ref="E4"/>
    <mergeCell ref="B5:C5"/>
    <mergeCell ref="B14:J14"/>
    <mergeCell ref="F5:G5"/>
    <mergeCell ref="D5"/>
    <mergeCell ref="B9:J9"/>
    <mergeCell ref="B1:J1"/>
    <mergeCell ref="I5:J5"/>
    <mergeCell ref="B4:C4"/>
    <mergeCell ref="H4"/>
    <mergeCell ref="B2:J2"/>
    <mergeCell ref="E5"/>
  </mergeCells>
  <conditionalFormatting sqref="G10:G13">
    <cfRule type="cellIs" priority="1" operator="equal" dxfId="0">
      <formula>"Low"</formula>
    </cfRule>
    <cfRule type="cellIs" priority="2" operator="equal" dxfId="1">
      <formula>"Medium"</formula>
    </cfRule>
    <cfRule type="cellIs" priority="3" operator="equal" dxfId="2">
      <formula>"High"</formula>
    </cfRule>
    <cfRule type="cellIs" priority="4" operator="equal" dxfId="3">
      <formula>"Very high"</formula>
    </cfRule>
  </conditionalFormatting>
  <conditionalFormatting sqref="G15:G25">
    <cfRule type="cellIs" priority="5" operator="equal" dxfId="3">
      <formula>"Not met"</formula>
    </cfRule>
    <cfRule type="cellIs" priority="6" operator="equal" dxfId="2">
      <formula>"Minimal"</formula>
    </cfRule>
    <cfRule type="cellIs" priority="7" operator="equal" dxfId="1">
      <formula>"Partially met"</formula>
    </cfRule>
    <cfRule type="cellIs" priority="8" operator="equal" dxfId="0">
      <formula>"Largely met"</formula>
    </cfRule>
    <cfRule type="cellIs" priority="9" operator="equal" dxfId="4">
      <formula>"Fully met"</formula>
    </cfRule>
  </conditionalFormatting>
  <conditionalFormatting sqref="G10:G25">
    <cfRule type="cellIs" priority="10" operator="equal" dxfId="5">
      <formula>"Not answered"</formula>
    </cfRule>
  </conditionalFormatting>
  <conditionalFormatting sqref="E5">
    <cfRule type="cellIs" priority="11" operator="equal" dxfId="6">
      <formula>"Partial"</formula>
    </cfRule>
    <cfRule type="cellIs" priority="12" operator="equal" dxfId="1">
      <formula>"Informed"</formula>
    </cfRule>
    <cfRule type="cellIs" priority="13" operator="equal" dxfId="0">
      <formula>"Repeatable"</formula>
    </cfRule>
    <cfRule type="cellIs" priority="14" operator="equal" dxfId="4">
      <formula>"Adaptive"</formula>
    </cfRule>
  </conditionalFormatting>
  <conditionalFormatting sqref="F5">
    <cfRule type="cellIs" priority="15" operator="equal" dxfId="0">
      <formula>"Low"</formula>
    </cfRule>
    <cfRule type="cellIs" priority="16" operator="equal" dxfId="1">
      <formula>"Moderate"</formula>
    </cfRule>
    <cfRule type="cellIs" priority="17" operator="equal" dxfId="1">
      <formula>"Medium"</formula>
    </cfRule>
    <cfRule type="cellIs" priority="18" operator="equal" dxfId="2">
      <formula>"High"</formula>
    </cfRule>
    <cfRule type="cellIs" priority="19" operator="equal" dxfId="3">
      <formula>"Critical"</formula>
    </cfRule>
    <cfRule type="cellIs" priority="20" operator="equal" dxfId="3">
      <formula>"Very high"</formula>
    </cfRule>
  </conditionalFormatting>
  <conditionalFormatting sqref="H5">
    <cfRule type="expression" priority="21" dxfId="0">
      <formula>LEFT($H$5,5)="Low  "</formula>
    </cfRule>
    <cfRule type="expression" priority="22" dxfId="1">
      <formula>LEFT($H$5,10)="Moderate  "</formula>
    </cfRule>
    <cfRule type="expression" priority="23" dxfId="1">
      <formula>LEFT($H$5,8)="Medium  "</formula>
    </cfRule>
    <cfRule type="expression" priority="24" dxfId="2">
      <formula>LEFT($H$5,6)="High  "</formula>
    </cfRule>
    <cfRule type="expression" priority="25" dxfId="3">
      <formula>LEFT($H$5,10)="Critical  "</formula>
    </cfRule>
    <cfRule type="expression" priority="26" dxfId="3">
      <formula>LEFT($H$5,11)="Very high  "</formula>
    </cfRule>
  </conditionalFormatting>
  <dataValidations count="15">
    <dataValidation sqref="E10" showDropDown="0" showInputMessage="0" showErrorMessage="1" allowBlank="1" errorTitle="Invalid entry" error="Please choose a value from the list." type="list">
      <formula1>=QBank!$B$2:$B$6</formula1>
    </dataValidation>
    <dataValidation sqref="E11" showDropDown="0" showInputMessage="0" showErrorMessage="1" allowBlank="1" errorTitle="Invalid entry" error="Please choose a value from the list." type="list">
      <formula1>=QBank!$B$7:$B$11</formula1>
    </dataValidation>
    <dataValidation sqref="E12" showDropDown="0" showInputMessage="0" showErrorMessage="1" allowBlank="1" errorTitle="Invalid entry" error="Please choose a value from the list." type="list">
      <formula1>=QBank!$B$12:$B$16</formula1>
    </dataValidation>
    <dataValidation sqref="E13" showDropDown="0" showInputMessage="0" showErrorMessage="1" allowBlank="1" errorTitle="Invalid entry" error="Please choose a value from the list." type="list">
      <formula1>=QBank!$B$17:$B$21</formula1>
    </dataValidation>
    <dataValidation sqref="E15" showDropDown="0" showInputMessage="0" showErrorMessage="1" allowBlank="1" errorTitle="Invalid entry" error="Please choose a value from the list." type="list">
      <formula1>=QBank!$B$22:$B$26</formula1>
    </dataValidation>
    <dataValidation sqref="E16" showDropDown="0" showInputMessage="0" showErrorMessage="1" allowBlank="1" errorTitle="Invalid entry" error="Please choose a value from the list." type="list">
      <formula1>=QBank!$B$27:$B$31</formula1>
    </dataValidation>
    <dataValidation sqref="E17" showDropDown="0" showInputMessage="0" showErrorMessage="1" allowBlank="1" errorTitle="Invalid entry" error="Please choose a value from the list." type="list">
      <formula1>=QBank!$B$32:$B$36</formula1>
    </dataValidation>
    <dataValidation sqref="E18" showDropDown="0" showInputMessage="0" showErrorMessage="1" allowBlank="1" errorTitle="Invalid entry" error="Please choose a value from the list." type="list">
      <formula1>=QBank!$B$37:$B$41</formula1>
    </dataValidation>
    <dataValidation sqref="E19" showDropDown="0" showInputMessage="0" showErrorMessage="1" allowBlank="1" errorTitle="Invalid entry" error="Please choose a value from the list." type="list">
      <formula1>=QBank!$B$42:$B$46</formula1>
    </dataValidation>
    <dataValidation sqref="E20" showDropDown="0" showInputMessage="0" showErrorMessage="1" allowBlank="1" errorTitle="Invalid entry" error="Please choose a value from the list." type="list">
      <formula1>=QBank!$B$47:$B$51</formula1>
    </dataValidation>
    <dataValidation sqref="E21" showDropDown="0" showInputMessage="0" showErrorMessage="1" allowBlank="1" errorTitle="Invalid entry" error="Please choose a value from the list." type="list">
      <formula1>=QBank!$B$52:$B$56</formula1>
    </dataValidation>
    <dataValidation sqref="E22" showDropDown="0" showInputMessage="0" showErrorMessage="1" allowBlank="1" errorTitle="Invalid entry" error="Please choose a value from the list." type="list">
      <formula1>=QBank!$B$57:$B$61</formula1>
    </dataValidation>
    <dataValidation sqref="E23" showDropDown="0" showInputMessage="0" showErrorMessage="1" allowBlank="1" errorTitle="Invalid entry" error="Please choose a value from the list." type="list">
      <formula1>=QBank!$B$62:$B$66</formula1>
    </dataValidation>
    <dataValidation sqref="E24" showDropDown="0" showInputMessage="0" showErrorMessage="1" allowBlank="1" errorTitle="Invalid entry" error="Please choose a value from the list." type="list">
      <formula1>=QBank!$B$67:$B$71</formula1>
    </dataValidation>
    <dataValidation sqref="E25" showDropDown="0" showInputMessage="0" showErrorMessage="1" allowBlank="1" errorTitle="Invalid entry" error="Please choose a value from the list." type="list">
      <formula1>=QBank!$B$72:$B$76</formula1>
    </dataValidation>
  </dataValidations>
  <hyperlinks>
    <hyperlink xmlns:r="http://schemas.openxmlformats.org/officeDocument/2006/relationships" ref="I5" r:id="rId1"/>
  </hyperlinks>
  <printOptions gridLines="0"/>
  <pageMargins left="0.5" right="0.5" top="0.75" bottom="0.75" header="0.25" footer="0.25"/>
  <pageSetup orientation="landscape" paperSize="9" fitToHeight="0" fitToWidth="1"/>
</worksheet>
</file>

<file path=xl/worksheets/sheet4.xml><?xml version="1.0" encoding="utf-8"?>
<worksheet xmlns="http://schemas.openxmlformats.org/spreadsheetml/2006/main">
  <sheetPr>
    <tabColor rgb="0000A7B5"/>
    <outlinePr summaryBelow="1" summaryRight="1"/>
    <pageSetUpPr fitToPage="1"/>
  </sheetPr>
  <dimension ref="B1:M120"/>
  <sheetViews>
    <sheetView showGridLines="0" zoomScale="90" workbookViewId="0">
      <selection activeCell="A1" sqref="A1"/>
    </sheetView>
  </sheetViews>
  <sheetFormatPr baseColWidth="8" defaultRowHeight="15"/>
  <cols>
    <col width="1.2" customWidth="1" min="1" max="1"/>
    <col width="4.5" customWidth="1" min="2" max="2"/>
    <col width="17" customWidth="1" min="3" max="3"/>
    <col width="9.6" customWidth="1" min="4" max="4"/>
    <col width="9.6" customWidth="1" min="5" max="5"/>
    <col width="9.6" customWidth="1" min="6" max="6"/>
    <col width="9.6" customWidth="1" min="7" max="7"/>
    <col width="9.6" customWidth="1" min="8" max="8"/>
    <col width="9.6" customWidth="1" min="9" max="9"/>
    <col width="9.6" customWidth="1" min="10" max="10"/>
    <col width="9.6" customWidth="1" min="11" max="11"/>
    <col width="2" customWidth="1" min="12" max="12"/>
    <col width="70" customWidth="1" min="13" max="13"/>
  </cols>
  <sheetData>
    <row r="1" ht="40" customHeight="1">
      <c r="B1" s="38" t="inlineStr">
        <is>
          <t>AI READINESS &amp; RISK ASSESSMENT - RESULTS REPORT</t>
        </is>
      </c>
      <c r="M1" s="39" t="inlineStr">
        <is>
          <t>HOW TO PRINT, SAVE OR EMAIL THIS REPORT</t>
        </is>
      </c>
    </row>
    <row r="2" ht="22" customHeight="1">
      <c r="B2" s="40">
        <f>IF('1. Profile'!$C$4="","Organisation: (not specified)",'1. Profile'!$C$4)&amp;"   |   "&amp;IF('1. Profile'!$C$5="","",'1. Profile'!$C$5&amp;"   |   ")&amp;"Assessment date: "&amp;IF('1. Profile'!$C$12="","-",IF(ISNUMBER('1. Profile'!$C$12),TEXT('1. Profile'!$C$12,"dd mmmm yyyy"),'1. Profile'!$C$12))</f>
        <v/>
      </c>
      <c r="M2" s="41" t="inlineStr">
        <is>
          <t>SAVE AS PDF (recommended): File &gt; Save As &gt; choose 'PDF' as the file type &gt; Options &gt; 'Active sheet(s)' &gt; Save. Or File &gt; Export &gt; Create PDF/XPS. This uses Excel's built-in PDF engine and does not depend on any printer driver.
PRINT: File &gt; Print &gt; 'Print Active Sheets' (A4 portrait, fitted to one page wide, page breaks between sections). Do not choose 'Print Entire Workbook'.
IF 'MICROSOFT PRINT TO PDF' SHOWS AN ERROR: the Windows PDF printer driver is failing, not the workbook. Use Save As &gt; PDF above, or select another printer. To repair the driver: Windows 'Turn Windows features on or off' &gt; untick 'Microsoft Print to PDF' &gt; OK &gt; re-tick &gt; OK, then restart Excel.
EMAIL: save the PDF, then click the link below to open a pre-filled email with your headline results and attach the PDF.
This panel is outside the print area and will not appear on the printed report.</t>
        </is>
      </c>
    </row>
    <row r="3" ht="26" customHeight="1">
      <c r="B3" s="42">
        <f>"Scope: "&amp;IF('1. Profile'!$C$7="","-",'1. Profile'!$C$7)&amp;IF('1. Profile'!$C$8="",""," - "&amp;'1. Profile'!$C$8)&amp;"   |   Completed by: "&amp;IF('1. Profile'!$C$9="","-",'1. Profile'!$C$9)&amp;IF('1. Profile'!$C$10="",""," ("&amp;'1. Profile'!$C$10&amp;")")</f>
        <v/>
      </c>
      <c r="M3" s="43" t="n"/>
    </row>
    <row r="4">
      <c r="B4" s="44">
        <f>IF(Calc!B21=1,"Framework basis: NSW AI Assessment Framework (inherent risk)  |  GT AI Ready7 (7 pillars)  |  GT AI RCM v2.1 (controls)  |  ISO/IEC 42001, NIST AI RMF, EU AI Act, Bahrain PDPL","ASSESSMENT INCOMPLETE - "&amp;Calc!B20&amp;" of 15 questions answered. Results below are provisional.")</f>
        <v/>
      </c>
      <c r="M4" s="45" t="n"/>
    </row>
    <row r="5" ht="36" customHeight="1">
      <c r="M5" s="46">
        <f>IF(Calc!B21=0,"Complete the assessment to enable email",IF('1. Profile'!$C$11="","Enter your email address in 1. Profile to enable the email link",HYPERLINK("mailto:"&amp;'1. Profile'!$C$11&amp;"?subject=AI%20Readiness%20Results&amp;body="&amp;SUBSTITUTE(SUBSTITUTE("AI readiness "&amp;TEXT(Calc!B45,"0%")&amp;" ("&amp;Calc!B46&amp;"); risk tier "&amp;Calc!C32&amp;"; exposure "&amp;Calc!B57&amp;". Report attached.","%","%25")," ","%20"),"&gt;&gt; Click to email the results summary to "&amp;'1. Profile'!$C$11)))</f>
        <v/>
      </c>
    </row>
    <row r="6" ht="22" customHeight="1">
      <c r="B6" s="47" t="inlineStr">
        <is>
          <t>1. EXECUTIVE SUMMARY</t>
        </is>
      </c>
    </row>
    <row r="7" ht="18" customHeight="1">
      <c r="B7" s="48" t="inlineStr">
        <is>
          <t>OVERALL AI READINESS</t>
        </is>
      </c>
      <c r="C7" s="21" t="n"/>
      <c r="D7" s="21" t="n"/>
      <c r="E7" s="48" t="inlineStr">
        <is>
          <t>MATURITY LEVEL</t>
        </is>
      </c>
      <c r="F7" s="21" t="n"/>
      <c r="G7" s="48" t="inlineStr">
        <is>
          <t>INHERENT RISK TIER</t>
        </is>
      </c>
      <c r="H7" s="21" t="n"/>
      <c r="I7" s="48" t="inlineStr">
        <is>
          <t>OVERALL AI RISK EXPOSURE</t>
        </is>
      </c>
      <c r="J7" s="21" t="n"/>
      <c r="K7" s="21" t="n"/>
    </row>
    <row r="8" ht="44" customHeight="1">
      <c r="B8" s="49">
        <f>IF(Calc!B45="","-",Calc!B45)</f>
        <v/>
      </c>
      <c r="C8" s="21" t="n"/>
      <c r="D8" s="21" t="n"/>
      <c r="E8" s="50">
        <f>IF(Calc!B46="","-",Calc!B46)</f>
        <v/>
      </c>
      <c r="F8" s="21" t="n"/>
      <c r="G8" s="50">
        <f>IF(Calc!C32="","-",Calc!C32)</f>
        <v/>
      </c>
      <c r="H8" s="21" t="n"/>
      <c r="I8" s="50">
        <f>IF(Calc!B57="","-",Calc!B57)</f>
        <v/>
      </c>
      <c r="J8" s="21" t="n"/>
      <c r="K8" s="21" t="n"/>
    </row>
    <row r="9" ht="40" customHeight="1">
      <c r="B9" s="51">
        <f>"AI Ready7 scale: &lt;50% Partial | 50-70% Informed | 70-90% Repeatable | 90%+ Adaptive"</f>
        <v/>
      </c>
      <c r="C9" s="21" t="n"/>
      <c r="D9" s="21" t="n"/>
      <c r="E9" s="51">
        <f>Calc!B70</f>
        <v/>
      </c>
      <c r="F9" s="21" t="n"/>
      <c r="G9" s="51">
        <f>IF(Calc!C30="","",TEXT(Calc!C30,"0%")&amp;" of maximum inherent risk. "&amp;Calc!C33)</f>
        <v/>
      </c>
      <c r="H9" s="21" t="n"/>
      <c r="I9" s="51">
        <f>"Combines inherent risk tier and readiness maturity (see Methodology)"</f>
        <v/>
      </c>
      <c r="J9" s="21" t="n"/>
      <c r="K9" s="21" t="n"/>
    </row>
    <row r="11" ht="26" customHeight="1">
      <c r="B11" s="52" t="inlineStr">
        <is>
          <t>RECOMMENDED PATHWAY</t>
        </is>
      </c>
      <c r="C11" s="21" t="n"/>
      <c r="D11" s="53">
        <f>IF(Calc!B58="","-",Calc!B58)</f>
        <v/>
      </c>
      <c r="E11" s="21" t="n"/>
      <c r="F11" s="21" t="n"/>
      <c r="G11" s="21" t="n"/>
      <c r="H11" s="21" t="n"/>
      <c r="I11" s="21" t="n"/>
      <c r="J11" s="21" t="n"/>
      <c r="K11" s="21" t="n"/>
    </row>
    <row r="12" ht="34" customHeight="1">
      <c r="B12" s="54">
        <f>Calc!C58</f>
        <v/>
      </c>
      <c r="C12" s="21" t="n"/>
      <c r="D12" s="21" t="n"/>
      <c r="E12" s="21" t="n"/>
      <c r="F12" s="21" t="n"/>
      <c r="G12" s="21" t="n"/>
      <c r="H12" s="21" t="n"/>
      <c r="I12" s="21" t="n"/>
      <c r="J12" s="21" t="n"/>
      <c r="K12" s="21" t="n"/>
    </row>
    <row r="14" ht="92" customHeight="1">
      <c r="B14" s="55">
        <f>Calc!B72</f>
        <v/>
      </c>
      <c r="C14" s="21" t="n"/>
      <c r="D14" s="21" t="n"/>
      <c r="E14" s="21" t="n"/>
      <c r="F14" s="21" t="n"/>
      <c r="G14" s="21" t="n"/>
      <c r="H14" s="21" t="n"/>
      <c r="I14" s="21" t="n"/>
      <c r="J14" s="21" t="n"/>
      <c r="K14" s="21" t="n"/>
    </row>
    <row r="16" ht="22" customHeight="1">
      <c r="B16" s="47" t="inlineStr">
        <is>
          <t>2. READINESS BY AI READY7 PILLAR</t>
        </is>
      </c>
    </row>
    <row r="17" ht="26" customHeight="1">
      <c r="B17" s="23" t="inlineStr">
        <is>
          <t>Pillar</t>
        </is>
      </c>
      <c r="C17" s="21" t="n"/>
      <c r="D17" s="23" t="inlineStr">
        <is>
          <t>Score</t>
        </is>
      </c>
      <c r="E17" s="23" t="inlineStr">
        <is>
          <t>Maturity</t>
        </is>
      </c>
      <c r="F17" s="23" t="inlineStr">
        <is>
          <t>Progress  (each block = 5%;  target 70% = 14 blocks)</t>
        </is>
      </c>
      <c r="G17" s="21" t="n"/>
      <c r="H17" s="21" t="n"/>
      <c r="I17" s="21" t="n"/>
      <c r="J17" s="21" t="n"/>
      <c r="K17" s="21" t="n"/>
    </row>
    <row r="18" ht="25" customHeight="1">
      <c r="B18" s="56" t="inlineStr">
        <is>
          <t>Business Alignment</t>
        </is>
      </c>
      <c r="C18" s="21" t="n"/>
      <c r="D18" s="37">
        <f>IF(Calc!B37="","-",Calc!B37)</f>
        <v/>
      </c>
      <c r="E18" s="35">
        <f>IF(Calc!C37="","-",Calc!C37)</f>
        <v/>
      </c>
      <c r="F18" s="57">
        <f>IF(Calc!B37="","",REPT("■",ROUND(Calc!B37*20,0))&amp;REPT("□",MAX(0,14-ROUND(Calc!B37*20,0))))</f>
        <v/>
      </c>
      <c r="G18" s="21" t="n"/>
      <c r="H18" s="21" t="n"/>
      <c r="I18" s="21" t="n"/>
      <c r="J18" s="21" t="n"/>
      <c r="K18" s="21" t="n"/>
    </row>
    <row r="19" ht="25" customHeight="1">
      <c r="B19" s="56" t="inlineStr">
        <is>
          <t>Governance &amp; Ethics</t>
        </is>
      </c>
      <c r="C19" s="21" t="n"/>
      <c r="D19" s="37">
        <f>IF(Calc!B38="","-",Calc!B38)</f>
        <v/>
      </c>
      <c r="E19" s="35">
        <f>IF(Calc!C38="","-",Calc!C38)</f>
        <v/>
      </c>
      <c r="F19" s="57">
        <f>IF(Calc!B38="","",REPT("■",ROUND(Calc!B38*20,0))&amp;REPT("□",MAX(0,14-ROUND(Calc!B38*20,0))))</f>
        <v/>
      </c>
      <c r="G19" s="21" t="n"/>
      <c r="H19" s="21" t="n"/>
      <c r="I19" s="21" t="n"/>
      <c r="J19" s="21" t="n"/>
      <c r="K19" s="21" t="n"/>
    </row>
    <row r="20" ht="25" customHeight="1">
      <c r="B20" s="56" t="inlineStr">
        <is>
          <t>Training &amp; Development</t>
        </is>
      </c>
      <c r="C20" s="21" t="n"/>
      <c r="D20" s="37">
        <f>IF(Calc!B39="","-",Calc!B39)</f>
        <v/>
      </c>
      <c r="E20" s="35">
        <f>IF(Calc!C39="","-",Calc!C39)</f>
        <v/>
      </c>
      <c r="F20" s="57">
        <f>IF(Calc!B39="","",REPT("■",ROUND(Calc!B39*20,0))&amp;REPT("□",MAX(0,14-ROUND(Calc!B39*20,0))))</f>
        <v/>
      </c>
      <c r="G20" s="21" t="n"/>
      <c r="H20" s="21" t="n"/>
      <c r="I20" s="21" t="n"/>
      <c r="J20" s="21" t="n"/>
      <c r="K20" s="21" t="n"/>
    </row>
    <row r="21" ht="25" customHeight="1">
      <c r="B21" s="56" t="inlineStr">
        <is>
          <t>Data &amp; Quality</t>
        </is>
      </c>
      <c r="C21" s="21" t="n"/>
      <c r="D21" s="37">
        <f>IF(Calc!B40="","-",Calc!B40)</f>
        <v/>
      </c>
      <c r="E21" s="35">
        <f>IF(Calc!C40="","-",Calc!C40)</f>
        <v/>
      </c>
      <c r="F21" s="57">
        <f>IF(Calc!B40="","",REPT("■",ROUND(Calc!B40*20,0))&amp;REPT("□",MAX(0,14-ROUND(Calc!B40*20,0))))</f>
        <v/>
      </c>
      <c r="G21" s="21" t="n"/>
      <c r="H21" s="21" t="n"/>
      <c r="I21" s="21" t="n"/>
      <c r="J21" s="21" t="n"/>
      <c r="K21" s="21" t="n"/>
    </row>
    <row r="22" ht="25" customHeight="1">
      <c r="B22" s="56" t="inlineStr">
        <is>
          <t>Architecture &amp; Technology</t>
        </is>
      </c>
      <c r="C22" s="21" t="n"/>
      <c r="D22" s="37">
        <f>IF(Calc!B41="","-",Calc!B41)</f>
        <v/>
      </c>
      <c r="E22" s="35">
        <f>IF(Calc!C41="","-",Calc!C41)</f>
        <v/>
      </c>
      <c r="F22" s="57">
        <f>IF(Calc!B41="","",REPT("■",ROUND(Calc!B41*20,0))&amp;REPT("□",MAX(0,14-ROUND(Calc!B41*20,0))))</f>
        <v/>
      </c>
      <c r="G22" s="21" t="n"/>
      <c r="H22" s="21" t="n"/>
      <c r="I22" s="21" t="n"/>
      <c r="J22" s="21" t="n"/>
      <c r="K22" s="21" t="n"/>
    </row>
    <row r="23" ht="25" customHeight="1">
      <c r="B23" s="56" t="inlineStr">
        <is>
          <t>Protect AI Systems</t>
        </is>
      </c>
      <c r="C23" s="21" t="n"/>
      <c r="D23" s="37">
        <f>IF(Calc!B42="","-",Calc!B42)</f>
        <v/>
      </c>
      <c r="E23" s="35">
        <f>IF(Calc!C42="","-",Calc!C42)</f>
        <v/>
      </c>
      <c r="F23" s="57">
        <f>IF(Calc!B42="","",REPT("■",ROUND(Calc!B42*20,0))&amp;REPT("□",MAX(0,14-ROUND(Calc!B42*20,0))))</f>
        <v/>
      </c>
      <c r="G23" s="21" t="n"/>
      <c r="H23" s="21" t="n"/>
      <c r="I23" s="21" t="n"/>
      <c r="J23" s="21" t="n"/>
      <c r="K23" s="21" t="n"/>
    </row>
    <row r="24" ht="25" customHeight="1">
      <c r="B24" s="56" t="inlineStr">
        <is>
          <t>Protection from AI Threats</t>
        </is>
      </c>
      <c r="C24" s="21" t="n"/>
      <c r="D24" s="37">
        <f>IF(Calc!B43="","-",Calc!B43)</f>
        <v/>
      </c>
      <c r="E24" s="35">
        <f>IF(Calc!C43="","-",Calc!C43)</f>
        <v/>
      </c>
      <c r="F24" s="57">
        <f>IF(Calc!B43="","",REPT("■",ROUND(Calc!B43*20,0))&amp;REPT("□",MAX(0,14-ROUND(Calc!B43*20,0))))</f>
        <v/>
      </c>
      <c r="G24" s="21" t="n"/>
      <c r="H24" s="21" t="n"/>
      <c r="I24" s="21" t="n"/>
      <c r="J24" s="21" t="n"/>
      <c r="K24" s="21" t="n"/>
    </row>
    <row r="25" ht="25" customHeight="1">
      <c r="B25" s="58" t="inlineStr">
        <is>
          <t>OVERALL</t>
        </is>
      </c>
      <c r="C25" s="21" t="n"/>
      <c r="D25" s="59">
        <f>IF(Calc!B45="","-",Calc!B45)</f>
        <v/>
      </c>
      <c r="E25" s="30">
        <f>IF(Calc!B46="","-",Calc!B46)</f>
        <v/>
      </c>
      <c r="F25" s="60">
        <f>IF(Calc!B45="","",REPT("■",ROUND(Calc!B45*20,0))&amp;REPT("□",MAX(0,14-ROUND(Calc!B45*20,0))))</f>
        <v/>
      </c>
      <c r="G25" s="21" t="n"/>
      <c r="H25" s="21" t="n"/>
      <c r="I25" s="21" t="n"/>
      <c r="J25" s="21" t="n"/>
      <c r="K25" s="21" t="n"/>
    </row>
    <row r="27" ht="26" customHeight="1">
      <c r="B27" s="23" t="inlineStr">
        <is>
          <t>Pillar</t>
        </is>
      </c>
      <c r="C27" s="21" t="n"/>
      <c r="D27" s="23" t="inlineStr">
        <is>
          <t>Potential risk if the pillar is not strengthened (shown where score &lt; 90%)</t>
        </is>
      </c>
      <c r="E27" s="21" t="n"/>
      <c r="F27" s="21" t="n"/>
      <c r="G27" s="21" t="n"/>
      <c r="H27" s="21" t="n"/>
      <c r="I27" s="21" t="n"/>
      <c r="J27" s="21" t="n"/>
      <c r="K27" s="21" t="n"/>
    </row>
    <row r="28" ht="28" customHeight="1">
      <c r="B28" s="61" t="inlineStr">
        <is>
          <t>Business Alignment</t>
        </is>
      </c>
      <c r="C28" s="21" t="n"/>
      <c r="D28" s="7">
        <f>IF(Calc!B37="","",IF(Calc!B37&gt;=0.9,"Adaptive - maintain current practices.",Calc!E37))</f>
        <v/>
      </c>
      <c r="E28" s="21" t="n"/>
      <c r="F28" s="21" t="n"/>
      <c r="G28" s="21" t="n"/>
      <c r="H28" s="21" t="n"/>
      <c r="I28" s="21" t="n"/>
      <c r="J28" s="21" t="n"/>
      <c r="K28" s="21" t="n"/>
    </row>
    <row r="29" ht="28" customHeight="1">
      <c r="B29" s="61" t="inlineStr">
        <is>
          <t>Governance &amp; Ethics</t>
        </is>
      </c>
      <c r="C29" s="21" t="n"/>
      <c r="D29" s="7">
        <f>IF(Calc!B38="","",IF(Calc!B38&gt;=0.9,"Adaptive - maintain current practices.",Calc!E38))</f>
        <v/>
      </c>
      <c r="E29" s="21" t="n"/>
      <c r="F29" s="21" t="n"/>
      <c r="G29" s="21" t="n"/>
      <c r="H29" s="21" t="n"/>
      <c r="I29" s="21" t="n"/>
      <c r="J29" s="21" t="n"/>
      <c r="K29" s="21" t="n"/>
    </row>
    <row r="30" ht="28" customHeight="1">
      <c r="B30" s="61" t="inlineStr">
        <is>
          <t>Training &amp; Development</t>
        </is>
      </c>
      <c r="C30" s="21" t="n"/>
      <c r="D30" s="7">
        <f>IF(Calc!B39="","",IF(Calc!B39&gt;=0.9,"Adaptive - maintain current practices.",Calc!E39))</f>
        <v/>
      </c>
      <c r="E30" s="21" t="n"/>
      <c r="F30" s="21" t="n"/>
      <c r="G30" s="21" t="n"/>
      <c r="H30" s="21" t="n"/>
      <c r="I30" s="21" t="n"/>
      <c r="J30" s="21" t="n"/>
      <c r="K30" s="21" t="n"/>
    </row>
    <row r="31" ht="28" customHeight="1">
      <c r="B31" s="61" t="inlineStr">
        <is>
          <t>Data &amp; Quality</t>
        </is>
      </c>
      <c r="C31" s="21" t="n"/>
      <c r="D31" s="7">
        <f>IF(Calc!B40="","",IF(Calc!B40&gt;=0.9,"Adaptive - maintain current practices.",Calc!E40))</f>
        <v/>
      </c>
      <c r="E31" s="21" t="n"/>
      <c r="F31" s="21" t="n"/>
      <c r="G31" s="21" t="n"/>
      <c r="H31" s="21" t="n"/>
      <c r="I31" s="21" t="n"/>
      <c r="J31" s="21" t="n"/>
      <c r="K31" s="21" t="n"/>
    </row>
    <row r="32" ht="28" customHeight="1">
      <c r="B32" s="61" t="inlineStr">
        <is>
          <t>Architecture &amp; Technology</t>
        </is>
      </c>
      <c r="C32" s="21" t="n"/>
      <c r="D32" s="7">
        <f>IF(Calc!B41="","",IF(Calc!B41&gt;=0.9,"Adaptive - maintain current practices.",Calc!E41))</f>
        <v/>
      </c>
      <c r="E32" s="21" t="n"/>
      <c r="F32" s="21" t="n"/>
      <c r="G32" s="21" t="n"/>
      <c r="H32" s="21" t="n"/>
      <c r="I32" s="21" t="n"/>
      <c r="J32" s="21" t="n"/>
      <c r="K32" s="21" t="n"/>
    </row>
    <row r="33" ht="28" customHeight="1">
      <c r="B33" s="61" t="inlineStr">
        <is>
          <t>Protect AI Systems</t>
        </is>
      </c>
      <c r="C33" s="21" t="n"/>
      <c r="D33" s="7">
        <f>IF(Calc!B42="","",IF(Calc!B42&gt;=0.9,"Adaptive - maintain current practices.",Calc!E42))</f>
        <v/>
      </c>
      <c r="E33" s="21" t="n"/>
      <c r="F33" s="21" t="n"/>
      <c r="G33" s="21" t="n"/>
      <c r="H33" s="21" t="n"/>
      <c r="I33" s="21" t="n"/>
      <c r="J33" s="21" t="n"/>
      <c r="K33" s="21" t="n"/>
    </row>
    <row r="34" ht="28" customHeight="1">
      <c r="B34" s="61" t="inlineStr">
        <is>
          <t>Protection from AI Threats</t>
        </is>
      </c>
      <c r="C34" s="21" t="n"/>
      <c r="D34" s="7">
        <f>IF(Calc!B43="","",IF(Calc!B43&gt;=0.9,"Adaptive - maintain current practices.",Calc!E43))</f>
        <v/>
      </c>
      <c r="E34" s="21" t="n"/>
      <c r="F34" s="21" t="n"/>
      <c r="G34" s="21" t="n"/>
      <c r="H34" s="21" t="n"/>
      <c r="I34" s="21" t="n"/>
      <c r="J34" s="21" t="n"/>
      <c r="K34" s="21" t="n"/>
    </row>
    <row r="36" ht="22" customHeight="1">
      <c r="B36" s="47" t="inlineStr">
        <is>
          <t>3. AI USE &amp; INHERENT RISK PROFILE (AIAF-based)</t>
        </is>
      </c>
    </row>
    <row r="37" ht="26" customHeight="1">
      <c r="B37" s="23" t="inlineStr">
        <is>
          <t>Factor</t>
        </is>
      </c>
      <c r="C37" s="21" t="n"/>
      <c r="D37" s="23" t="inlineStr">
        <is>
          <t>Your response</t>
        </is>
      </c>
      <c r="E37" s="21" t="n"/>
      <c r="F37" s="21" t="n"/>
      <c r="G37" s="21" t="n"/>
      <c r="H37" s="23" t="inlineStr">
        <is>
          <t>Risk level</t>
        </is>
      </c>
      <c r="I37" s="23" t="inlineStr">
        <is>
          <t>Implication</t>
        </is>
      </c>
      <c r="J37" s="21" t="n"/>
      <c r="K37" s="21" t="n"/>
    </row>
    <row r="38" ht="63.5" customHeight="1">
      <c r="B38" s="61" t="inlineStr">
        <is>
          <t>A1  AI use profile</t>
        </is>
      </c>
      <c r="C38" s="21" t="n"/>
      <c r="D38" s="7">
        <f>IF('2. Assessment'!E10="","Not answered",'2. Assessment'!E10)</f>
        <v/>
      </c>
      <c r="E38" s="21" t="n"/>
      <c r="F38" s="21" t="n"/>
      <c r="G38" s="21" t="n"/>
      <c r="H38" s="35">
        <f>'2. Assessment'!G10</f>
        <v/>
      </c>
      <c r="I38" s="62">
        <f>'2. Assessment'!H10</f>
        <v/>
      </c>
      <c r="J38" s="21" t="n"/>
      <c r="K38" s="21" t="n"/>
    </row>
    <row r="39" ht="52" customHeight="1">
      <c r="B39" s="61" t="inlineStr">
        <is>
          <t>A2  Decision impact</t>
        </is>
      </c>
      <c r="C39" s="21" t="n"/>
      <c r="D39" s="7">
        <f>IF('2. Assessment'!E11="","Not answered",'2. Assessment'!E11)</f>
        <v/>
      </c>
      <c r="E39" s="21" t="n"/>
      <c r="F39" s="21" t="n"/>
      <c r="G39" s="21" t="n"/>
      <c r="H39" s="35">
        <f>'2. Assessment'!G11</f>
        <v/>
      </c>
      <c r="I39" s="62">
        <f>'2. Assessment'!H11</f>
        <v/>
      </c>
      <c r="J39" s="21" t="n"/>
      <c r="K39" s="21" t="n"/>
    </row>
    <row r="40" ht="52" customHeight="1">
      <c r="B40" s="61" t="inlineStr">
        <is>
          <t>A3  Data sensitivity</t>
        </is>
      </c>
      <c r="C40" s="21" t="n"/>
      <c r="D40" s="7">
        <f>IF('2. Assessment'!E12="","Not answered",'2. Assessment'!E12)</f>
        <v/>
      </c>
      <c r="E40" s="21" t="n"/>
      <c r="F40" s="21" t="n"/>
      <c r="G40" s="21" t="n"/>
      <c r="H40" s="35">
        <f>'2. Assessment'!G12</f>
        <v/>
      </c>
      <c r="I40" s="62">
        <f>'2. Assessment'!H12</f>
        <v/>
      </c>
      <c r="J40" s="21" t="n"/>
      <c r="K40" s="21" t="n"/>
    </row>
    <row r="41" ht="52" customHeight="1">
      <c r="B41" s="61" t="inlineStr">
        <is>
          <t>A4  Oversight &amp; reversibility</t>
        </is>
      </c>
      <c r="C41" s="21" t="n"/>
      <c r="D41" s="7">
        <f>IF('2. Assessment'!E13="","Not answered",'2. Assessment'!E13)</f>
        <v/>
      </c>
      <c r="E41" s="21" t="n"/>
      <c r="F41" s="21" t="n"/>
      <c r="G41" s="21" t="n"/>
      <c r="H41" s="35">
        <f>'2. Assessment'!G13</f>
        <v/>
      </c>
      <c r="I41" s="62">
        <f>'2. Assessment'!H13</f>
        <v/>
      </c>
      <c r="J41" s="21" t="n"/>
      <c r="K41" s="21" t="n"/>
    </row>
    <row r="42" ht="28" customHeight="1">
      <c r="B42" s="63">
        <f>"Inherent risk tier: "&amp;IF(Calc!C32="","-",UPPER(Calc!C32))&amp;IF(Calc!C30="",""," ("&amp;TEXT(Calc!C30,"0%")&amp;" weighted inherent-risk score)")</f>
        <v/>
      </c>
      <c r="C42" s="21" t="n"/>
      <c r="D42" s="21" t="n"/>
      <c r="E42" s="21" t="n"/>
      <c r="F42" s="21" t="n"/>
      <c r="G42" s="21" t="n"/>
      <c r="H42" s="64">
        <f>Calc!C33</f>
        <v/>
      </c>
      <c r="I42" s="21" t="n"/>
      <c r="J42" s="21" t="n"/>
      <c r="K42" s="21" t="n"/>
    </row>
    <row r="44" ht="22" customHeight="1">
      <c r="B44" s="47" t="inlineStr">
        <is>
          <t>4. RESPONSIBLE-AI PRINCIPLE COVERAGE (NSW AIAF ethics principles)</t>
        </is>
      </c>
    </row>
    <row r="45" ht="26" customHeight="1">
      <c r="B45" s="23" t="inlineStr">
        <is>
          <t>Principle</t>
        </is>
      </c>
      <c r="C45" s="21" t="n"/>
      <c r="D45" s="21" t="n"/>
      <c r="E45" s="23" t="inlineStr">
        <is>
          <t>Coverage</t>
        </is>
      </c>
      <c r="F45" s="23" t="inlineStr">
        <is>
          <t>Assessment</t>
        </is>
      </c>
      <c r="G45" s="21" t="n"/>
      <c r="H45" s="23" t="inlineStr">
        <is>
          <t>Informed by questions</t>
        </is>
      </c>
      <c r="I45" s="21" t="n"/>
      <c r="J45" s="21" t="n"/>
      <c r="K45" s="21" t="n"/>
    </row>
    <row r="46" ht="18" customHeight="1">
      <c r="B46" s="61" t="inlineStr">
        <is>
          <t>Fairness</t>
        </is>
      </c>
      <c r="C46" s="21" t="n"/>
      <c r="D46" s="21" t="n"/>
      <c r="E46" s="65">
        <f>IF(Calc!B76="","-",Calc!B76)</f>
        <v/>
      </c>
      <c r="F46" s="35">
        <f>Calc!D76</f>
        <v/>
      </c>
      <c r="G46" s="21" t="n"/>
      <c r="H46" s="62">
        <f>Calc!C76</f>
        <v/>
      </c>
      <c r="I46" s="21" t="n"/>
      <c r="J46" s="21" t="n"/>
      <c r="K46" s="21" t="n"/>
    </row>
    <row r="47" ht="18" customHeight="1">
      <c r="B47" s="61" t="inlineStr">
        <is>
          <t>Privacy &amp; Security</t>
        </is>
      </c>
      <c r="C47" s="21" t="n"/>
      <c r="D47" s="21" t="n"/>
      <c r="E47" s="65">
        <f>IF(Calc!B77="","-",Calc!B77)</f>
        <v/>
      </c>
      <c r="F47" s="35">
        <f>Calc!D77</f>
        <v/>
      </c>
      <c r="G47" s="21" t="n"/>
      <c r="H47" s="62">
        <f>Calc!C77</f>
        <v/>
      </c>
      <c r="I47" s="21" t="n"/>
      <c r="J47" s="21" t="n"/>
      <c r="K47" s="21" t="n"/>
    </row>
    <row r="48" ht="18" customHeight="1">
      <c r="B48" s="61" t="inlineStr">
        <is>
          <t>Transparency &amp; Explainability</t>
        </is>
      </c>
      <c r="C48" s="21" t="n"/>
      <c r="D48" s="21" t="n"/>
      <c r="E48" s="65">
        <f>IF(Calc!B78="","-",Calc!B78)</f>
        <v/>
      </c>
      <c r="F48" s="35">
        <f>Calc!D78</f>
        <v/>
      </c>
      <c r="G48" s="21" t="n"/>
      <c r="H48" s="62">
        <f>Calc!C78</f>
        <v/>
      </c>
      <c r="I48" s="21" t="n"/>
      <c r="J48" s="21" t="n"/>
      <c r="K48" s="21" t="n"/>
    </row>
    <row r="49" ht="18" customHeight="1">
      <c r="B49" s="61" t="inlineStr">
        <is>
          <t>Accountability</t>
        </is>
      </c>
      <c r="C49" s="21" t="n"/>
      <c r="D49" s="21" t="n"/>
      <c r="E49" s="65">
        <f>IF(Calc!B79="","-",Calc!B79)</f>
        <v/>
      </c>
      <c r="F49" s="35">
        <f>Calc!D79</f>
        <v/>
      </c>
      <c r="G49" s="21" t="n"/>
      <c r="H49" s="62">
        <f>Calc!C79</f>
        <v/>
      </c>
      <c r="I49" s="21" t="n"/>
      <c r="J49" s="21" t="n"/>
      <c r="K49" s="21" t="n"/>
    </row>
    <row r="50" ht="18" customHeight="1">
      <c r="B50" s="61" t="inlineStr">
        <is>
          <t>Human, Social &amp; Environmental Wellbeing</t>
        </is>
      </c>
      <c r="C50" s="21" t="n"/>
      <c r="D50" s="21" t="n"/>
      <c r="E50" s="65">
        <f>IF(Calc!B80="","-",Calc!B80)</f>
        <v/>
      </c>
      <c r="F50" s="35">
        <f>Calc!D80</f>
        <v/>
      </c>
      <c r="G50" s="21" t="n"/>
      <c r="H50" s="62">
        <f>Calc!C80</f>
        <v/>
      </c>
      <c r="I50" s="21" t="n"/>
      <c r="J50" s="21" t="n"/>
      <c r="K50" s="21" t="n"/>
    </row>
    <row r="51" ht="18" customHeight="1">
      <c r="B51" s="61" t="inlineStr">
        <is>
          <t>Human-Centred Values</t>
        </is>
      </c>
      <c r="C51" s="21" t="n"/>
      <c r="D51" s="21" t="n"/>
      <c r="E51" s="65">
        <f>IF(Calc!B81="","-",Calc!B81)</f>
        <v/>
      </c>
      <c r="F51" s="35">
        <f>Calc!D81</f>
        <v/>
      </c>
      <c r="G51" s="21" t="n"/>
      <c r="H51" s="62">
        <f>Calc!C81</f>
        <v/>
      </c>
      <c r="I51" s="21" t="n"/>
      <c r="J51" s="21" t="n"/>
      <c r="K51" s="21" t="n"/>
    </row>
    <row r="52" ht="18" customHeight="1">
      <c r="B52" s="61" t="inlineStr">
        <is>
          <t>Reliability &amp; Safety</t>
        </is>
      </c>
      <c r="C52" s="21" t="n"/>
      <c r="D52" s="21" t="n"/>
      <c r="E52" s="65">
        <f>IF(Calc!B82="","-",Calc!B82)</f>
        <v/>
      </c>
      <c r="F52" s="35">
        <f>Calc!D82</f>
        <v/>
      </c>
      <c r="G52" s="21" t="n"/>
      <c r="H52" s="62">
        <f>Calc!C82</f>
        <v/>
      </c>
      <c r="I52" s="21" t="n"/>
      <c r="J52" s="21" t="n"/>
      <c r="K52" s="21" t="n"/>
    </row>
    <row r="53" ht="18" customHeight="1">
      <c r="B53" s="61" t="inlineStr">
        <is>
          <t>Contestability</t>
        </is>
      </c>
      <c r="C53" s="21" t="n"/>
      <c r="D53" s="21" t="n"/>
      <c r="E53" s="65">
        <f>IF(Calc!B83="","-",Calc!B83)</f>
        <v/>
      </c>
      <c r="F53" s="35">
        <f>Calc!D83</f>
        <v/>
      </c>
      <c r="G53" s="21" t="n"/>
      <c r="H53" s="62">
        <f>Calc!C83</f>
        <v/>
      </c>
      <c r="I53" s="21" t="n"/>
      <c r="J53" s="21" t="n"/>
      <c r="K53" s="21" t="n"/>
    </row>
    <row r="55" ht="22" customHeight="1">
      <c r="B55" s="47" t="inlineStr">
        <is>
          <t>5. DETAILED FINDINGS &amp; RECOMMENDATIONS</t>
        </is>
      </c>
    </row>
    <row r="56" ht="22" customHeight="1">
      <c r="B56" s="23" t="inlineStr">
        <is>
          <t>Area</t>
        </is>
      </c>
      <c r="C56" s="21" t="n"/>
      <c r="D56" s="23" t="inlineStr">
        <is>
          <t>Your response &amp; score</t>
        </is>
      </c>
      <c r="E56" s="21" t="n"/>
      <c r="F56" s="21" t="n"/>
      <c r="G56" s="23" t="inlineStr">
        <is>
          <t>Potential risk</t>
        </is>
      </c>
      <c r="H56" s="21" t="n"/>
      <c r="I56" s="23" t="inlineStr">
        <is>
          <t>Recommended action</t>
        </is>
      </c>
      <c r="J56" s="21" t="n"/>
      <c r="K56" s="21" t="n"/>
    </row>
    <row r="57" ht="77.5" customHeight="1">
      <c r="B57" s="66" t="inlineStr">
        <is>
          <t>Q5  AI strategy, ownership &amp; risk appetite
Business Alignment
AI Ready7: 1.1
☆ Recommended</t>
        </is>
      </c>
      <c r="C57" s="21" t="n"/>
      <c r="D57" s="67">
        <f>IF('2. Assessment'!E15="","Not answered",TEXT('2. Assessment'!F15,"0%")&amp;" - "&amp;'2. Assessment'!G15&amp;CHAR(10)&amp;CHAR(10)&amp;'2. Assessment'!E15)</f>
        <v/>
      </c>
      <c r="E57" s="21" t="n"/>
      <c r="F57" s="21" t="n"/>
      <c r="G57" s="67">
        <f>IF('2. Assessment'!F15=1,"N/A - reported as fully met.","Lack of executive direction leads to inconsistent AI use, unmanaged risk-taking, poor-quality outputs and fragmented adoption.")</f>
        <v/>
      </c>
      <c r="H57" s="21" t="n"/>
      <c r="I57" s="67">
        <f>IF('2. Assessment'!E15="","",'2. Assessment'!H15&amp;CHAR(10)&amp;CHAR(10)&amp;"Controls: GL-1, GL-3, RM-6")</f>
        <v/>
      </c>
      <c r="J57" s="21" t="n"/>
      <c r="K57" s="21" t="n"/>
    </row>
    <row r="58" ht="77.5" customHeight="1">
      <c r="B58" s="66" t="inlineStr">
        <is>
          <t>Q6  Use-case portfolio &amp; value realisation
Business Alignment
AI Ready7: 1.2, 1.3
☆ Recommended</t>
        </is>
      </c>
      <c r="C58" s="21" t="n"/>
      <c r="D58" s="67">
        <f>IF('2. Assessment'!E16="","Not answered",TEXT('2. Assessment'!F16,"0%")&amp;" - "&amp;'2. Assessment'!G16&amp;CHAR(10)&amp;CHAR(10)&amp;'2. Assessment'!E16)</f>
        <v/>
      </c>
      <c r="E58" s="21" t="n"/>
      <c r="F58" s="21" t="n"/>
      <c r="G58" s="67">
        <f>IF('2. Assessment'!F16=1,"N/A - reported as fully met.","Duplicated or low-value AI investment, shadow AI and inability to demonstrate return on investment.")</f>
        <v/>
      </c>
      <c r="H58" s="21" t="n"/>
      <c r="I58" s="67">
        <f>IF('2. Assessment'!E16="","",'2. Assessment'!H16&amp;CHAR(10)&amp;CHAR(10)&amp;"Controls: GL-6, GL-5")</f>
        <v/>
      </c>
      <c r="J58" s="21" t="n"/>
      <c r="K58" s="21" t="n"/>
    </row>
    <row r="59" ht="77.5" customHeight="1">
      <c r="B59" s="66" t="inlineStr">
        <is>
          <t>Q7  AI policy, acceptable use &amp; regulatory compliance
Governance &amp; Ethics
AI Ready7: 2.1, 2.2
⟳ Compliance Obligation</t>
        </is>
      </c>
      <c r="C59" s="21" t="n"/>
      <c r="D59" s="67">
        <f>IF('2. Assessment'!E17="","Not answered",TEXT('2. Assessment'!F17,"0%")&amp;" - "&amp;'2. Assessment'!G17&amp;CHAR(10)&amp;CHAR(10)&amp;'2. Assessment'!E17)</f>
        <v/>
      </c>
      <c r="E59" s="21" t="n"/>
      <c r="F59" s="21" t="n"/>
      <c r="G59" s="67">
        <f>IF('2. Assessment'!F17=1,"N/A - reported as fully met.","Misuse of AI, data leakage and breach of legal or regulatory requirements, with exposure to penalties, licence conditions and reputational harm.")</f>
        <v/>
      </c>
      <c r="H59" s="21" t="n"/>
      <c r="I59" s="67">
        <f>IF('2. Assessment'!E17="","",'2. Assessment'!H17&amp;CHAR(10)&amp;CHAR(10)&amp;"Controls: GL-5, RO-1, RO-5")</f>
        <v/>
      </c>
      <c r="J59" s="21" t="n"/>
      <c r="K59" s="21" t="n"/>
    </row>
    <row r="60" ht="77.5" customHeight="1">
      <c r="B60" s="66" t="inlineStr">
        <is>
          <t>Q8  AI inventory &amp; risk / impact assessment
Governance &amp; Ethics
AI Ready7: 2.4, 2.5
⚠ Mandatory Requirement</t>
        </is>
      </c>
      <c r="C60" s="21" t="n"/>
      <c r="D60" s="67">
        <f>IF('2. Assessment'!E18="","Not answered",TEXT('2. Assessment'!F18,"0%")&amp;" - "&amp;'2. Assessment'!G18&amp;CHAR(10)&amp;CHAR(10)&amp;'2. Assessment'!E18)</f>
        <v/>
      </c>
      <c r="E60" s="21" t="n"/>
      <c r="F60" s="21" t="n"/>
      <c r="G60" s="67">
        <f>IF('2. Assessment'!F18=1,"N/A - reported as fully met.","Deployment of vulnerable, non-compliant or harmful AI systems and unknown AI exposure across the organisation and its supply chain.")</f>
        <v/>
      </c>
      <c r="H60" s="21" t="n"/>
      <c r="I60" s="67">
        <f>IF('2. Assessment'!E18="","",'2. Assessment'!H18&amp;CHAR(10)&amp;CHAR(10)&amp;"Controls: GL-8, RM-2, RM-5, TP-2")</f>
        <v/>
      </c>
      <c r="J60" s="21" t="n"/>
      <c r="K60" s="21" t="n"/>
    </row>
    <row r="61" ht="77.5" customHeight="1">
      <c r="B61" s="66" t="inlineStr">
        <is>
          <t>Q9  Responsible-AI guardrails &amp; human oversight
Governance &amp; Ethics
AI Ready7: 2.3, 5.2
⚖ Ethical Consideration</t>
        </is>
      </c>
      <c r="C61" s="21" t="n"/>
      <c r="D61" s="67">
        <f>IF('2. Assessment'!E19="","Not answered",TEXT('2. Assessment'!F19,"0%")&amp;" - "&amp;'2. Assessment'!G19&amp;CHAR(10)&amp;CHAR(10)&amp;'2. Assessment'!E19)</f>
        <v/>
      </c>
      <c r="E61" s="21" t="n"/>
      <c r="F61" s="21" t="n"/>
      <c r="G61" s="67">
        <f>IF('2. Assessment'!F19=1,"N/A - reported as fully met.","Biased or harmful outcomes, undisclosed AI use and lack of accountability for AI-supported decisions.")</f>
        <v/>
      </c>
      <c r="H61" s="21" t="n"/>
      <c r="I61" s="67">
        <f>IF('2. Assessment'!E19="","",'2. Assessment'!H19&amp;CHAR(10)&amp;CHAR(10)&amp;"Controls: GL-7, RS-1, RS-4, RS-5, CO-1, CO-3")</f>
        <v/>
      </c>
      <c r="J61" s="21" t="n"/>
      <c r="K61" s="21" t="n"/>
    </row>
    <row r="62" ht="77.5" customHeight="1">
      <c r="B62" s="66" t="inlineStr">
        <is>
          <t>Q10  AI literacy &amp; capability
Training &amp; Development
AI Ready7: 3.1, 3.2, 3.3, 3.4
⟳ Compliance Obligation</t>
        </is>
      </c>
      <c r="C62" s="21" t="n"/>
      <c r="D62" s="67">
        <f>IF('2. Assessment'!E20="","Not answered",TEXT('2. Assessment'!F20,"0%")&amp;" - "&amp;'2. Assessment'!G20&amp;CHAR(10)&amp;CHAR(10)&amp;'2. Assessment'!E20)</f>
        <v/>
      </c>
      <c r="E62" s="21" t="n"/>
      <c r="F62" s="21" t="n"/>
      <c r="G62" s="67">
        <f>IF('2. Assessment'!F20=1,"N/A - reported as fully met.","Unsafe use, susceptibility to AI-enabled threats and poor adoption; non-compliance with the EU AI Act Art. 4 AI-literacy duty where applicable.")</f>
        <v/>
      </c>
      <c r="H62" s="21" t="n"/>
      <c r="I62" s="67">
        <f>IF('2. Assessment'!E20="","",'2. Assessment'!H20&amp;CHAR(10)&amp;CHAR(10)&amp;"Controls: GL-4, RS-9")</f>
        <v/>
      </c>
      <c r="J62" s="21" t="n"/>
      <c r="K62" s="21" t="n"/>
    </row>
    <row r="63" ht="77.5" customHeight="1">
      <c r="B63" s="66" t="inlineStr">
        <is>
          <t>Q11  Data governance, quality &amp; privacy for AI
Data &amp; Quality
AI Ready7: 5.1, 5.3, 5.4, 5.5
⟳ Compliance Obligation</t>
        </is>
      </c>
      <c r="C63" s="21" t="n"/>
      <c r="D63" s="67">
        <f>IF('2. Assessment'!E21="","Not answered",TEXT('2. Assessment'!F21,"0%")&amp;" - "&amp;'2. Assessment'!G21&amp;CHAR(10)&amp;CHAR(10)&amp;'2. Assessment'!E21)</f>
        <v/>
      </c>
      <c r="E63" s="21" t="n"/>
      <c r="F63" s="21" t="n"/>
      <c r="G63" s="67">
        <f>IF('2. Assessment'!F21=1,"N/A - reported as fully met.","Data breaches, PDPL non-compliance, and biased or inaccurate outputs from poor-quality or unsuitable data.")</f>
        <v/>
      </c>
      <c r="H63" s="21" t="n"/>
      <c r="I63" s="67">
        <f>IF('2. Assessment'!E21="","",'2. Assessment'!H21&amp;CHAR(10)&amp;CHAR(10)&amp;"Controls: LC-1, SE-4, PR-1, PR-4, PR-5, PR-6")</f>
        <v/>
      </c>
      <c r="J63" s="21" t="n"/>
      <c r="K63" s="21" t="n"/>
    </row>
    <row r="64" ht="88" customHeight="1">
      <c r="B64" s="66" t="inlineStr">
        <is>
          <t>Q12  AI architecture, integration &amp; monitoring
Architecture &amp; Technology
AI Ready7: 4.1, 4.2, 4.3, 4.4, 4.5
☆ Recommended</t>
        </is>
      </c>
      <c r="C64" s="21" t="n"/>
      <c r="D64" s="67">
        <f>IF('2. Assessment'!E22="","Not answered",TEXT('2. Assessment'!F22,"0%")&amp;" - "&amp;'2. Assessment'!G22&amp;CHAR(10)&amp;CHAR(10)&amp;'2. Assessment'!E22)</f>
        <v/>
      </c>
      <c r="E64" s="21" t="n"/>
      <c r="F64" s="21" t="n"/>
      <c r="G64" s="67">
        <f>IF('2. Assessment'!F22=1,"N/A - reported as fully met.","Inconsistent and insecure implementations, undetected model drift or failure, excessive agent privileges and unsustainable AI costs.")</f>
        <v/>
      </c>
      <c r="H64" s="21" t="n"/>
      <c r="I64" s="67">
        <f>IF('2. Assessment'!E22="","",'2. Assessment'!H22&amp;CHAR(10)&amp;CHAR(10)&amp;"Controls: LC-2, LC-3, LC-8, LC-12, OM-1, OM-4, RM-6")</f>
        <v/>
      </c>
      <c r="J64" s="21" t="n"/>
      <c r="K64" s="21" t="n"/>
    </row>
    <row r="65" ht="77.5" customHeight="1">
      <c r="B65" s="66" t="inlineStr">
        <is>
          <t>Q13  Securing AI systems
Protect AI Systems
AI Ready7: 6.1, 6.2, 6.3, 6.4, 6.5
⚠ Mandatory Requirement</t>
        </is>
      </c>
      <c r="C65" s="21" t="n"/>
      <c r="D65" s="67">
        <f>IF('2. Assessment'!E23="","Not answered",TEXT('2. Assessment'!F23,"0%")&amp;" - "&amp;'2. Assessment'!G23&amp;CHAR(10)&amp;CHAR(10)&amp;'2. Assessment'!E23)</f>
        <v/>
      </c>
      <c r="E65" s="21" t="n"/>
      <c r="F65" s="21" t="n"/>
      <c r="G65" s="67">
        <f>IF('2. Assessment'!F23=1,"N/A - reported as fully met.","Unauthorised access, model compromise, data exfiltration through AI and undetected misuse.")</f>
        <v/>
      </c>
      <c r="H65" s="21" t="n"/>
      <c r="I65" s="67">
        <f>IF('2. Assessment'!E23="","",'2. Assessment'!H23&amp;CHAR(10)&amp;CHAR(10)&amp;"Controls: SE-2, SE-3, SE-6 to SE-10, OM-2, AA-3")</f>
        <v/>
      </c>
      <c r="J65" s="21" t="n"/>
      <c r="K65" s="21" t="n"/>
    </row>
    <row r="66" ht="77.5" customHeight="1">
      <c r="B66" s="66" t="inlineStr">
        <is>
          <t>Q14  Defending against AI-enabled threats
Protection from AI Threats
AI Ready7: 7.1, 7.2, 7.3, 7.4, 7.5
☆ Recommended</t>
        </is>
      </c>
      <c r="C66" s="21" t="n"/>
      <c r="D66" s="67">
        <f>IF('2. Assessment'!E24="","Not answered",TEXT('2. Assessment'!F24,"0%")&amp;" - "&amp;'2. Assessment'!G24&amp;CHAR(10)&amp;CHAR(10)&amp;'2. Assessment'!E24)</f>
        <v/>
      </c>
      <c r="E66" s="21" t="n"/>
      <c r="F66" s="21" t="n"/>
      <c r="G66" s="67">
        <f>IF('2. Assessment'!F24=1,"N/A - reported as fully met.","Deepfake-enabled fraud, account compromise and faster, more scalable attacks that outpace defences.")</f>
        <v/>
      </c>
      <c r="H66" s="21" t="n"/>
      <c r="I66" s="67">
        <f>IF('2. Assessment'!E24="","",'2. Assessment'!H24&amp;CHAR(10)&amp;CHAR(10)&amp;"Controls: AT-1, AT-2, AT-3, AT-4")</f>
        <v/>
      </c>
      <c r="J66" s="21" t="n"/>
      <c r="K66" s="21" t="n"/>
    </row>
    <row r="67" ht="77.5" customHeight="1">
      <c r="B67" s="66" t="inlineStr">
        <is>
          <t>Q15  AI incidents, monitoring &amp; assurance
Governance &amp; Ethics
AI Ready7: 2.2, 7.4
⟳ Compliance Obligation</t>
        </is>
      </c>
      <c r="C67" s="21" t="n"/>
      <c r="D67" s="67">
        <f>IF('2. Assessment'!E25="","Not answered",TEXT('2. Assessment'!F25,"0%")&amp;" - "&amp;'2. Assessment'!G25&amp;CHAR(10)&amp;CHAR(10)&amp;'2. Assessment'!E25)</f>
        <v/>
      </c>
      <c r="E67" s="21" t="n"/>
      <c r="F67" s="21" t="n"/>
      <c r="G67" s="67">
        <f>IF('2. Assessment'!F25=1,"N/A - reported as fully met.","Delayed response to AI failures, missed regulatory notifications and lack of defensible evidence for regulators, auditors and clients.")</f>
        <v/>
      </c>
      <c r="H67" s="21" t="n"/>
      <c r="I67" s="67">
        <f>IF('2. Assessment'!E25="","",'2. Assessment'!H25&amp;CHAR(10)&amp;CHAR(10)&amp;"Controls: IM-1, IM-2, IM-3, AA-1, AA-2, RO-4")</f>
        <v/>
      </c>
      <c r="J67" s="21" t="n"/>
      <c r="K67" s="21" t="n"/>
    </row>
    <row r="69" ht="22" customHeight="1">
      <c r="B69" s="47" t="inlineStr">
        <is>
          <t>6. TOP 5 PRIORITY ACTIONS</t>
        </is>
      </c>
    </row>
    <row r="70">
      <c r="B70" s="14" t="inlineStr">
        <is>
          <t>Ranked by size of gap, weighted for compliance / mandatory requirements and the organisation's inherent risk tier.</t>
        </is>
      </c>
    </row>
    <row r="71" ht="26" customHeight="1">
      <c r="B71" s="23" t="inlineStr">
        <is>
          <t>#</t>
        </is>
      </c>
      <c r="C71" s="23" t="inlineStr">
        <is>
          <t>Area</t>
        </is>
      </c>
      <c r="D71" s="23" t="inlineStr">
        <is>
          <t>Score</t>
        </is>
      </c>
      <c r="E71" s="23" t="inlineStr">
        <is>
          <t>Action</t>
        </is>
      </c>
      <c r="F71" s="21" t="n"/>
      <c r="G71" s="21" t="n"/>
      <c r="H71" s="21" t="n"/>
      <c r="I71" s="21" t="n"/>
      <c r="J71" s="23" t="inlineStr">
        <is>
          <t>Timing</t>
        </is>
      </c>
      <c r="K71" s="21" t="n"/>
    </row>
    <row r="72" ht="40" customHeight="1">
      <c r="B72" s="30" t="n">
        <v>1</v>
      </c>
      <c r="C72" s="61">
        <f>IF(Calc!B87="","",INDEX(Calc!$B:$B,Calc!B87))</f>
        <v/>
      </c>
      <c r="D72" s="65">
        <f>IF(Calc!B87="","",INDEX(Calc!$E:$E,Calc!B87))</f>
        <v/>
      </c>
      <c r="E72" s="7">
        <f>IF(Calc!B87="",IF(0=0,"No gaps identified - maintain current practices.",""),INDEX(Calc!$L:$L,Calc!B87))</f>
        <v/>
      </c>
      <c r="F72" s="21" t="n"/>
      <c r="G72" s="21" t="n"/>
      <c r="H72" s="21" t="n"/>
      <c r="I72" s="21" t="n"/>
      <c r="J72" s="68">
        <f>IF(Calc!B87="","",INDEX(Calc!$I:$I,Calc!B87))</f>
        <v/>
      </c>
      <c r="K72" s="21" t="n"/>
    </row>
    <row r="73" ht="40" customHeight="1">
      <c r="B73" s="30" t="n">
        <v>2</v>
      </c>
      <c r="C73" s="61">
        <f>IF(Calc!B88="","",INDEX(Calc!$B:$B,Calc!B88))</f>
        <v/>
      </c>
      <c r="D73" s="65">
        <f>IF(Calc!B88="","",INDEX(Calc!$E:$E,Calc!B88))</f>
        <v/>
      </c>
      <c r="E73" s="7">
        <f>IF(Calc!B88="",IF(1=0,"No gaps identified - maintain current practices.",""),INDEX(Calc!$L:$L,Calc!B88))</f>
        <v/>
      </c>
      <c r="F73" s="21" t="n"/>
      <c r="G73" s="21" t="n"/>
      <c r="H73" s="21" t="n"/>
      <c r="I73" s="21" t="n"/>
      <c r="J73" s="68">
        <f>IF(Calc!B88="","",INDEX(Calc!$I:$I,Calc!B88))</f>
        <v/>
      </c>
      <c r="K73" s="21" t="n"/>
    </row>
    <row r="74" ht="40" customHeight="1">
      <c r="B74" s="30" t="n">
        <v>3</v>
      </c>
      <c r="C74" s="61">
        <f>IF(Calc!B89="","",INDEX(Calc!$B:$B,Calc!B89))</f>
        <v/>
      </c>
      <c r="D74" s="65">
        <f>IF(Calc!B89="","",INDEX(Calc!$E:$E,Calc!B89))</f>
        <v/>
      </c>
      <c r="E74" s="7">
        <f>IF(Calc!B89="",IF(2=0,"No gaps identified - maintain current practices.",""),INDEX(Calc!$L:$L,Calc!B89))</f>
        <v/>
      </c>
      <c r="F74" s="21" t="n"/>
      <c r="G74" s="21" t="n"/>
      <c r="H74" s="21" t="n"/>
      <c r="I74" s="21" t="n"/>
      <c r="J74" s="68">
        <f>IF(Calc!B89="","",INDEX(Calc!$I:$I,Calc!B89))</f>
        <v/>
      </c>
      <c r="K74" s="21" t="n"/>
    </row>
    <row r="75" ht="40" customHeight="1">
      <c r="B75" s="30" t="n">
        <v>4</v>
      </c>
      <c r="C75" s="61">
        <f>IF(Calc!B90="","",INDEX(Calc!$B:$B,Calc!B90))</f>
        <v/>
      </c>
      <c r="D75" s="65">
        <f>IF(Calc!B90="","",INDEX(Calc!$E:$E,Calc!B90))</f>
        <v/>
      </c>
      <c r="E75" s="7">
        <f>IF(Calc!B90="",IF(3=0,"No gaps identified - maintain current practices.",""),INDEX(Calc!$L:$L,Calc!B90))</f>
        <v/>
      </c>
      <c r="F75" s="21" t="n"/>
      <c r="G75" s="21" t="n"/>
      <c r="H75" s="21" t="n"/>
      <c r="I75" s="21" t="n"/>
      <c r="J75" s="68">
        <f>IF(Calc!B90="","",INDEX(Calc!$I:$I,Calc!B90))</f>
        <v/>
      </c>
      <c r="K75" s="21" t="n"/>
    </row>
    <row r="76" ht="40" customHeight="1">
      <c r="B76" s="30" t="n">
        <v>5</v>
      </c>
      <c r="C76" s="61">
        <f>IF(Calc!B91="","",INDEX(Calc!$B:$B,Calc!B91))</f>
        <v/>
      </c>
      <c r="D76" s="65">
        <f>IF(Calc!B91="","",INDEX(Calc!$E:$E,Calc!B91))</f>
        <v/>
      </c>
      <c r="E76" s="7">
        <f>IF(Calc!B91="",IF(4=0,"No gaps identified - maintain current practices.",""),INDEX(Calc!$L:$L,Calc!B91))</f>
        <v/>
      </c>
      <c r="F76" s="21" t="n"/>
      <c r="G76" s="21" t="n"/>
      <c r="H76" s="21" t="n"/>
      <c r="I76" s="21" t="n"/>
      <c r="J76" s="68">
        <f>IF(Calc!B91="","",INDEX(Calc!$I:$I,Calc!B91))</f>
        <v/>
      </c>
      <c r="K76" s="21" t="n"/>
    </row>
    <row r="78" ht="22" customHeight="1">
      <c r="B78" s="47" t="inlineStr">
        <is>
          <t>7. SUGGESTED IMPLEMENTATION ROADMAP</t>
        </is>
      </c>
    </row>
    <row r="79" ht="26" customHeight="1">
      <c r="B79" s="23" t="inlineStr">
        <is>
          <t>Horizon</t>
        </is>
      </c>
      <c r="C79" s="21" t="n"/>
      <c r="D79" s="23" t="inlineStr">
        <is>
          <t>Area</t>
        </is>
      </c>
      <c r="E79" s="21" t="n"/>
      <c r="F79" s="23" t="inlineStr">
        <is>
          <t>Action</t>
        </is>
      </c>
      <c r="G79" s="21" t="n"/>
      <c r="H79" s="21" t="n"/>
      <c r="I79" s="21" t="n"/>
      <c r="J79" s="21" t="n"/>
      <c r="K79" s="23" t="inlineStr">
        <is>
          <t>Controls</t>
        </is>
      </c>
    </row>
    <row r="80" ht="36" customHeight="1">
      <c r="B80" s="69">
        <f>IF(Calc!C87="","",INDEX(Calc!$I:$I,Calc!C87))</f>
        <v/>
      </c>
      <c r="C80" s="21" t="n"/>
      <c r="D80" s="70">
        <f>IF(Calc!C87="","",INDEX(Calc!$B:$B,Calc!C87))</f>
        <v/>
      </c>
      <c r="E80" s="21" t="n"/>
      <c r="F80" s="62">
        <f>IF(Calc!C87="","",INDEX(Calc!$L:$L,Calc!C87))</f>
        <v/>
      </c>
      <c r="G80" s="21" t="n"/>
      <c r="H80" s="21" t="n"/>
      <c r="I80" s="21" t="n"/>
      <c r="J80" s="21" t="n"/>
      <c r="K80" s="71">
        <f>IF(Calc!C87="","",INDEX(Calc!$M:$M,Calc!C87))</f>
        <v/>
      </c>
    </row>
    <row r="81" ht="36" customHeight="1">
      <c r="B81" s="69">
        <f>IF(Calc!C88="","",INDEX(Calc!$I:$I,Calc!C88))</f>
        <v/>
      </c>
      <c r="C81" s="21" t="n"/>
      <c r="D81" s="70">
        <f>IF(Calc!C88="","",INDEX(Calc!$B:$B,Calc!C88))</f>
        <v/>
      </c>
      <c r="E81" s="21" t="n"/>
      <c r="F81" s="62">
        <f>IF(Calc!C88="","",INDEX(Calc!$L:$L,Calc!C88))</f>
        <v/>
      </c>
      <c r="G81" s="21" t="n"/>
      <c r="H81" s="21" t="n"/>
      <c r="I81" s="21" t="n"/>
      <c r="J81" s="21" t="n"/>
      <c r="K81" s="71">
        <f>IF(Calc!C88="","",INDEX(Calc!$M:$M,Calc!C88))</f>
        <v/>
      </c>
    </row>
    <row r="82" ht="36" customHeight="1">
      <c r="B82" s="69">
        <f>IF(Calc!C89="","",INDEX(Calc!$I:$I,Calc!C89))</f>
        <v/>
      </c>
      <c r="C82" s="21" t="n"/>
      <c r="D82" s="70">
        <f>IF(Calc!C89="","",INDEX(Calc!$B:$B,Calc!C89))</f>
        <v/>
      </c>
      <c r="E82" s="21" t="n"/>
      <c r="F82" s="62">
        <f>IF(Calc!C89="","",INDEX(Calc!$L:$L,Calc!C89))</f>
        <v/>
      </c>
      <c r="G82" s="21" t="n"/>
      <c r="H82" s="21" t="n"/>
      <c r="I82" s="21" t="n"/>
      <c r="J82" s="21" t="n"/>
      <c r="K82" s="71">
        <f>IF(Calc!C89="","",INDEX(Calc!$M:$M,Calc!C89))</f>
        <v/>
      </c>
    </row>
    <row r="83" ht="36" customHeight="1">
      <c r="B83" s="69">
        <f>IF(Calc!C90="","",INDEX(Calc!$I:$I,Calc!C90))</f>
        <v/>
      </c>
      <c r="C83" s="21" t="n"/>
      <c r="D83" s="70">
        <f>IF(Calc!C90="","",INDEX(Calc!$B:$B,Calc!C90))</f>
        <v/>
      </c>
      <c r="E83" s="21" t="n"/>
      <c r="F83" s="62">
        <f>IF(Calc!C90="","",INDEX(Calc!$L:$L,Calc!C90))</f>
        <v/>
      </c>
      <c r="G83" s="21" t="n"/>
      <c r="H83" s="21" t="n"/>
      <c r="I83" s="21" t="n"/>
      <c r="J83" s="21" t="n"/>
      <c r="K83" s="71">
        <f>IF(Calc!C90="","",INDEX(Calc!$M:$M,Calc!C90))</f>
        <v/>
      </c>
    </row>
    <row r="84" ht="36" customHeight="1">
      <c r="B84" s="69">
        <f>IF(Calc!C91="","",INDEX(Calc!$I:$I,Calc!C91))</f>
        <v/>
      </c>
      <c r="C84" s="21" t="n"/>
      <c r="D84" s="70">
        <f>IF(Calc!C91="","",INDEX(Calc!$B:$B,Calc!C91))</f>
        <v/>
      </c>
      <c r="E84" s="21" t="n"/>
      <c r="F84" s="62">
        <f>IF(Calc!C91="","",INDEX(Calc!$L:$L,Calc!C91))</f>
        <v/>
      </c>
      <c r="G84" s="21" t="n"/>
      <c r="H84" s="21" t="n"/>
      <c r="I84" s="21" t="n"/>
      <c r="J84" s="21" t="n"/>
      <c r="K84" s="71">
        <f>IF(Calc!C91="","",INDEX(Calc!$M:$M,Calc!C91))</f>
        <v/>
      </c>
    </row>
    <row r="85" ht="36" customHeight="1">
      <c r="B85" s="69">
        <f>IF(Calc!C92="","",INDEX(Calc!$I:$I,Calc!C92))</f>
        <v/>
      </c>
      <c r="C85" s="21" t="n"/>
      <c r="D85" s="70">
        <f>IF(Calc!C92="","",INDEX(Calc!$B:$B,Calc!C92))</f>
        <v/>
      </c>
      <c r="E85" s="21" t="n"/>
      <c r="F85" s="62">
        <f>IF(Calc!C92="","",INDEX(Calc!$L:$L,Calc!C92))</f>
        <v/>
      </c>
      <c r="G85" s="21" t="n"/>
      <c r="H85" s="21" t="n"/>
      <c r="I85" s="21" t="n"/>
      <c r="J85" s="21" t="n"/>
      <c r="K85" s="71">
        <f>IF(Calc!C92="","",INDEX(Calc!$M:$M,Calc!C92))</f>
        <v/>
      </c>
    </row>
    <row r="86" ht="36" customHeight="1">
      <c r="B86" s="69">
        <f>IF(Calc!C93="","",INDEX(Calc!$I:$I,Calc!C93))</f>
        <v/>
      </c>
      <c r="C86" s="21" t="n"/>
      <c r="D86" s="70">
        <f>IF(Calc!C93="","",INDEX(Calc!$B:$B,Calc!C93))</f>
        <v/>
      </c>
      <c r="E86" s="21" t="n"/>
      <c r="F86" s="62">
        <f>IF(Calc!C93="","",INDEX(Calc!$L:$L,Calc!C93))</f>
        <v/>
      </c>
      <c r="G86" s="21" t="n"/>
      <c r="H86" s="21" t="n"/>
      <c r="I86" s="21" t="n"/>
      <c r="J86" s="21" t="n"/>
      <c r="K86" s="71">
        <f>IF(Calc!C93="","",INDEX(Calc!$M:$M,Calc!C93))</f>
        <v/>
      </c>
    </row>
    <row r="87" ht="36" customHeight="1">
      <c r="B87" s="69">
        <f>IF(Calc!C94="","",INDEX(Calc!$I:$I,Calc!C94))</f>
        <v/>
      </c>
      <c r="C87" s="21" t="n"/>
      <c r="D87" s="70">
        <f>IF(Calc!C94="","",INDEX(Calc!$B:$B,Calc!C94))</f>
        <v/>
      </c>
      <c r="E87" s="21" t="n"/>
      <c r="F87" s="62">
        <f>IF(Calc!C94="","",INDEX(Calc!$L:$L,Calc!C94))</f>
        <v/>
      </c>
      <c r="G87" s="21" t="n"/>
      <c r="H87" s="21" t="n"/>
      <c r="I87" s="21" t="n"/>
      <c r="J87" s="21" t="n"/>
      <c r="K87" s="71">
        <f>IF(Calc!C94="","",INDEX(Calc!$M:$M,Calc!C94))</f>
        <v/>
      </c>
    </row>
    <row r="88" ht="36" customHeight="1">
      <c r="B88" s="69">
        <f>IF(Calc!C95="","",INDEX(Calc!$I:$I,Calc!C95))</f>
        <v/>
      </c>
      <c r="C88" s="21" t="n"/>
      <c r="D88" s="70">
        <f>IF(Calc!C95="","",INDEX(Calc!$B:$B,Calc!C95))</f>
        <v/>
      </c>
      <c r="E88" s="21" t="n"/>
      <c r="F88" s="62">
        <f>IF(Calc!C95="","",INDEX(Calc!$L:$L,Calc!C95))</f>
        <v/>
      </c>
      <c r="G88" s="21" t="n"/>
      <c r="H88" s="21" t="n"/>
      <c r="I88" s="21" t="n"/>
      <c r="J88" s="21" t="n"/>
      <c r="K88" s="71">
        <f>IF(Calc!C95="","",INDEX(Calc!$M:$M,Calc!C95))</f>
        <v/>
      </c>
    </row>
    <row r="89" ht="36" customHeight="1">
      <c r="B89" s="69">
        <f>IF(Calc!C96="","",INDEX(Calc!$I:$I,Calc!C96))</f>
        <v/>
      </c>
      <c r="C89" s="21" t="n"/>
      <c r="D89" s="70">
        <f>IF(Calc!C96="","",INDEX(Calc!$B:$B,Calc!C96))</f>
        <v/>
      </c>
      <c r="E89" s="21" t="n"/>
      <c r="F89" s="62">
        <f>IF(Calc!C96="","",INDEX(Calc!$L:$L,Calc!C96))</f>
        <v/>
      </c>
      <c r="G89" s="21" t="n"/>
      <c r="H89" s="21" t="n"/>
      <c r="I89" s="21" t="n"/>
      <c r="J89" s="21" t="n"/>
      <c r="K89" s="71">
        <f>IF(Calc!C96="","",INDEX(Calc!$M:$M,Calc!C96))</f>
        <v/>
      </c>
    </row>
    <row r="90" ht="36" customHeight="1">
      <c r="B90" s="69">
        <f>IF(Calc!C97="","",INDEX(Calc!$I:$I,Calc!C97))</f>
        <v/>
      </c>
      <c r="C90" s="21" t="n"/>
      <c r="D90" s="70">
        <f>IF(Calc!C97="","",INDEX(Calc!$B:$B,Calc!C97))</f>
        <v/>
      </c>
      <c r="E90" s="21" t="n"/>
      <c r="F90" s="62">
        <f>IF(Calc!C97="","",INDEX(Calc!$L:$L,Calc!C97))</f>
        <v/>
      </c>
      <c r="G90" s="21" t="n"/>
      <c r="H90" s="21" t="n"/>
      <c r="I90" s="21" t="n"/>
      <c r="J90" s="21" t="n"/>
      <c r="K90" s="71">
        <f>IF(Calc!C97="","",INDEX(Calc!$M:$M,Calc!C97))</f>
        <v/>
      </c>
    </row>
    <row r="92" ht="22" customHeight="1">
      <c r="B92" s="47" t="inlineStr">
        <is>
          <t>8. REGULATORY &amp; STANDARDS CONSIDERATIONS</t>
        </is>
      </c>
    </row>
    <row r="93">
      <c r="B93" s="14" t="inlineStr">
        <is>
          <t>Applicability is based on the Profile answers; the readiness signal uses the most relevant question scores. Not legal advice - confirm obligations with legal counsel.</t>
        </is>
      </c>
    </row>
    <row r="94" ht="26" customHeight="1">
      <c r="B94" s="23" t="inlineStr">
        <is>
          <t>Law / regulation / standard</t>
        </is>
      </c>
      <c r="C94" s="21" t="n"/>
      <c r="D94" s="21" t="n"/>
      <c r="E94" s="23" t="inlineStr">
        <is>
          <t>Applies?</t>
        </is>
      </c>
      <c r="F94" s="23" t="inlineStr">
        <is>
          <t>Readiness signal</t>
        </is>
      </c>
      <c r="G94" s="23" t="inlineStr">
        <is>
          <t>Key considerations</t>
        </is>
      </c>
      <c r="H94" s="21" t="n"/>
      <c r="I94" s="21" t="n"/>
      <c r="J94" s="21" t="n"/>
      <c r="K94" s="21" t="n"/>
    </row>
    <row r="95" ht="48" customHeight="1">
      <c r="B95" s="70" t="inlineStr">
        <is>
          <t>Bahrain Personal Data Protection Law (Law No. 30 of 2018)</t>
        </is>
      </c>
      <c r="C95" s="21" t="n"/>
      <c r="D95" s="21" t="n"/>
      <c r="E95" s="68">
        <f>IF(OR('1. Profile'!$C$17="Yes",N(Calc!B28)&gt;=3),"Yes","Check")</f>
        <v/>
      </c>
      <c r="F95" s="72">
        <f>IF(COUNT(Calc!E13,Calc!E9)=0,"-",IF(MIN(Calc!E13,Calc!E9)&gt;=0.75,"On track",IF(MIN(Calc!E13,Calc!E9)&gt;=0.5,"Partial gap","Significant gap")))</f>
        <v/>
      </c>
      <c r="G95" s="73" t="inlineStr">
        <is>
          <t>Lawful basis and notice for AI processing; DPIAs; security; data-subject rights incl. objection to automated processing; cross-border transfer rules for AI services hosted outside Bahrain (RCM PR-1 to PR-6).</t>
        </is>
      </c>
      <c r="H95" s="21" t="n"/>
      <c r="I95" s="21" t="n"/>
      <c r="J95" s="21" t="n"/>
      <c r="K95" s="21" t="n"/>
    </row>
    <row r="96" ht="48" customHeight="1">
      <c r="B96" s="70" t="inlineStr">
        <is>
          <t>iGA General Policy for the Use of AI (2025) &amp; GCC Guiding Manual on the Ethics of AI Use</t>
        </is>
      </c>
      <c r="C96" s="21" t="n"/>
      <c r="D96" s="21" t="n"/>
      <c r="E96" s="68">
        <f>IF('1. Profile'!$C$20="Yes","Yes","Reference")</f>
        <v/>
      </c>
      <c r="F96" s="72">
        <f>IF(COUNT(Calc!E11,Calc!E12)=0,"-",IF(MIN(Calc!E11,Calc!E12)&gt;=0.75,"On track",IF(MIN(Calc!E11,Calc!E12)&gt;=0.5,"Partial gap","Significant gap")))</f>
        <v/>
      </c>
      <c r="G96" s="73" t="inlineStr">
        <is>
          <t>National AI policy pillars (compliance, adoption, awareness, cooperation) and GCC ethics principles - mandatory reference for government entities and good practice for all (RCM GL-1, GL-4, RS-series).</t>
        </is>
      </c>
      <c r="H96" s="21" t="n"/>
      <c r="I96" s="21" t="n"/>
      <c r="J96" s="21" t="n"/>
      <c r="K96" s="21" t="n"/>
    </row>
    <row r="97" ht="58.5" customHeight="1">
      <c r="B97" s="70" t="inlineStr">
        <is>
          <t>Central Bank of Bahrain Rulebook (HC, RM, OM, BC modules)</t>
        </is>
      </c>
      <c r="C97" s="21" t="n"/>
      <c r="D97" s="21" t="n"/>
      <c r="E97" s="68">
        <f>IF('1. Profile'!$C$16="Yes","Yes","No")</f>
        <v/>
      </c>
      <c r="F97" s="72">
        <f>IF(COUNT(Calc!E10,Calc!E15,Calc!E17)=0,"-",IF(MIN(Calc!E10,Calc!E15,Calc!E17)&gt;=0.75,"On track",IF(MIN(Calc!E10,Calc!E15,Calc!E17)&gt;=0.5,"Partial gap","Significant gap")))</f>
        <v/>
      </c>
      <c r="G97" s="73" t="inlineStr">
        <is>
          <t>Board oversight, risk management, cyber security, outsourcing and consumer-protection requirements apply to AI; expect model validation for material models and notification of material outsourcing (RCM LC-9, TP-3, AT-3).</t>
        </is>
      </c>
      <c r="H97" s="21" t="n"/>
      <c r="I97" s="21" t="n"/>
      <c r="J97" s="21" t="n"/>
      <c r="K97" s="21" t="n"/>
    </row>
    <row r="98" ht="48" customHeight="1">
      <c r="B98" s="70" t="inlineStr">
        <is>
          <t>EU AI Act (Regulation 2024/1689) - general obligations</t>
        </is>
      </c>
      <c r="C98" s="21" t="n"/>
      <c r="D98" s="21" t="n"/>
      <c r="E98" s="68">
        <f>IF('1. Profile'!$C$18="Yes","Yes","No")</f>
        <v/>
      </c>
      <c r="F98" s="72">
        <f>IF(COUNT(Calc!E9,Calc!E12)=0,"-",IF(MIN(Calc!E9,Calc!E12)&gt;=0.75,"On track",IF(MIN(Calc!E9,Calc!E12)&gt;=0.5,"Partial gap","Significant gap")))</f>
        <v/>
      </c>
      <c r="G98" s="73" t="inlineStr">
        <is>
          <t>Extraterritorial reach. Prohibited practices (Art. 5) and AI literacy (Art. 4) apply since Feb 2025; GPAI rules since Aug 2025; transparency (Art. 50) from Aug 2026 (RCM RM-5, GL-4, CO-1, LC-7).</t>
        </is>
      </c>
      <c r="H98" s="21" t="n"/>
      <c r="I98" s="21" t="n"/>
      <c r="J98" s="21" t="n"/>
      <c r="K98" s="21" t="n"/>
    </row>
    <row r="99" ht="58.5" customHeight="1">
      <c r="B99" s="70" t="inlineStr">
        <is>
          <t>EU AI Act - high-risk AI systems (Annex III)</t>
        </is>
      </c>
      <c r="C99" s="21" t="n"/>
      <c r="D99" s="21" t="n"/>
      <c r="E99" s="68">
        <f>IF(AND('1. Profile'!$C$18="Yes",N(Calc!B27)&gt;=3),"Likely",IF('1. Profile'!$C$18="Yes","Check","No"))</f>
        <v/>
      </c>
      <c r="F99" s="72">
        <f>IF(COUNT(Calc!E10,Calc!E11,Calc!E17)=0,"-",IF(MIN(Calc!E10,Calc!E11,Calc!E17)&gt;=0.75,"On track",IF(MIN(Calc!E10,Calc!E11,Calc!E17)&gt;=0.5,"Partial gap","Significant gap")))</f>
        <v/>
      </c>
      <c r="G99" s="73" t="inlineStr">
        <is>
          <t>Decisions on credit, employment, insurance, essential services etc. may be high-risk: risk management, data governance, logging, human oversight, FRIA and registration (timelines subject to the EU Digital Omnibus outcome) (RCM RO-6).</t>
        </is>
      </c>
      <c r="H99" s="21" t="n"/>
      <c r="I99" s="21" t="n"/>
      <c r="J99" s="21" t="n"/>
      <c r="K99" s="21" t="n"/>
    </row>
    <row r="100" ht="37.5" customHeight="1">
      <c r="B100" s="70" t="inlineStr">
        <is>
          <t>KSA / UAE / GCC regimes (SDAIA AI Ethics, KSA PDPL, UAE AI Charter, DIFC Regulation 10, QCB AI Guideline)</t>
        </is>
      </c>
      <c r="C100" s="21" t="n"/>
      <c r="D100" s="21" t="n"/>
      <c r="E100" s="68">
        <f>IF('1. Profile'!$C$19="Yes","Yes","No")</f>
        <v/>
      </c>
      <c r="F100" s="72">
        <f>IF(COUNT(Calc!E9,Calc!E13)=0,"-",IF(MIN(Calc!E9,Calc!E13)&gt;=0.75,"On track",IF(MIN(Calc!E9,Calc!E13)&gt;=0.5,"Partial gap","Significant gap")))</f>
        <v/>
      </c>
      <c r="G100" s="73" t="inlineStr">
        <is>
          <t>Include in the AI obligations register; align data-transfer, ethics and sector AI requirements across GCC operations (RCM RO-5).</t>
        </is>
      </c>
      <c r="H100" s="21" t="n"/>
      <c r="I100" s="21" t="n"/>
      <c r="J100" s="21" t="n"/>
      <c r="K100" s="21" t="n"/>
    </row>
    <row r="101" ht="48" customHeight="1">
      <c r="B101" s="70" t="inlineStr">
        <is>
          <t>ISO/IEC 42001:2023 AI management system</t>
        </is>
      </c>
      <c r="C101" s="21" t="n"/>
      <c r="D101" s="21" t="n"/>
      <c r="E101" s="68">
        <f>IF(Calc!B45="","-",IF(Calc!B45&gt;=0.7,"Ready to plan","Build first"))</f>
        <v/>
      </c>
      <c r="F101" s="72">
        <f>IF(COUNT(Calc!E9,Calc!E10,Calc!E17)=0,"-",IF(MIN(Calc!E9,Calc!E10,Calc!E17)&gt;=0.75,"On track",IF(MIN(Calc!E9,Calc!E10,Calc!E17)&gt;=0.5,"Partial gap","Significant gap")))</f>
        <v/>
      </c>
      <c r="G101" s="73" t="inlineStr">
        <is>
          <t>International certifiable standard for AI governance; demonstrates trustworthy AI to clients and regulators. Recommended once readiness reaches 'Repeatable' (RCM AA-2).</t>
        </is>
      </c>
      <c r="H101" s="21" t="n"/>
      <c r="I101" s="21" t="n"/>
      <c r="J101" s="21" t="n"/>
      <c r="K101" s="21" t="n"/>
    </row>
    <row r="102" ht="37.5" customHeight="1">
      <c r="B102" s="70" t="inlineStr">
        <is>
          <t>Bahrain draft AI Regulation Law (Shura Council, 2024)</t>
        </is>
      </c>
      <c r="C102" s="21" t="n"/>
      <c r="D102" s="21" t="n"/>
      <c r="E102" s="68">
        <f>"Monitor"</f>
        <v/>
      </c>
      <c r="F102" s="72">
        <f>IF(COUNT(Calc!E9)=0,"-",IF(MIN(Calc!E9)&gt;=0.75,"On track",IF(MIN(Calc!E9)&gt;=0.5,"Partial gap","Significant gap")))</f>
        <v/>
      </c>
      <c r="G102" s="73" t="inlineStr">
        <is>
          <t>Proposed standalone AI law (38 articles) with a new regulator and penalties - not yet in force. Maintain horizon scanning (RCM RO-5).</t>
        </is>
      </c>
      <c r="H102" s="21" t="n"/>
      <c r="I102" s="21" t="n"/>
      <c r="J102" s="21" t="n"/>
      <c r="K102" s="21" t="n"/>
    </row>
    <row r="104" ht="22" customHeight="1">
      <c r="B104" s="47" t="inlineStr">
        <is>
          <t>9. HOW GRANT THORNTON CAN HELP</t>
        </is>
      </c>
    </row>
    <row r="105" ht="26" customHeight="1">
      <c r="B105" s="23" t="inlineStr">
        <is>
          <t>GT AI service line</t>
        </is>
      </c>
      <c r="C105" s="21" t="n"/>
      <c r="D105" s="21" t="n"/>
      <c r="E105" s="23" t="inlineStr">
        <is>
          <t>Relevance</t>
        </is>
      </c>
      <c r="F105" s="23" t="inlineStr">
        <is>
          <t>How we help</t>
        </is>
      </c>
      <c r="G105" s="21" t="n"/>
      <c r="H105" s="21" t="n"/>
      <c r="I105" s="21" t="n"/>
      <c r="J105" s="21" t="n"/>
      <c r="K105" s="21" t="n"/>
    </row>
    <row r="106" ht="32" customHeight="1">
      <c r="B106" s="61" t="inlineStr">
        <is>
          <t>AI Governance, Risk &amp; Compliance</t>
        </is>
      </c>
      <c r="C106" s="21" t="n"/>
      <c r="D106" s="21" t="n"/>
      <c r="E106" s="68">
        <f>Calc!E100</f>
        <v/>
      </c>
      <c r="F106" s="62" t="inlineStr">
        <is>
          <t>AI governance framework &amp; policies, AI register, risk &amp; impact assessments (GT AI Risk Assessment Framework), RCM-based compliance reviews, ISO/IEC 42001 readiness.</t>
        </is>
      </c>
      <c r="G106" s="21" t="n"/>
      <c r="H106" s="21" t="n"/>
      <c r="I106" s="21" t="n"/>
      <c r="J106" s="21" t="n"/>
      <c r="K106" s="21" t="n"/>
    </row>
    <row r="107" ht="32" customHeight="1">
      <c r="B107" s="61" t="inlineStr">
        <is>
          <t>AI Strategy &amp; Roadmap</t>
        </is>
      </c>
      <c r="C107" s="21" t="n"/>
      <c r="D107" s="21" t="n"/>
      <c r="E107" s="68">
        <f>Calc!E101</f>
        <v/>
      </c>
      <c r="F107" s="62" t="inlineStr">
        <is>
          <t>Situational / SWOT analysis, AI strategy and risk appetite, use-case prioritisation, value-realisation KPIs and phased roadmap.</t>
        </is>
      </c>
      <c r="G107" s="21" t="n"/>
      <c r="H107" s="21" t="n"/>
      <c r="I107" s="21" t="n"/>
      <c r="J107" s="21" t="n"/>
      <c r="K107" s="21" t="n"/>
    </row>
    <row r="108" ht="32" customHeight="1">
      <c r="B108" s="61" t="inlineStr">
        <is>
          <t>Training &amp; Awareness</t>
        </is>
      </c>
      <c r="C108" s="21" t="n"/>
      <c r="D108" s="21" t="n"/>
      <c r="E108" s="68">
        <f>Calc!E102</f>
        <v/>
      </c>
      <c r="F108" s="62" t="inlineStr">
        <is>
          <t>AI literacy programmes, role-based pathways, immersive labs, deepfake &amp; AI-phishing simulations, leadership workshops.</t>
        </is>
      </c>
      <c r="G108" s="21" t="n"/>
      <c r="H108" s="21" t="n"/>
      <c r="I108" s="21" t="n"/>
      <c r="J108" s="21" t="n"/>
      <c r="K108" s="21" t="n"/>
    </row>
    <row r="109" ht="32" customHeight="1">
      <c r="B109" s="61" t="inlineStr">
        <is>
          <t>AI-Driven Automation &amp; Architecture</t>
        </is>
      </c>
      <c r="C109" s="21" t="n"/>
      <c r="D109" s="21" t="n"/>
      <c r="E109" s="68">
        <f>Calc!E103</f>
        <v/>
      </c>
      <c r="F109" s="62" t="inlineStr">
        <is>
          <t>Technology evaluation and selection, reference architecture, AI integration and monitoring. GT AI apps in preparation: AI-powered Business Continuity (BCP) tool and AI-powered Financial Statements tool.</t>
        </is>
      </c>
      <c r="G109" s="21" t="n"/>
      <c r="H109" s="21" t="n"/>
      <c r="I109" s="21" t="n"/>
      <c r="J109" s="21" t="n"/>
      <c r="K109" s="21" t="n"/>
    </row>
    <row r="110" ht="32" customHeight="1">
      <c r="B110" s="61" t="inlineStr">
        <is>
          <t>AI Security &amp; Cyber Resilience</t>
        </is>
      </c>
      <c r="C110" s="21" t="n"/>
      <c r="D110" s="21" t="n"/>
      <c r="E110" s="68">
        <f>Calc!E104</f>
        <v/>
      </c>
      <c r="F110" s="62" t="inlineStr">
        <is>
          <t>AI security audits (GT AI Security &amp; Agent Audit Checklist), AI red teaming, secure AI agents (ISACA 2026 baseline), deepfake-resilient processes.</t>
        </is>
      </c>
      <c r="G110" s="21" t="n"/>
      <c r="H110" s="21" t="n"/>
      <c r="I110" s="21" t="n"/>
      <c r="J110" s="21" t="n"/>
      <c r="K110" s="21" t="n"/>
    </row>
    <row r="112" ht="22" customHeight="1">
      <c r="B112" s="47" t="inlineStr">
        <is>
          <t>10. NEXT STEPS &amp; SIGN-OFF</t>
        </is>
      </c>
    </row>
    <row r="113" ht="72" customHeight="1">
      <c r="B113" s="36" t="inlineStr">
        <is>
          <t>1. Review this report with the executive sponsor and AI / risk committee.
2. Validate responses with evidence (the level selected should be demonstrable).
3. Assign owners and dates in the '4. Action Plan' sheet for all Immediate and Short-term actions.
4. For individual AI systems rated High or Critical, perform a use-case risk assessment (GT AI Risk Assessment Toolkit).
5. Re-run this assessment in 6-12 months or after significant AI adoption or regulatory change to track progress.</t>
        </is>
      </c>
      <c r="C113" s="21" t="n"/>
      <c r="D113" s="21" t="n"/>
      <c r="E113" s="21" t="n"/>
      <c r="F113" s="21" t="n"/>
      <c r="G113" s="21" t="n"/>
      <c r="H113" s="21" t="n"/>
      <c r="I113" s="21" t="n"/>
      <c r="J113" s="21" t="n"/>
      <c r="K113" s="21" t="n"/>
    </row>
    <row r="115" ht="20" customHeight="1">
      <c r="B115" s="23" t="inlineStr">
        <is>
          <t>Role</t>
        </is>
      </c>
      <c r="C115" s="21" t="n"/>
      <c r="D115" s="21" t="n"/>
      <c r="E115" s="23" t="inlineStr">
        <is>
          <t>Name</t>
        </is>
      </c>
      <c r="F115" s="21" t="n"/>
      <c r="G115" s="21" t="n"/>
      <c r="H115" s="23" t="inlineStr">
        <is>
          <t>Signature</t>
        </is>
      </c>
      <c r="I115" s="21" t="n"/>
      <c r="J115" s="21" t="n"/>
      <c r="K115" s="23" t="inlineStr">
        <is>
          <t>Date</t>
        </is>
      </c>
    </row>
    <row r="116" ht="28" customHeight="1">
      <c r="B116" s="74" t="inlineStr">
        <is>
          <t>Assessment completed by</t>
        </is>
      </c>
      <c r="C116" s="21" t="n"/>
      <c r="D116" s="21" t="n"/>
      <c r="E116" s="75">
        <f>IF('1. Profile'!$C$9="","",'1. Profile'!$C$9)</f>
        <v/>
      </c>
      <c r="F116" s="76" t="n"/>
      <c r="G116" s="76" t="n"/>
      <c r="H116" s="77" t="inlineStr"/>
      <c r="I116" s="76" t="n"/>
      <c r="J116" s="76" t="n"/>
      <c r="K116" s="77" t="n"/>
    </row>
    <row r="117" ht="28" customHeight="1">
      <c r="B117" s="74" t="inlineStr">
        <is>
          <t>Reviewed by (risk / compliance)</t>
        </is>
      </c>
      <c r="C117" s="21" t="n"/>
      <c r="D117" s="21" t="n"/>
      <c r="E117" s="75" t="inlineStr"/>
      <c r="F117" s="76" t="n"/>
      <c r="G117" s="76" t="n"/>
      <c r="H117" s="77" t="inlineStr"/>
      <c r="I117" s="76" t="n"/>
      <c r="J117" s="76" t="n"/>
      <c r="K117" s="77" t="n"/>
    </row>
    <row r="118" ht="28" customHeight="1">
      <c r="B118" s="74" t="inlineStr">
        <is>
          <t>Executive sponsor</t>
        </is>
      </c>
      <c r="C118" s="21" t="n"/>
      <c r="D118" s="21" t="n"/>
      <c r="E118" s="75" t="inlineStr"/>
      <c r="F118" s="76" t="n"/>
      <c r="G118" s="76" t="n"/>
      <c r="H118" s="77" t="inlineStr"/>
      <c r="I118" s="76" t="n"/>
      <c r="J118" s="76" t="n"/>
      <c r="K118" s="77" t="n"/>
    </row>
    <row r="120" ht="58" customHeight="1">
      <c r="B120" s="78" t="inlineStr">
        <is>
          <t>Methodology: Part A (4 questions) derives an inherent-risk tier from the NSW AI Assessment Framework risk factors (AI use, decision impact, data sensitivity, oversight &amp; reversibility). Part B (11 questions) scores readiness 0-100% across the 7 GT AI Ready7 pillars; pillar scores are averaged equally into the overall score and mapped to the AI Ready7 maturity scale. Exposure combines tier and maturity. Recommendations reference the GT AI RCM v2.1 controls.  Disclaimer: this is a self-assessment based on the responses provided and has not been independently verified by Grant Thornton. It is not an audit, certification or legal opinion.  (c) 2026 Grant Thornton Bahrain. All rights reserved.</t>
        </is>
      </c>
    </row>
  </sheetData>
  <mergeCells count="263">
    <mergeCell ref="B92:K92"/>
    <mergeCell ref="E118:G118"/>
    <mergeCell ref="B22:C22"/>
    <mergeCell ref="D66:F66"/>
    <mergeCell ref="D84:E84"/>
    <mergeCell ref="B6:K6"/>
    <mergeCell ref="B31:C31"/>
    <mergeCell ref="B53:D53"/>
    <mergeCell ref="I56:K56"/>
    <mergeCell ref="F106:K106"/>
    <mergeCell ref="E8:F8"/>
    <mergeCell ref="H42:K42"/>
    <mergeCell ref="B21:C21"/>
    <mergeCell ref="F83:J83"/>
    <mergeCell ref="B86:C86"/>
    <mergeCell ref="D86:E86"/>
    <mergeCell ref="B4:K4"/>
    <mergeCell ref="B108:D108"/>
    <mergeCell ref="H53:K53"/>
    <mergeCell ref="B67:C67"/>
    <mergeCell ref="I8:K8"/>
    <mergeCell ref="G57:H57"/>
    <mergeCell ref="B61:C61"/>
    <mergeCell ref="G66:H66"/>
    <mergeCell ref="D27:K27"/>
    <mergeCell ref="F85:J85"/>
    <mergeCell ref="I63:K63"/>
    <mergeCell ref="B38:C38"/>
    <mergeCell ref="B94:D94"/>
    <mergeCell ref="I59:K59"/>
    <mergeCell ref="B70:K70"/>
    <mergeCell ref="G95:K95"/>
    <mergeCell ref="G58:H58"/>
    <mergeCell ref="I65:K65"/>
    <mergeCell ref="B40:C40"/>
    <mergeCell ref="B120:K120"/>
    <mergeCell ref="B24:C24"/>
    <mergeCell ref="F25:K25"/>
    <mergeCell ref="B64:C64"/>
    <mergeCell ref="H52:K52"/>
    <mergeCell ref="B33:C33"/>
    <mergeCell ref="D17"/>
    <mergeCell ref="B96:D96"/>
    <mergeCell ref="J71:K71"/>
    <mergeCell ref="B32:C32"/>
    <mergeCell ref="B105:D105"/>
    <mergeCell ref="H45:K45"/>
    <mergeCell ref="B63:C63"/>
    <mergeCell ref="B41:C41"/>
    <mergeCell ref="D88:E88"/>
    <mergeCell ref="G99:K99"/>
    <mergeCell ref="D57:F57"/>
    <mergeCell ref="G59:H59"/>
    <mergeCell ref="F24:K24"/>
    <mergeCell ref="B98:D98"/>
    <mergeCell ref="J73:K73"/>
    <mergeCell ref="B25:C25"/>
    <mergeCell ref="F87:J87"/>
    <mergeCell ref="H47:K47"/>
    <mergeCell ref="B90:C90"/>
    <mergeCell ref="B8:D8"/>
    <mergeCell ref="I37:K37"/>
    <mergeCell ref="D90:E90"/>
    <mergeCell ref="B107:D107"/>
    <mergeCell ref="G67:H67"/>
    <mergeCell ref="B66:C66"/>
    <mergeCell ref="G61:H61"/>
    <mergeCell ref="B18:C18"/>
    <mergeCell ref="B27:C27"/>
    <mergeCell ref="D31:K31"/>
    <mergeCell ref="H115:J115"/>
    <mergeCell ref="F89:J89"/>
    <mergeCell ref="B36:K36"/>
    <mergeCell ref="F23:K23"/>
    <mergeCell ref="I62:K62"/>
    <mergeCell ref="G7:H7"/>
    <mergeCell ref="B11:C11"/>
    <mergeCell ref="B99:D99"/>
    <mergeCell ref="G101:K101"/>
    <mergeCell ref="B9:D9"/>
    <mergeCell ref="F45:G45"/>
    <mergeCell ref="F105:K105"/>
    <mergeCell ref="G62:H62"/>
    <mergeCell ref="I64:K64"/>
    <mergeCell ref="D32:K32"/>
    <mergeCell ref="H50:K50"/>
    <mergeCell ref="F47:G47"/>
    <mergeCell ref="B29:C29"/>
    <mergeCell ref="E17"/>
    <mergeCell ref="B45:D45"/>
    <mergeCell ref="D67:F67"/>
    <mergeCell ref="F107:K107"/>
    <mergeCell ref="B110:D110"/>
    <mergeCell ref="B37:C37"/>
    <mergeCell ref="F46:G46"/>
    <mergeCell ref="G65:H65"/>
    <mergeCell ref="B84:C84"/>
    <mergeCell ref="D60:F60"/>
    <mergeCell ref="B100:D100"/>
    <mergeCell ref="J75:K75"/>
    <mergeCell ref="B109:D109"/>
    <mergeCell ref="H49:K49"/>
    <mergeCell ref="B47:D47"/>
    <mergeCell ref="F19:K19"/>
    <mergeCell ref="B1:K1"/>
    <mergeCell ref="F48:G48"/>
    <mergeCell ref="B46:D46"/>
    <mergeCell ref="B102:D102"/>
    <mergeCell ref="D33:K33"/>
    <mergeCell ref="B80:C80"/>
    <mergeCell ref="E105"/>
    <mergeCell ref="E72:I72"/>
    <mergeCell ref="B89:C89"/>
    <mergeCell ref="F108:K108"/>
    <mergeCell ref="H118:J118"/>
    <mergeCell ref="D89:E89"/>
    <mergeCell ref="K115"/>
    <mergeCell ref="G60:H60"/>
    <mergeCell ref="B79:C79"/>
    <mergeCell ref="G9:H9"/>
    <mergeCell ref="D37:G37"/>
    <mergeCell ref="D79:E79"/>
    <mergeCell ref="B48:D48"/>
    <mergeCell ref="E45"/>
    <mergeCell ref="D71"/>
    <mergeCell ref="G96:K96"/>
    <mergeCell ref="F20:K20"/>
    <mergeCell ref="I66:K66"/>
    <mergeCell ref="D39:G39"/>
    <mergeCell ref="D34:K34"/>
    <mergeCell ref="B81:C81"/>
    <mergeCell ref="D81:E81"/>
    <mergeCell ref="F17:K17"/>
    <mergeCell ref="H48:K48"/>
    <mergeCell ref="G98:K98"/>
    <mergeCell ref="B56:C56"/>
    <mergeCell ref="D38:G38"/>
    <mergeCell ref="B58:C58"/>
    <mergeCell ref="F53:G53"/>
    <mergeCell ref="H117:J117"/>
    <mergeCell ref="I67:K67"/>
    <mergeCell ref="D11:K11"/>
    <mergeCell ref="B49:D49"/>
    <mergeCell ref="E116:G116"/>
    <mergeCell ref="I39:K39"/>
    <mergeCell ref="D58:F58"/>
    <mergeCell ref="B113:K113"/>
    <mergeCell ref="B60:C60"/>
    <mergeCell ref="B17:C17"/>
    <mergeCell ref="F50:G50"/>
    <mergeCell ref="B57:C57"/>
    <mergeCell ref="J74:K74"/>
    <mergeCell ref="F79:J79"/>
    <mergeCell ref="B82:C82"/>
    <mergeCell ref="B51:D51"/>
    <mergeCell ref="B88:C88"/>
    <mergeCell ref="E74:I74"/>
    <mergeCell ref="I38:K38"/>
    <mergeCell ref="K79"/>
    <mergeCell ref="B93:K93"/>
    <mergeCell ref="E115:G115"/>
    <mergeCell ref="B19:C19"/>
    <mergeCell ref="B34:C34"/>
    <mergeCell ref="F81:J81"/>
    <mergeCell ref="B50:D50"/>
    <mergeCell ref="B28:C28"/>
    <mergeCell ref="F90:J90"/>
    <mergeCell ref="H116:J116"/>
    <mergeCell ref="B12:K12"/>
    <mergeCell ref="I40:K40"/>
    <mergeCell ref="D59:F59"/>
    <mergeCell ref="G64:H64"/>
    <mergeCell ref="B83:C83"/>
    <mergeCell ref="F94"/>
    <mergeCell ref="D83:E83"/>
    <mergeCell ref="B30:C30"/>
    <mergeCell ref="B14:K14"/>
    <mergeCell ref="G100:K100"/>
    <mergeCell ref="E7:F7"/>
    <mergeCell ref="B115:D115"/>
    <mergeCell ref="B20:C20"/>
    <mergeCell ref="G63:H63"/>
    <mergeCell ref="F82:J82"/>
    <mergeCell ref="F49:G49"/>
    <mergeCell ref="B85:C85"/>
    <mergeCell ref="I57:K57"/>
    <mergeCell ref="B69:K69"/>
    <mergeCell ref="C71"/>
    <mergeCell ref="D85:E85"/>
    <mergeCell ref="B78:K78"/>
    <mergeCell ref="G102:K102"/>
    <mergeCell ref="B112:K112"/>
    <mergeCell ref="I7:K7"/>
    <mergeCell ref="G56:H56"/>
    <mergeCell ref="B117:D117"/>
    <mergeCell ref="I41:K41"/>
    <mergeCell ref="H37"/>
    <mergeCell ref="B62:C62"/>
    <mergeCell ref="B42:G42"/>
    <mergeCell ref="B59:C59"/>
    <mergeCell ref="B101:D101"/>
    <mergeCell ref="F18:K18"/>
    <mergeCell ref="D61:F61"/>
    <mergeCell ref="J72:K72"/>
    <mergeCell ref="F110:K110"/>
    <mergeCell ref="E71:I71"/>
    <mergeCell ref="B55:K55"/>
    <mergeCell ref="I58:K58"/>
    <mergeCell ref="B116:D116"/>
    <mergeCell ref="G8:H8"/>
    <mergeCell ref="D80:E80"/>
    <mergeCell ref="F84:J84"/>
    <mergeCell ref="B104:K104"/>
    <mergeCell ref="G97:K97"/>
    <mergeCell ref="B39:C39"/>
    <mergeCell ref="F109:K109"/>
    <mergeCell ref="E73:I73"/>
    <mergeCell ref="F22:K22"/>
    <mergeCell ref="B118:D118"/>
    <mergeCell ref="F51:G51"/>
    <mergeCell ref="D62:F62"/>
    <mergeCell ref="F86:J86"/>
    <mergeCell ref="B23:C23"/>
    <mergeCell ref="D56:F56"/>
    <mergeCell ref="F80:J80"/>
    <mergeCell ref="B16:K16"/>
    <mergeCell ref="E9:F9"/>
    <mergeCell ref="B3:K3"/>
    <mergeCell ref="B95:D95"/>
    <mergeCell ref="B71"/>
    <mergeCell ref="D40:G40"/>
    <mergeCell ref="D64:F64"/>
    <mergeCell ref="B87:C87"/>
    <mergeCell ref="D87:E87"/>
    <mergeCell ref="I60:K60"/>
    <mergeCell ref="I9:K9"/>
    <mergeCell ref="B97:D97"/>
    <mergeCell ref="D28:K28"/>
    <mergeCell ref="E94"/>
    <mergeCell ref="H46:K46"/>
    <mergeCell ref="B106:D106"/>
    <mergeCell ref="B2:K2"/>
    <mergeCell ref="M2:M4"/>
    <mergeCell ref="B7:D7"/>
    <mergeCell ref="H51:K51"/>
    <mergeCell ref="B65:C65"/>
    <mergeCell ref="F52:G52"/>
    <mergeCell ref="D63:F63"/>
    <mergeCell ref="E117:G117"/>
    <mergeCell ref="D41:G41"/>
    <mergeCell ref="E76:I76"/>
    <mergeCell ref="D30:K30"/>
    <mergeCell ref="D82:E82"/>
    <mergeCell ref="D65:F65"/>
    <mergeCell ref="B44:K44"/>
    <mergeCell ref="G94:K94"/>
    <mergeCell ref="I61:K61"/>
    <mergeCell ref="J76:K76"/>
    <mergeCell ref="D29:K29"/>
    <mergeCell ref="B52:D52"/>
    <mergeCell ref="E75:I75"/>
    <mergeCell ref="F21:K21"/>
    <mergeCell ref="F88:J88"/>
  </mergeCells>
  <conditionalFormatting sqref="B4">
    <cfRule type="expression" priority="1" dxfId="7">
      <formula>Calc!$B$21=0</formula>
    </cfRule>
  </conditionalFormatting>
  <conditionalFormatting sqref="E8">
    <cfRule type="cellIs" priority="2" operator="equal" dxfId="6">
      <formula>"Partial"</formula>
    </cfRule>
    <cfRule type="cellIs" priority="3" operator="equal" dxfId="1">
      <formula>"Informed"</formula>
    </cfRule>
    <cfRule type="cellIs" priority="4" operator="equal" dxfId="0">
      <formula>"Repeatable"</formula>
    </cfRule>
    <cfRule type="cellIs" priority="5" operator="equal" dxfId="4">
      <formula>"Adaptive"</formula>
    </cfRule>
  </conditionalFormatting>
  <conditionalFormatting sqref="G8">
    <cfRule type="cellIs" priority="6" operator="equal" dxfId="0">
      <formula>"Low"</formula>
    </cfRule>
    <cfRule type="cellIs" priority="8" operator="equal" dxfId="1">
      <formula>"Moderate"</formula>
    </cfRule>
    <cfRule type="cellIs" priority="10" operator="equal" dxfId="1">
      <formula>"Medium"</formula>
    </cfRule>
    <cfRule type="cellIs" priority="12" operator="equal" dxfId="2">
      <formula>"High"</formula>
    </cfRule>
    <cfRule type="cellIs" priority="14" operator="equal" dxfId="3">
      <formula>"Critical"</formula>
    </cfRule>
    <cfRule type="cellIs" priority="16" operator="equal" dxfId="3">
      <formula>"Very high"</formula>
    </cfRule>
  </conditionalFormatting>
  <conditionalFormatting sqref="I8">
    <cfRule type="cellIs" priority="7" operator="equal" dxfId="0">
      <formula>"Low"</formula>
    </cfRule>
    <cfRule type="cellIs" priority="9" operator="equal" dxfId="1">
      <formula>"Moderate"</formula>
    </cfRule>
    <cfRule type="cellIs" priority="11" operator="equal" dxfId="1">
      <formula>"Medium"</formula>
    </cfRule>
    <cfRule type="cellIs" priority="13" operator="equal" dxfId="2">
      <formula>"High"</formula>
    </cfRule>
    <cfRule type="cellIs" priority="15" operator="equal" dxfId="3">
      <formula>"Critical"</formula>
    </cfRule>
    <cfRule type="cellIs" priority="17" operator="equal" dxfId="3">
      <formula>"Very high"</formula>
    </cfRule>
  </conditionalFormatting>
  <conditionalFormatting sqref="B8">
    <cfRule type="expression" priority="18" dxfId="6">
      <formula>AND(ISNUMBER($B$8),$B$8&lt;0.5)</formula>
    </cfRule>
    <cfRule type="expression" priority="19" dxfId="1">
      <formula>AND(ISNUMBER($B$8),$B$8&gt;=0.5,$B$8&lt;0.7)</formula>
    </cfRule>
    <cfRule type="expression" priority="20" dxfId="0">
      <formula>AND(ISNUMBER($B$8),$B$8&gt;=0.7,$B$8&lt;0.9)</formula>
    </cfRule>
    <cfRule type="expression" priority="21" dxfId="4">
      <formula>AND(ISNUMBER($B$8),$B$8&gt;=0.9)</formula>
    </cfRule>
  </conditionalFormatting>
  <conditionalFormatting sqref="D11">
    <cfRule type="expression" priority="22" dxfId="0">
      <formula>Calc!$B$57="Low"</formula>
    </cfRule>
    <cfRule type="expression" priority="23" dxfId="1">
      <formula>Calc!$B$57="Moderate"</formula>
    </cfRule>
    <cfRule type="expression" priority="24" dxfId="2">
      <formula>Calc!$B$57="High"</formula>
    </cfRule>
    <cfRule type="expression" priority="25" dxfId="3">
      <formula>Calc!$B$57="Critical"</formula>
    </cfRule>
  </conditionalFormatting>
  <conditionalFormatting sqref="E18:E24">
    <cfRule type="cellIs" priority="26" operator="equal" dxfId="6">
      <formula>"Partial"</formula>
    </cfRule>
    <cfRule type="cellIs" priority="27" operator="equal" dxfId="1">
      <formula>"Informed"</formula>
    </cfRule>
    <cfRule type="cellIs" priority="28" operator="equal" dxfId="0">
      <formula>"Repeatable"</formula>
    </cfRule>
    <cfRule type="cellIs" priority="29" operator="equal" dxfId="4">
      <formula>"Adaptive"</formula>
    </cfRule>
  </conditionalFormatting>
  <conditionalFormatting sqref="H38:H41">
    <cfRule type="cellIs" priority="30" operator="equal" dxfId="0">
      <formula>"Low"</formula>
    </cfRule>
    <cfRule type="cellIs" priority="31" operator="equal" dxfId="1">
      <formula>"Medium"</formula>
    </cfRule>
    <cfRule type="cellIs" priority="32" operator="equal" dxfId="2">
      <formula>"High"</formula>
    </cfRule>
    <cfRule type="cellIs" priority="33" operator="equal" dxfId="3">
      <formula>"Very high"</formula>
    </cfRule>
  </conditionalFormatting>
  <conditionalFormatting sqref="F46:F53">
    <cfRule type="cellIs" priority="34" operator="equal" dxfId="0">
      <formula>"Well addressed"</formula>
    </cfRule>
    <cfRule type="cellIs" priority="35" operator="equal" dxfId="1">
      <formula>"Partially addressed"</formula>
    </cfRule>
    <cfRule type="cellIs" priority="36" operator="equal" dxfId="2">
      <formula>"Needs attention"</formula>
    </cfRule>
  </conditionalFormatting>
  <conditionalFormatting sqref="D57:D67">
    <cfRule type="expression" priority="37" dxfId="3">
      <formula>ISNUMBER(SEARCH("Not met",LEFT($D57,25)))</formula>
    </cfRule>
    <cfRule type="expression" priority="38" dxfId="2">
      <formula>ISNUMBER(SEARCH("Minimal",LEFT($D57,25)))</formula>
    </cfRule>
    <cfRule type="expression" priority="39" dxfId="1">
      <formula>ISNUMBER(SEARCH("Partially",LEFT($D57,25)))</formula>
    </cfRule>
    <cfRule type="expression" priority="40" dxfId="0">
      <formula>ISNUMBER(SEARCH("Largely",LEFT($D57,25)))</formula>
    </cfRule>
    <cfRule type="expression" priority="41" dxfId="4">
      <formula>ISNUMBER(SEARCH("Fully",LEFT($D57,25)))</formula>
    </cfRule>
  </conditionalFormatting>
  <conditionalFormatting sqref="B80:B90">
    <cfRule type="expression" priority="42" dxfId="2">
      <formula>LEFT($B80,9)="Immediate"</formula>
    </cfRule>
    <cfRule type="expression" priority="43" dxfId="1">
      <formula>LEFT($B80,5)="Short"</formula>
    </cfRule>
    <cfRule type="expression" priority="44" dxfId="0">
      <formula>LEFT($B80,6)="Medium"</formula>
    </cfRule>
  </conditionalFormatting>
  <conditionalFormatting sqref="F95:F102">
    <cfRule type="cellIs" priority="45" operator="equal" dxfId="0">
      <formula>"On track"</formula>
    </cfRule>
    <cfRule type="cellIs" priority="46" operator="equal" dxfId="1">
      <formula>"Partial gap"</formula>
    </cfRule>
    <cfRule type="cellIs" priority="47" operator="equal" dxfId="2">
      <formula>"Significant gap"</formula>
    </cfRule>
  </conditionalFormatting>
  <conditionalFormatting sqref="E95:E102">
    <cfRule type="cellIs" priority="48" operator="equal" dxfId="8">
      <formula>"Yes"</formula>
    </cfRule>
  </conditionalFormatting>
  <conditionalFormatting sqref="E106:E110">
    <cfRule type="cellIs" priority="49" operator="equal" dxfId="2">
      <formula>"Priority"</formula>
    </cfRule>
    <cfRule type="cellIs" priority="50" operator="equal" dxfId="1">
      <formula>"Advised"</formula>
    </cfRule>
    <cfRule type="cellIs" priority="51" operator="equal" dxfId="0">
      <formula>"Optional"</formula>
    </cfRule>
    <cfRule type="cellIs" priority="52" operator="equal" dxfId="4">
      <formula>"Sustain"</formula>
    </cfRule>
  </conditionalFormatting>
  <printOptions horizontalCentered="0" gridLines="0"/>
  <pageMargins left="0.45" right="0.45" top="0.6" bottom="0.6" header="0.25" footer="0.25"/>
  <pageSetup orientation="portrait" paperSize="9" fitToHeight="0" fitToWidth="1"/>
  <headerFooter>
    <oddHeader/>
    <oddFooter>&amp;L&amp;8 GT AI Readiness &amp;&amp; Risk Assessment - Confidential&amp;R&amp;8 Page &amp;P</oddFooter>
    <evenHeader/>
    <evenFooter/>
    <firstHeader/>
    <firstFooter/>
  </headerFooter>
  <rowBreaks count="3" manualBreakCount="3">
    <brk id="35" min="0" max="16383" man="1"/>
    <brk id="68" min="0" max="16383" man="1"/>
    <brk id="91" min="0" max="16383" man="1"/>
  </rowBreaks>
</worksheet>
</file>

<file path=xl/worksheets/sheet5.xml><?xml version="1.0" encoding="utf-8"?>
<worksheet xmlns="http://schemas.openxmlformats.org/spreadsheetml/2006/main">
  <sheetPr>
    <tabColor rgb="007B5BA6"/>
    <outlinePr summaryBelow="1" summaryRight="1"/>
    <pageSetUpPr fitToPage="1"/>
  </sheetPr>
  <dimension ref="B1:L15"/>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2" customWidth="1" min="1" max="1"/>
    <col width="6" customWidth="1" min="2" max="2"/>
    <col width="26" customWidth="1" min="3" max="3"/>
    <col width="9" customWidth="1" min="4" max="4"/>
    <col width="10" customWidth="1" min="5" max="5"/>
    <col width="22" customWidth="1" min="6" max="6"/>
    <col width="58" customWidth="1" min="7" max="7"/>
    <col width="22" customWidth="1" min="8" max="8"/>
    <col width="18" customWidth="1" min="9" max="9"/>
    <col width="12" customWidth="1" min="10" max="10"/>
    <col width="13" customWidth="1" min="11" max="11"/>
    <col width="30" customWidth="1" min="12" max="12"/>
    <col width="2" customWidth="1" min="13" max="13"/>
  </cols>
  <sheetData>
    <row r="1" ht="34" customHeight="1">
      <c r="B1" s="15" t="inlineStr">
        <is>
          <t>4. ACTION PLAN &amp; RISK TREATMENT TRACKER</t>
        </is>
      </c>
    </row>
    <row r="2">
      <c r="B2" s="22" t="inlineStr">
        <is>
          <t>Columns B-H update automatically from the assessment. Assign an owner, target date and status (yellow cells) to track remediation. Priority rank 1 = most urgent.</t>
        </is>
      </c>
    </row>
    <row r="4" ht="30" customHeight="1">
      <c r="B4" s="28" t="inlineStr">
        <is>
          <t>#</t>
        </is>
      </c>
      <c r="C4" s="28" t="inlineStr">
        <is>
          <t>Area</t>
        </is>
      </c>
      <c r="D4" s="28" t="inlineStr">
        <is>
          <t>Current score</t>
        </is>
      </c>
      <c r="E4" s="28" t="inlineStr">
        <is>
          <t>Priority rank</t>
        </is>
      </c>
      <c r="F4" s="28" t="inlineStr">
        <is>
          <t>Timing</t>
        </is>
      </c>
      <c r="G4" s="28" t="inlineStr">
        <is>
          <t>Recommended action</t>
        </is>
      </c>
      <c r="H4" s="28" t="inlineStr">
        <is>
          <t>Linked controls (RCM v2.1)</t>
        </is>
      </c>
      <c r="I4" s="28" t="inlineStr">
        <is>
          <t>Owner</t>
        </is>
      </c>
      <c r="J4" s="28" t="inlineStr">
        <is>
          <t>Target date</t>
        </is>
      </c>
      <c r="K4" s="28" t="inlineStr">
        <is>
          <t>Status</t>
        </is>
      </c>
      <c r="L4" s="28" t="inlineStr">
        <is>
          <t>Notes / evidence</t>
        </is>
      </c>
    </row>
    <row r="5" ht="48" customHeight="1">
      <c r="B5" s="30" t="inlineStr">
        <is>
          <t>Q5</t>
        </is>
      </c>
      <c r="C5" s="61" t="inlineStr">
        <is>
          <t>AI strategy, ownership &amp; risk appetite
(Business Alignment)</t>
        </is>
      </c>
      <c r="D5" s="37">
        <f>IF(Calc!E7="","-",Calc!E7)</f>
        <v/>
      </c>
      <c r="E5" s="79">
        <f>IFERROR(MATCH(7,Calc!$B$87:$B$97,0),"-")</f>
        <v/>
      </c>
      <c r="F5" s="7">
        <f>Calc!I7</f>
        <v/>
      </c>
      <c r="G5" s="7">
        <f>Calc!L7</f>
        <v/>
      </c>
      <c r="H5" s="7" t="inlineStr">
        <is>
          <t>GL-1, GL-3, RM-6</t>
        </is>
      </c>
      <c r="I5" s="6" t="n"/>
      <c r="J5" s="80" t="n"/>
      <c r="K5" s="6" t="n"/>
      <c r="L5" s="6" t="n"/>
    </row>
    <row r="6" ht="48" customHeight="1">
      <c r="B6" s="30" t="inlineStr">
        <is>
          <t>Q6</t>
        </is>
      </c>
      <c r="C6" s="61" t="inlineStr">
        <is>
          <t>Use-case portfolio &amp; value realisation
(Business Alignment)</t>
        </is>
      </c>
      <c r="D6" s="37">
        <f>IF(Calc!E8="","-",Calc!E8)</f>
        <v/>
      </c>
      <c r="E6" s="79">
        <f>IFERROR(MATCH(8,Calc!$B$87:$B$97,0),"-")</f>
        <v/>
      </c>
      <c r="F6" s="7">
        <f>Calc!I8</f>
        <v/>
      </c>
      <c r="G6" s="7">
        <f>Calc!L8</f>
        <v/>
      </c>
      <c r="H6" s="7" t="inlineStr">
        <is>
          <t>GL-6, GL-5</t>
        </is>
      </c>
      <c r="I6" s="6" t="n"/>
      <c r="J6" s="80" t="n"/>
      <c r="K6" s="6" t="n"/>
      <c r="L6" s="6" t="n"/>
    </row>
    <row r="7" ht="48" customHeight="1">
      <c r="B7" s="30" t="inlineStr">
        <is>
          <t>Q7</t>
        </is>
      </c>
      <c r="C7" s="61" t="inlineStr">
        <is>
          <t>AI policy, acceptable use &amp; regulatory compliance
(Governance &amp; Ethics)</t>
        </is>
      </c>
      <c r="D7" s="37">
        <f>IF(Calc!E9="","-",Calc!E9)</f>
        <v/>
      </c>
      <c r="E7" s="79">
        <f>IFERROR(MATCH(9,Calc!$B$87:$B$97,0),"-")</f>
        <v/>
      </c>
      <c r="F7" s="7">
        <f>Calc!I9</f>
        <v/>
      </c>
      <c r="G7" s="7">
        <f>Calc!L9</f>
        <v/>
      </c>
      <c r="H7" s="7" t="inlineStr">
        <is>
          <t>GL-5, RO-1, RO-5</t>
        </is>
      </c>
      <c r="I7" s="6" t="n"/>
      <c r="J7" s="80" t="n"/>
      <c r="K7" s="6" t="n"/>
      <c r="L7" s="6" t="n"/>
    </row>
    <row r="8" ht="48" customHeight="1">
      <c r="B8" s="30" t="inlineStr">
        <is>
          <t>Q8</t>
        </is>
      </c>
      <c r="C8" s="61" t="inlineStr">
        <is>
          <t>AI inventory &amp; risk / impact assessment
(Governance &amp; Ethics)</t>
        </is>
      </c>
      <c r="D8" s="37">
        <f>IF(Calc!E10="","-",Calc!E10)</f>
        <v/>
      </c>
      <c r="E8" s="79">
        <f>IFERROR(MATCH(10,Calc!$B$87:$B$97,0),"-")</f>
        <v/>
      </c>
      <c r="F8" s="7">
        <f>Calc!I10</f>
        <v/>
      </c>
      <c r="G8" s="7">
        <f>Calc!L10</f>
        <v/>
      </c>
      <c r="H8" s="7" t="inlineStr">
        <is>
          <t>GL-8, RM-2, RM-5, TP-2</t>
        </is>
      </c>
      <c r="I8" s="6" t="n"/>
      <c r="J8" s="80" t="n"/>
      <c r="K8" s="6" t="n"/>
      <c r="L8" s="6" t="n"/>
    </row>
    <row r="9" ht="48" customHeight="1">
      <c r="B9" s="30" t="inlineStr">
        <is>
          <t>Q9</t>
        </is>
      </c>
      <c r="C9" s="61" t="inlineStr">
        <is>
          <t>Responsible-AI guardrails &amp; human oversight
(Governance &amp; Ethics)</t>
        </is>
      </c>
      <c r="D9" s="37">
        <f>IF(Calc!E11="","-",Calc!E11)</f>
        <v/>
      </c>
      <c r="E9" s="79">
        <f>IFERROR(MATCH(11,Calc!$B$87:$B$97,0),"-")</f>
        <v/>
      </c>
      <c r="F9" s="7">
        <f>Calc!I11</f>
        <v/>
      </c>
      <c r="G9" s="7">
        <f>Calc!L11</f>
        <v/>
      </c>
      <c r="H9" s="7" t="inlineStr">
        <is>
          <t>GL-7, RS-1, RS-4, RS-5, CO-1, CO-3</t>
        </is>
      </c>
      <c r="I9" s="6" t="n"/>
      <c r="J9" s="80" t="n"/>
      <c r="K9" s="6" t="n"/>
      <c r="L9" s="6" t="n"/>
    </row>
    <row r="10" ht="48" customHeight="1">
      <c r="B10" s="30" t="inlineStr">
        <is>
          <t>Q10</t>
        </is>
      </c>
      <c r="C10" s="61" t="inlineStr">
        <is>
          <t>AI literacy &amp; capability
(Training &amp; Development)</t>
        </is>
      </c>
      <c r="D10" s="37">
        <f>IF(Calc!E12="","-",Calc!E12)</f>
        <v/>
      </c>
      <c r="E10" s="79">
        <f>IFERROR(MATCH(12,Calc!$B$87:$B$97,0),"-")</f>
        <v/>
      </c>
      <c r="F10" s="7">
        <f>Calc!I12</f>
        <v/>
      </c>
      <c r="G10" s="7">
        <f>Calc!L12</f>
        <v/>
      </c>
      <c r="H10" s="7" t="inlineStr">
        <is>
          <t>GL-4, RS-9</t>
        </is>
      </c>
      <c r="I10" s="6" t="n"/>
      <c r="J10" s="80" t="n"/>
      <c r="K10" s="6" t="n"/>
      <c r="L10" s="6" t="n"/>
    </row>
    <row r="11" ht="48" customHeight="1">
      <c r="B11" s="30" t="inlineStr">
        <is>
          <t>Q11</t>
        </is>
      </c>
      <c r="C11" s="61" t="inlineStr">
        <is>
          <t>Data governance, quality &amp; privacy for AI
(Data &amp; Quality)</t>
        </is>
      </c>
      <c r="D11" s="37">
        <f>IF(Calc!E13="","-",Calc!E13)</f>
        <v/>
      </c>
      <c r="E11" s="79">
        <f>IFERROR(MATCH(13,Calc!$B$87:$B$97,0),"-")</f>
        <v/>
      </c>
      <c r="F11" s="7">
        <f>Calc!I13</f>
        <v/>
      </c>
      <c r="G11" s="7">
        <f>Calc!L13</f>
        <v/>
      </c>
      <c r="H11" s="7" t="inlineStr">
        <is>
          <t>LC-1, SE-4, PR-1, PR-4, PR-5, PR-6</t>
        </is>
      </c>
      <c r="I11" s="6" t="n"/>
      <c r="J11" s="80" t="n"/>
      <c r="K11" s="6" t="n"/>
      <c r="L11" s="6" t="n"/>
    </row>
    <row r="12" ht="48" customHeight="1">
      <c r="B12" s="30" t="inlineStr">
        <is>
          <t>Q12</t>
        </is>
      </c>
      <c r="C12" s="61" t="inlineStr">
        <is>
          <t>AI architecture, integration &amp; monitoring
(Architecture &amp; Technology)</t>
        </is>
      </c>
      <c r="D12" s="37">
        <f>IF(Calc!E14="","-",Calc!E14)</f>
        <v/>
      </c>
      <c r="E12" s="79">
        <f>IFERROR(MATCH(14,Calc!$B$87:$B$97,0),"-")</f>
        <v/>
      </c>
      <c r="F12" s="7">
        <f>Calc!I14</f>
        <v/>
      </c>
      <c r="G12" s="7">
        <f>Calc!L14</f>
        <v/>
      </c>
      <c r="H12" s="7" t="inlineStr">
        <is>
          <t>LC-2, LC-3, LC-8, LC-12, OM-1, OM-4, RM-6</t>
        </is>
      </c>
      <c r="I12" s="6" t="n"/>
      <c r="J12" s="80" t="n"/>
      <c r="K12" s="6" t="n"/>
      <c r="L12" s="6" t="n"/>
    </row>
    <row r="13" ht="48" customHeight="1">
      <c r="B13" s="30" t="inlineStr">
        <is>
          <t>Q13</t>
        </is>
      </c>
      <c r="C13" s="61" t="inlineStr">
        <is>
          <t>Securing AI systems
(Protect AI Systems)</t>
        </is>
      </c>
      <c r="D13" s="37">
        <f>IF(Calc!E15="","-",Calc!E15)</f>
        <v/>
      </c>
      <c r="E13" s="79">
        <f>IFERROR(MATCH(15,Calc!$B$87:$B$97,0),"-")</f>
        <v/>
      </c>
      <c r="F13" s="7">
        <f>Calc!I15</f>
        <v/>
      </c>
      <c r="G13" s="7">
        <f>Calc!L15</f>
        <v/>
      </c>
      <c r="H13" s="7" t="inlineStr">
        <is>
          <t>SE-2, SE-3, SE-6 to SE-10, OM-2, AA-3</t>
        </is>
      </c>
      <c r="I13" s="6" t="n"/>
      <c r="J13" s="80" t="n"/>
      <c r="K13" s="6" t="n"/>
      <c r="L13" s="6" t="n"/>
    </row>
    <row r="14" ht="48" customHeight="1">
      <c r="B14" s="30" t="inlineStr">
        <is>
          <t>Q14</t>
        </is>
      </c>
      <c r="C14" s="61" t="inlineStr">
        <is>
          <t>Defending against AI-enabled threats
(Protection from AI Threats)</t>
        </is>
      </c>
      <c r="D14" s="37">
        <f>IF(Calc!E16="","-",Calc!E16)</f>
        <v/>
      </c>
      <c r="E14" s="79">
        <f>IFERROR(MATCH(16,Calc!$B$87:$B$97,0),"-")</f>
        <v/>
      </c>
      <c r="F14" s="7">
        <f>Calc!I16</f>
        <v/>
      </c>
      <c r="G14" s="7">
        <f>Calc!L16</f>
        <v/>
      </c>
      <c r="H14" s="7" t="inlineStr">
        <is>
          <t>AT-1, AT-2, AT-3, AT-4</t>
        </is>
      </c>
      <c r="I14" s="6" t="n"/>
      <c r="J14" s="80" t="n"/>
      <c r="K14" s="6" t="n"/>
      <c r="L14" s="6" t="n"/>
    </row>
    <row r="15" ht="48" customHeight="1">
      <c r="B15" s="30" t="inlineStr">
        <is>
          <t>Q15</t>
        </is>
      </c>
      <c r="C15" s="61" t="inlineStr">
        <is>
          <t>AI incidents, monitoring &amp; assurance
(Governance &amp; Ethics)</t>
        </is>
      </c>
      <c r="D15" s="37">
        <f>IF(Calc!E17="","-",Calc!E17)</f>
        <v/>
      </c>
      <c r="E15" s="79">
        <f>IFERROR(MATCH(17,Calc!$B$87:$B$97,0),"-")</f>
        <v/>
      </c>
      <c r="F15" s="7">
        <f>Calc!I17</f>
        <v/>
      </c>
      <c r="G15" s="7">
        <f>Calc!L17</f>
        <v/>
      </c>
      <c r="H15" s="7" t="inlineStr">
        <is>
          <t>IM-1, IM-2, IM-3, AA-1, AA-2, RO-4</t>
        </is>
      </c>
      <c r="I15" s="6" t="n"/>
      <c r="J15" s="80" t="n"/>
      <c r="K15" s="6" t="n"/>
      <c r="L15" s="6" t="n"/>
    </row>
  </sheetData>
  <mergeCells count="2">
    <mergeCell ref="B2:L2"/>
    <mergeCell ref="B1:L1"/>
  </mergeCells>
  <dataValidations count="1">
    <dataValidation sqref="K5:K15" showDropDown="0" showInputMessage="0" showErrorMessage="1" allowBlank="1" errorTitle="Invalid entry" error="Please choose a value from the list." type="list">
      <formula1>=Lists!$F$1:$F$5</formula1>
    </dataValidation>
  </dataValidations>
  <printOptions gridLines="0"/>
  <pageMargins left="0.5" right="0.5" top="0.75" bottom="0.75" header="0.25" footer="0.25"/>
  <pageSetup orientation="landscape" paperSize="9" fitToHeight="0" fitToWidth="1"/>
</worksheet>
</file>

<file path=xl/worksheets/sheet6.xml><?xml version="1.0" encoding="utf-8"?>
<worksheet xmlns="http://schemas.openxmlformats.org/spreadsheetml/2006/main">
  <sheetPr>
    <tabColor rgb="00A6A6A6"/>
    <outlinePr summaryBelow="1" summaryRight="1"/>
    <pageSetUpPr fitToPage="1"/>
  </sheetPr>
  <dimension ref="B1:H41"/>
  <sheetViews>
    <sheetView showGridLines="0" workbookViewId="0">
      <selection activeCell="A1" sqref="A1"/>
    </sheetView>
  </sheetViews>
  <sheetFormatPr baseColWidth="8" defaultRowHeight="15"/>
  <cols>
    <col width="2" customWidth="1" min="1" max="1"/>
    <col width="7" customWidth="1" min="2" max="2"/>
    <col width="30" customWidth="1" min="3" max="3"/>
    <col width="22" customWidth="1" min="4" max="4"/>
    <col width="12" customWidth="1" min="5" max="5"/>
    <col width="28" customWidth="1" min="6" max="6"/>
    <col width="30" customWidth="1" min="7" max="7"/>
    <col width="22" customWidth="1" min="8" max="8"/>
    <col width="2" customWidth="1" min="9" max="9"/>
  </cols>
  <sheetData>
    <row r="1" ht="34" customHeight="1">
      <c r="B1" s="15" t="inlineStr">
        <is>
          <t>METHODOLOGY &amp; FRAMEWORK MAPPING</t>
        </is>
      </c>
    </row>
    <row r="3">
      <c r="B3" s="3" t="inlineStr">
        <is>
          <t>How the tool combines three frameworks</t>
        </is>
      </c>
      <c r="C3" s="21" t="n"/>
      <c r="D3" s="21" t="n"/>
      <c r="E3" s="21" t="n"/>
      <c r="F3" s="21" t="n"/>
      <c r="G3" s="21" t="n"/>
      <c r="H3" s="21" t="n"/>
    </row>
    <row r="4" ht="71" customHeight="1">
      <c r="B4" s="81" t="inlineStr">
        <is>
          <t>1) NSW AI Assessment Framework (AIAF, Digital NSW): lifecycle triggers, inherent-risk questions (AI use, decision impact, data, autonomy / reversibility), Low-Critical risk bands, pattern overrides, oversight pathways and the 8 ethics principles.
2) GT AI Ready7: 7 readiness pillars (33 items) and the maturity scale Partial / Informed / Repeatable / Adaptive; findings use AI Ready7 'potential risk' and 'recommended deliverable' language.
3) GT AI RCM v2.1: every readiness question is mapped to the controls that evidence it, so results convert directly into a control-remediation plan.</t>
        </is>
      </c>
      <c r="C4" s="21" t="n"/>
      <c r="D4" s="21" t="n"/>
      <c r="E4" s="21" t="n"/>
      <c r="F4" s="21" t="n"/>
      <c r="G4" s="21" t="n"/>
      <c r="H4" s="21" t="n"/>
    </row>
    <row r="6">
      <c r="B6" s="3" t="inlineStr">
        <is>
          <t>Scoring - Part A (inherent risk)</t>
        </is>
      </c>
      <c r="C6" s="21" t="n"/>
      <c r="D6" s="21" t="n"/>
      <c r="E6" s="21" t="n"/>
      <c r="F6" s="21" t="n"/>
      <c r="G6" s="21" t="n"/>
      <c r="H6" s="21" t="n"/>
    </row>
    <row r="7" ht="58" customHeight="1">
      <c r="B7" s="81" t="inlineStr">
        <is>
          <t>Each answer scores 0-4. Weights: A1 AI use x2, A2 decision impact x3, A3 data sensitivity x2, A4 oversight &amp; reversibility x3 (max 40). Weighted % bands: &lt;25% Low, 25-49% Medium, 50-74% High, &gt;=75% Critical.
Overrides (AIAF 'pattern risk'): significant-effect decisions (A2=4) -&gt; minimum High; A2=4 with oversight A4&gt;=3 -&gt; Critical; sensitive data (A3=4) -&gt; minimum Medium.</t>
        </is>
      </c>
      <c r="C7" s="21" t="n"/>
      <c r="D7" s="21" t="n"/>
      <c r="E7" s="21" t="n"/>
      <c r="F7" s="21" t="n"/>
      <c r="G7" s="21" t="n"/>
      <c r="H7" s="21" t="n"/>
    </row>
    <row r="9">
      <c r="B9" s="3" t="inlineStr">
        <is>
          <t>Scoring - Part B (readiness)</t>
        </is>
      </c>
      <c r="C9" s="21" t="n"/>
      <c r="D9" s="21" t="n"/>
      <c r="E9" s="21" t="n"/>
      <c r="F9" s="21" t="n"/>
      <c r="G9" s="21" t="n"/>
      <c r="H9" s="21" t="n"/>
    </row>
    <row r="10" ht="32" customHeight="1">
      <c r="B10" s="81" t="inlineStr">
        <is>
          <t>Each answer maps to a maturity level 0-4 scored 0%, 25%, 50%, 75%, 100%. Pillar score = average of its questions; overall readiness = equal-weighted average of the 7 pillar scores. Maturity: &lt;50% Partial, 50-69% Informed, 70-89% Repeatable, &gt;=90% Adaptive (AI Ready7 scale).</t>
        </is>
      </c>
      <c r="C10" s="21" t="n"/>
      <c r="D10" s="21" t="n"/>
      <c r="E10" s="21" t="n"/>
      <c r="F10" s="21" t="n"/>
      <c r="G10" s="21" t="n"/>
      <c r="H10" s="21" t="n"/>
    </row>
    <row r="12">
      <c r="B12" s="3" t="inlineStr">
        <is>
          <t>Exposure &amp; pathway</t>
        </is>
      </c>
      <c r="C12" s="21" t="n"/>
      <c r="D12" s="21" t="n"/>
      <c r="E12" s="21" t="n"/>
      <c r="F12" s="21" t="n"/>
      <c r="G12" s="21" t="n"/>
      <c r="H12" s="21" t="n"/>
    </row>
    <row r="13" ht="45" customHeight="1">
      <c r="B13" s="81" t="inlineStr">
        <is>
          <t>Exposure = f(inherent tier, maturity) per the matrix below. Pathways mirror the AIAF oversight model: Low -&gt; Proceed (self-managed); Moderate -&gt; Proceed with conditions (SME review, 90-day plan); High -&gt; Remediate before scaling (committee oversight); Critical -&gt; Pause high-impact AI and escalate (board / ExCo).</t>
        </is>
      </c>
      <c r="C13" s="21" t="n"/>
      <c r="D13" s="21" t="n"/>
      <c r="E13" s="21" t="n"/>
      <c r="F13" s="21" t="n"/>
      <c r="G13" s="21" t="n"/>
      <c r="H13" s="21" t="n"/>
    </row>
    <row r="15">
      <c r="B15" s="3" t="inlineStr">
        <is>
          <t>Prioritisation</t>
        </is>
      </c>
      <c r="C15" s="21" t="n"/>
      <c r="D15" s="21" t="n"/>
      <c r="E15" s="21" t="n"/>
      <c r="F15" s="21" t="n"/>
      <c r="G15" s="21" t="n"/>
      <c r="H15" s="21" t="n"/>
    </row>
    <row r="16" ht="45" customHeight="1">
      <c r="B16" s="81" t="inlineStr">
        <is>
          <t>Priority = gap (1 - score) x weight. Weight 1.5 for compliance obligations / mandatory requirements, +0.5 for inventory, guardrails and security when the inherent tier is High or Critical. Timing: score &lt;=25% Immediate; 50% on a weighted item Immediate; 50% otherwise Short term; 75% Medium term; 100% Sustain.</t>
        </is>
      </c>
      <c r="C16" s="21" t="n"/>
      <c r="D16" s="21" t="n"/>
      <c r="E16" s="21" t="n"/>
      <c r="F16" s="21" t="n"/>
      <c r="G16" s="21" t="n"/>
      <c r="H16" s="21" t="n"/>
    </row>
    <row r="18">
      <c r="B18" s="3" t="inlineStr">
        <is>
          <t>Exposure matrix</t>
        </is>
      </c>
      <c r="C18" s="21" t="n"/>
      <c r="D18" s="21" t="n"/>
      <c r="E18" s="21" t="n"/>
      <c r="F18" s="21" t="n"/>
      <c r="G18" s="21" t="n"/>
      <c r="H18" s="21" t="n"/>
    </row>
    <row r="19">
      <c r="C19" s="30" t="inlineStr">
        <is>
          <t>Inherent tier \ Maturity</t>
        </is>
      </c>
      <c r="D19" s="82" t="inlineStr">
        <is>
          <t>Adaptive</t>
        </is>
      </c>
      <c r="E19" s="83" t="inlineStr">
        <is>
          <t>Repeatable</t>
        </is>
      </c>
      <c r="F19" s="84" t="inlineStr">
        <is>
          <t>Informed</t>
        </is>
      </c>
      <c r="G19" s="85" t="inlineStr">
        <is>
          <t>Partial</t>
        </is>
      </c>
    </row>
    <row r="20">
      <c r="C20" s="83" t="inlineStr">
        <is>
          <t>Low</t>
        </is>
      </c>
      <c r="D20" s="86" t="inlineStr">
        <is>
          <t>Low</t>
        </is>
      </c>
      <c r="E20" s="86" t="inlineStr">
        <is>
          <t>Low</t>
        </is>
      </c>
      <c r="F20" s="87" t="inlineStr">
        <is>
          <t>Moderate</t>
        </is>
      </c>
      <c r="G20" s="87" t="inlineStr">
        <is>
          <t>Moderate</t>
        </is>
      </c>
    </row>
    <row r="21">
      <c r="C21" s="84" t="inlineStr">
        <is>
          <t>Medium</t>
        </is>
      </c>
      <c r="D21" s="86" t="inlineStr">
        <is>
          <t>Low</t>
        </is>
      </c>
      <c r="E21" s="87" t="inlineStr">
        <is>
          <t>Moderate</t>
        </is>
      </c>
      <c r="F21" s="87" t="inlineStr">
        <is>
          <t>Moderate</t>
        </is>
      </c>
      <c r="G21" s="88" t="inlineStr">
        <is>
          <t>High</t>
        </is>
      </c>
    </row>
    <row r="22">
      <c r="C22" s="89" t="inlineStr">
        <is>
          <t>High</t>
        </is>
      </c>
      <c r="D22" s="87" t="inlineStr">
        <is>
          <t>Moderate</t>
        </is>
      </c>
      <c r="E22" s="87" t="inlineStr">
        <is>
          <t>Moderate</t>
        </is>
      </c>
      <c r="F22" s="88" t="inlineStr">
        <is>
          <t>High</t>
        </is>
      </c>
      <c r="G22" s="90" t="inlineStr">
        <is>
          <t>Critical</t>
        </is>
      </c>
    </row>
    <row r="23">
      <c r="C23" s="91" t="inlineStr">
        <is>
          <t>Critical</t>
        </is>
      </c>
      <c r="D23" s="87" t="inlineStr">
        <is>
          <t>Moderate</t>
        </is>
      </c>
      <c r="E23" s="88" t="inlineStr">
        <is>
          <t>High</t>
        </is>
      </c>
      <c r="F23" s="90" t="inlineStr">
        <is>
          <t>Critical</t>
        </is>
      </c>
      <c r="G23" s="90" t="inlineStr">
        <is>
          <t>Critical</t>
        </is>
      </c>
    </row>
    <row r="25">
      <c r="B25" s="3" t="inlineStr">
        <is>
          <t>Question-to-framework mapping</t>
        </is>
      </c>
      <c r="C25" s="21" t="n"/>
      <c r="D25" s="21" t="n"/>
      <c r="E25" s="21" t="n"/>
      <c r="F25" s="21" t="n"/>
      <c r="G25" s="21" t="n"/>
      <c r="H25" s="21" t="n"/>
    </row>
    <row r="26">
      <c r="B26" s="28" t="inlineStr">
        <is>
          <t>#</t>
        </is>
      </c>
      <c r="C26" s="28" t="inlineStr">
        <is>
          <t>Topic</t>
        </is>
      </c>
      <c r="D26" s="28" t="inlineStr">
        <is>
          <t>AI Ready7 pillar / items</t>
        </is>
      </c>
      <c r="E26" s="28" t="inlineStr">
        <is>
          <t>Type</t>
        </is>
      </c>
      <c r="F26" s="28" t="inlineStr">
        <is>
          <t>AIAF principles</t>
        </is>
      </c>
      <c r="G26" s="28" t="inlineStr">
        <is>
          <t>GT AI RCM v2.1 controls</t>
        </is>
      </c>
      <c r="H26" s="28" t="inlineStr">
        <is>
          <t>Key references</t>
        </is>
      </c>
    </row>
    <row r="27" ht="30" customHeight="1">
      <c r="B27" s="62" t="inlineStr">
        <is>
          <t>A1</t>
        </is>
      </c>
      <c r="C27" s="62" t="inlineStr">
        <is>
          <t>AI use profile</t>
        </is>
      </c>
      <c r="D27" s="62" t="inlineStr">
        <is>
          <t>Inherent risk (Part A)</t>
        </is>
      </c>
      <c r="E27" s="62" t="inlineStr">
        <is>
          <t>Inherent-risk driver</t>
        </is>
      </c>
      <c r="F27" s="62" t="inlineStr">
        <is>
          <t>All (risk exposure)</t>
        </is>
      </c>
      <c r="G27" s="62" t="inlineStr">
        <is>
          <t>RM-5 tiering factor</t>
        </is>
      </c>
      <c r="H27" s="62" t="inlineStr">
        <is>
          <t>AIAF Q2, Q5; EU AI Act Art. 3</t>
        </is>
      </c>
    </row>
    <row r="28" ht="30" customHeight="1">
      <c r="B28" s="62" t="inlineStr">
        <is>
          <t>A2</t>
        </is>
      </c>
      <c r="C28" s="62" t="inlineStr">
        <is>
          <t>Decision impact</t>
        </is>
      </c>
      <c r="D28" s="62" t="inlineStr">
        <is>
          <t>Inherent risk (Part A)</t>
        </is>
      </c>
      <c r="E28" s="62" t="inlineStr">
        <is>
          <t>Inherent-risk driver</t>
        </is>
      </c>
      <c r="F28" s="62" t="inlineStr">
        <is>
          <t>All (risk exposure)</t>
        </is>
      </c>
      <c r="G28" s="62" t="inlineStr">
        <is>
          <t>RM-5 tiering factor</t>
        </is>
      </c>
      <c r="H28" s="62" t="inlineStr">
        <is>
          <t>AIAF Q7, Q8; EU AI Act Annex III</t>
        </is>
      </c>
    </row>
    <row r="29" ht="30" customHeight="1">
      <c r="B29" s="62" t="inlineStr">
        <is>
          <t>A3</t>
        </is>
      </c>
      <c r="C29" s="62" t="inlineStr">
        <is>
          <t>Data sensitivity</t>
        </is>
      </c>
      <c r="D29" s="62" t="inlineStr">
        <is>
          <t>Inherent risk (Part A)</t>
        </is>
      </c>
      <c r="E29" s="62" t="inlineStr">
        <is>
          <t>Inherent-risk driver</t>
        </is>
      </c>
      <c r="F29" s="62" t="inlineStr">
        <is>
          <t>All (risk exposure)</t>
        </is>
      </c>
      <c r="G29" s="62" t="inlineStr">
        <is>
          <t>RM-5 tiering factor</t>
        </is>
      </c>
      <c r="H29" s="62" t="inlineStr">
        <is>
          <t>AIAF Q4; Bahrain PDPL</t>
        </is>
      </c>
    </row>
    <row r="30" ht="30" customHeight="1">
      <c r="B30" s="62" t="inlineStr">
        <is>
          <t>A4</t>
        </is>
      </c>
      <c r="C30" s="62" t="inlineStr">
        <is>
          <t>Oversight &amp; reversibility</t>
        </is>
      </c>
      <c r="D30" s="62" t="inlineStr">
        <is>
          <t>Inherent risk (Part A)</t>
        </is>
      </c>
      <c r="E30" s="62" t="inlineStr">
        <is>
          <t>Inherent-risk driver</t>
        </is>
      </c>
      <c r="F30" s="62" t="inlineStr">
        <is>
          <t>All (risk exposure)</t>
        </is>
      </c>
      <c r="G30" s="62" t="inlineStr">
        <is>
          <t>RM-5 tiering factor</t>
        </is>
      </c>
      <c r="H30" s="62" t="inlineStr">
        <is>
          <t>AIAF Q9, Q10, Q13; EU AI Act Art. 14</t>
        </is>
      </c>
    </row>
    <row r="31" ht="30" customHeight="1">
      <c r="B31" s="62" t="inlineStr">
        <is>
          <t>Q5</t>
        </is>
      </c>
      <c r="C31" s="62" t="inlineStr">
        <is>
          <t>AI strategy, ownership &amp; risk appetite</t>
        </is>
      </c>
      <c r="D31" s="62" t="inlineStr">
        <is>
          <t>Business Alignment (1.1)</t>
        </is>
      </c>
      <c r="E31" s="62" t="inlineStr">
        <is>
          <t>☆ Recommended</t>
        </is>
      </c>
      <c r="F31" s="62" t="inlineStr">
        <is>
          <t>Accountability</t>
        </is>
      </c>
      <c r="G31" s="62" t="inlineStr">
        <is>
          <t>GL-1, GL-3, RM-6</t>
        </is>
      </c>
      <c r="H31" s="62" t="inlineStr">
        <is>
          <t>ISO/IEC 42001 cl.5, 6.2; NIST AI RMF Govern 1</t>
        </is>
      </c>
    </row>
    <row r="32" ht="30" customHeight="1">
      <c r="B32" s="62" t="inlineStr">
        <is>
          <t>Q6</t>
        </is>
      </c>
      <c r="C32" s="62" t="inlineStr">
        <is>
          <t>Use-case portfolio &amp; value realisation</t>
        </is>
      </c>
      <c r="D32" s="62" t="inlineStr">
        <is>
          <t>Business Alignment (1.2, 1.3)</t>
        </is>
      </c>
      <c r="E32" s="62" t="inlineStr">
        <is>
          <t>☆ Recommended</t>
        </is>
      </c>
      <c r="F32" s="62" t="inlineStr">
        <is>
          <t>Human, Social &amp; Environmental Wellbeing</t>
        </is>
      </c>
      <c r="G32" s="62" t="inlineStr">
        <is>
          <t>GL-6, GL-5</t>
        </is>
      </c>
      <c r="H32" s="62" t="inlineStr">
        <is>
          <t>ISO/IEC 42001 6.2; NIST AI RMF Map 3</t>
        </is>
      </c>
    </row>
    <row r="33" ht="30" customHeight="1">
      <c r="B33" s="62" t="inlineStr">
        <is>
          <t>Q7</t>
        </is>
      </c>
      <c r="C33" s="62" t="inlineStr">
        <is>
          <t>AI policy, acceptable use &amp; regulatory compliance</t>
        </is>
      </c>
      <c r="D33" s="62" t="inlineStr">
        <is>
          <t>Governance &amp; Ethics (2.1, 2.2)</t>
        </is>
      </c>
      <c r="E33" s="62" t="inlineStr">
        <is>
          <t>⟳ Compliance Obligation</t>
        </is>
      </c>
      <c r="F33" s="62" t="inlineStr">
        <is>
          <t>Accountability, Privacy &amp; Security</t>
        </is>
      </c>
      <c r="G33" s="62" t="inlineStr">
        <is>
          <t>GL-5, RO-1, RO-5</t>
        </is>
      </c>
      <c r="H33" s="62" t="inlineStr">
        <is>
          <t>ISO/IEC 42001 A.2; EU AI Act Art. 5; Bahrain PDPL; CBB</t>
        </is>
      </c>
    </row>
    <row r="34" ht="30" customHeight="1">
      <c r="B34" s="62" t="inlineStr">
        <is>
          <t>Q8</t>
        </is>
      </c>
      <c r="C34" s="62" t="inlineStr">
        <is>
          <t>AI inventory &amp; risk / impact assessment</t>
        </is>
      </c>
      <c r="D34" s="62" t="inlineStr">
        <is>
          <t>Governance &amp; Ethics (2.4, 2.5)</t>
        </is>
      </c>
      <c r="E34" s="62" t="inlineStr">
        <is>
          <t>⚠ Mandatory Requirement</t>
        </is>
      </c>
      <c r="F34" s="62" t="inlineStr">
        <is>
          <t>Accountability, Human, Social &amp; Environmental Wellbeing</t>
        </is>
      </c>
      <c r="G34" s="62" t="inlineStr">
        <is>
          <t>GL-8, RM-2, RM-5, TP-2</t>
        </is>
      </c>
      <c r="H34" s="62" t="inlineStr">
        <is>
          <t>ISO/IEC 42001 6.1, A.4, A.5; ISO/IEC 42005; EU AI Act Art. 9, 27</t>
        </is>
      </c>
    </row>
    <row r="35" ht="30" customHeight="1">
      <c r="B35" s="62" t="inlineStr">
        <is>
          <t>Q9</t>
        </is>
      </c>
      <c r="C35" s="62" t="inlineStr">
        <is>
          <t>Responsible-AI guardrails &amp; human oversight</t>
        </is>
      </c>
      <c r="D35" s="62" t="inlineStr">
        <is>
          <t>Governance &amp; Ethics (2.3, 5.2)</t>
        </is>
      </c>
      <c r="E35" s="62" t="inlineStr">
        <is>
          <t>⚖ Ethical Consideration</t>
        </is>
      </c>
      <c r="F35" s="62" t="inlineStr">
        <is>
          <t>Fairness, Transparency &amp; Explainability, Human-Centred Values, Contestability</t>
        </is>
      </c>
      <c r="G35" s="62" t="inlineStr">
        <is>
          <t>GL-7, RS-1, RS-4, RS-5, CO-1, CO-3</t>
        </is>
      </c>
      <c r="H35" s="62" t="inlineStr">
        <is>
          <t>EU AI Act Art. 14, 50, 86; GCC AI Ethics Manual</t>
        </is>
      </c>
    </row>
    <row r="36" ht="30" customHeight="1">
      <c r="B36" s="62" t="inlineStr">
        <is>
          <t>Q10</t>
        </is>
      </c>
      <c r="C36" s="62" t="inlineStr">
        <is>
          <t>AI literacy &amp; capability</t>
        </is>
      </c>
      <c r="D36" s="62" t="inlineStr">
        <is>
          <t>Training &amp; Development (3.1, 3.2, 3.3, 3.4)</t>
        </is>
      </c>
      <c r="E36" s="62" t="inlineStr">
        <is>
          <t>⟳ Compliance Obligation</t>
        </is>
      </c>
      <c r="F36" s="62" t="inlineStr">
        <is>
          <t>Human-Centred Values</t>
        </is>
      </c>
      <c r="G36" s="62" t="inlineStr">
        <is>
          <t>GL-4, RS-9</t>
        </is>
      </c>
      <c r="H36" s="62" t="inlineStr">
        <is>
          <t>EU AI Act Art. 4; ISO/IEC 42001 7.2</t>
        </is>
      </c>
    </row>
    <row r="37" ht="30" customHeight="1">
      <c r="B37" s="62" t="inlineStr">
        <is>
          <t>Q11</t>
        </is>
      </c>
      <c r="C37" s="62" t="inlineStr">
        <is>
          <t>Data governance, quality &amp; privacy for AI</t>
        </is>
      </c>
      <c r="D37" s="62" t="inlineStr">
        <is>
          <t>Data &amp; Quality (5.1, 5.3, 5.4, 5.5)</t>
        </is>
      </c>
      <c r="E37" s="62" t="inlineStr">
        <is>
          <t>⟳ Compliance Obligation</t>
        </is>
      </c>
      <c r="F37" s="62" t="inlineStr">
        <is>
          <t>Privacy &amp; Security, Fairness</t>
        </is>
      </c>
      <c r="G37" s="62" t="inlineStr">
        <is>
          <t>LC-1, SE-4, PR-1, PR-4, PR-5, PR-6</t>
        </is>
      </c>
      <c r="H37" s="62" t="inlineStr">
        <is>
          <t>EU AI Act Art. 10; Bahrain PDPL; ISO/IEC 5259</t>
        </is>
      </c>
    </row>
    <row r="38" ht="30" customHeight="1">
      <c r="B38" s="62" t="inlineStr">
        <is>
          <t>Q12</t>
        </is>
      </c>
      <c r="C38" s="62" t="inlineStr">
        <is>
          <t>AI architecture, integration &amp; monitoring</t>
        </is>
      </c>
      <c r="D38" s="62" t="inlineStr">
        <is>
          <t>Architecture &amp; Technology (4.1, 4.2, 4.3, 4.4, 4.5)</t>
        </is>
      </c>
      <c r="E38" s="62" t="inlineStr">
        <is>
          <t>☆ Recommended</t>
        </is>
      </c>
      <c r="F38" s="62" t="inlineStr">
        <is>
          <t>Reliability &amp; Safety</t>
        </is>
      </c>
      <c r="G38" s="62" t="inlineStr">
        <is>
          <t>LC-2, LC-3, LC-8, LC-12, OM-1, OM-4, RM-6</t>
        </is>
      </c>
      <c r="H38" s="62" t="inlineStr">
        <is>
          <t>ISO/IEC 42001 A.6; NIST AI RMF Measure 2</t>
        </is>
      </c>
    </row>
    <row r="39" ht="30" customHeight="1">
      <c r="B39" s="62" t="inlineStr">
        <is>
          <t>Q13</t>
        </is>
      </c>
      <c r="C39" s="62" t="inlineStr">
        <is>
          <t>Securing AI systems</t>
        </is>
      </c>
      <c r="D39" s="62" t="inlineStr">
        <is>
          <t>Protect AI Systems (6.1, 6.2, 6.3, 6.4, 6.5)</t>
        </is>
      </c>
      <c r="E39" s="62" t="inlineStr">
        <is>
          <t>⚠ Mandatory Requirement</t>
        </is>
      </c>
      <c r="F39" s="62" t="inlineStr">
        <is>
          <t>Privacy &amp; Security, Reliability &amp; Safety</t>
        </is>
      </c>
      <c r="G39" s="62" t="inlineStr">
        <is>
          <t>SE-2, SE-3, SE-6 to SE-10, OM-2, AA-3</t>
        </is>
      </c>
      <c r="H39" s="62" t="inlineStr">
        <is>
          <t>OWASP LLM Top 10; MITRE ATLAS; EU AI Act Art. 15</t>
        </is>
      </c>
    </row>
    <row r="40" ht="30" customHeight="1">
      <c r="B40" s="62" t="inlineStr">
        <is>
          <t>Q14</t>
        </is>
      </c>
      <c r="C40" s="62" t="inlineStr">
        <is>
          <t>Defending against AI-enabled threats</t>
        </is>
      </c>
      <c r="D40" s="62" t="inlineStr">
        <is>
          <t>Protection from AI Threats (7.1, 7.2, 7.3, 7.4, 7.5)</t>
        </is>
      </c>
      <c r="E40" s="62" t="inlineStr">
        <is>
          <t>☆ Recommended</t>
        </is>
      </c>
      <c r="F40" s="62" t="inlineStr">
        <is>
          <t>Privacy &amp; Security</t>
        </is>
      </c>
      <c r="G40" s="62" t="inlineStr">
        <is>
          <t>AT-1, AT-2, AT-3, AT-4</t>
        </is>
      </c>
      <c r="H40" s="62" t="inlineStr">
        <is>
          <t>MITRE ATLAS; FinCEN deepfake alert</t>
        </is>
      </c>
    </row>
    <row r="41" ht="30" customHeight="1">
      <c r="B41" s="62" t="inlineStr">
        <is>
          <t>Q15</t>
        </is>
      </c>
      <c r="C41" s="62" t="inlineStr">
        <is>
          <t>AI incidents, monitoring &amp; assurance</t>
        </is>
      </c>
      <c r="D41" s="62" t="inlineStr">
        <is>
          <t>Governance &amp; Ethics (2.2, 7.4)</t>
        </is>
      </c>
      <c r="E41" s="62" t="inlineStr">
        <is>
          <t>⟳ Compliance Obligation</t>
        </is>
      </c>
      <c r="F41" s="62" t="inlineStr">
        <is>
          <t>Accountability, Reliability &amp; Safety, Contestability, Transparency &amp; Explainability</t>
        </is>
      </c>
      <c r="G41" s="62" t="inlineStr">
        <is>
          <t>IM-1, IM-2, IM-3, AA-1, AA-2, RO-4</t>
        </is>
      </c>
      <c r="H41" s="62" t="inlineStr">
        <is>
          <t>EU AI Act Art. 72-73; ISO/IEC 42001 9-10</t>
        </is>
      </c>
    </row>
  </sheetData>
  <mergeCells count="13">
    <mergeCell ref="B9:H9"/>
    <mergeCell ref="B1:H1"/>
    <mergeCell ref="B13:H13"/>
    <mergeCell ref="B18:H18"/>
    <mergeCell ref="B4:H4"/>
    <mergeCell ref="B12:H12"/>
    <mergeCell ref="B6:H6"/>
    <mergeCell ref="B16:H16"/>
    <mergeCell ref="B15:H15"/>
    <mergeCell ref="B7:H7"/>
    <mergeCell ref="B10:H10"/>
    <mergeCell ref="B25:H25"/>
    <mergeCell ref="B3:H3"/>
  </mergeCells>
  <printOptions gridLines="0"/>
  <pageMargins left="0.5" right="0.5" top="0.75" bottom="0.75" header="0.25" footer="0.25"/>
  <pageSetup orientation="landscape" paperSize="9" fitToHeight="0" fitToWidth="1"/>
</worksheet>
</file>

<file path=xl/worksheets/sheet7.xml><?xml version="1.0" encoding="utf-8"?>
<worksheet xmlns="http://schemas.openxmlformats.org/spreadsheetml/2006/main">
  <sheetPr>
    <outlinePr summaryBelow="1" summaryRight="1"/>
    <pageSetUpPr/>
  </sheetPr>
  <dimension ref="A1:F76"/>
  <sheetViews>
    <sheetView workbookViewId="0">
      <selection activeCell="A1" sqref="A1"/>
    </sheetView>
  </sheetViews>
  <sheetFormatPr baseColWidth="8" defaultRowHeight="15"/>
  <sheetData>
    <row r="1">
      <c r="A1" t="inlineStr">
        <is>
          <t>QID</t>
        </is>
      </c>
      <c r="B1" t="inlineStr">
        <is>
          <t>Option</t>
        </is>
      </c>
      <c r="C1" t="inlineStr">
        <is>
          <t>Value</t>
        </is>
      </c>
      <c r="D1" t="inlineStr">
        <is>
          <t>Status label</t>
        </is>
      </c>
      <c r="E1" t="inlineStr">
        <is>
          <t>Playback / next step</t>
        </is>
      </c>
      <c r="F1" t="inlineStr">
        <is>
          <t>Level</t>
        </is>
      </c>
    </row>
    <row r="2">
      <c r="A2" t="inlineStr">
        <is>
          <t>A1</t>
        </is>
      </c>
      <c r="B2" t="inlineStr">
        <is>
          <t>No AI in use and none planned within 12 months</t>
        </is>
      </c>
      <c r="C2" t="n">
        <v>0</v>
      </c>
      <c r="D2" t="inlineStr">
        <is>
          <t>Low</t>
        </is>
      </c>
      <c r="E2" t="inlineStr">
        <is>
          <t>Minimal current AI exposure. Readiness still matters: governance is easier to establish before adoption.</t>
        </is>
      </c>
      <c r="F2" t="inlineStr">
        <is>
          <t>Risk level 0 of 4</t>
        </is>
      </c>
    </row>
    <row r="3">
      <c r="A3" t="inlineStr">
        <is>
          <t>A1</t>
        </is>
      </c>
      <c r="B3" t="inlineStr">
        <is>
          <t>Exploratory use of public GenAI tools (e.g., ChatGPT, Copilot web) for internal productivity only</t>
        </is>
      </c>
      <c r="C3" t="n">
        <v>1</v>
      </c>
      <c r="D3" t="inlineStr">
        <is>
          <t>Low</t>
        </is>
      </c>
      <c r="E3" t="inlineStr">
        <is>
          <t>Main exposures are data leakage into public tools, inaccurate outputs and shadow AI. An acceptable-use policy and literacy training are the first priorities.</t>
        </is>
      </c>
      <c r="F3" t="inlineStr">
        <is>
          <t>Risk level 1 of 4</t>
        </is>
      </c>
    </row>
    <row r="4">
      <c r="A4" t="inlineStr">
        <is>
          <t>A1</t>
        </is>
      </c>
      <c r="B4" t="inlineStr">
        <is>
          <t>Approved enterprise GenAI tools and AI features embedded in business software across teams</t>
        </is>
      </c>
      <c r="C4" t="n">
        <v>2</v>
      </c>
      <c r="D4" t="inlineStr">
        <is>
          <t>Medium</t>
        </is>
      </c>
      <c r="E4" t="inlineStr">
        <is>
          <t>AI is part of day-to-day work. Exposure spans data protection, output quality, vendor dependence and consistent human review.</t>
        </is>
      </c>
      <c r="F4" t="inlineStr">
        <is>
          <t>Risk level 2 of 4</t>
        </is>
      </c>
    </row>
    <row r="5">
      <c r="A5" t="inlineStr">
        <is>
          <t>A1</t>
        </is>
      </c>
      <c r="B5" t="inlineStr">
        <is>
          <t>Custom or vendor-built AI / ML models supporting core processes or client services</t>
        </is>
      </c>
      <c r="C5" t="n">
        <v>3</v>
      </c>
      <c r="D5" t="inlineStr">
        <is>
          <t>High</t>
        </is>
      </c>
      <c r="E5" t="inlineStr">
        <is>
          <t>AI influences core outcomes. Model validation, monitoring, data governance and third-party assurance become essential.</t>
        </is>
      </c>
      <c r="F5" t="inlineStr">
        <is>
          <t>Risk level 3 of 4</t>
        </is>
      </c>
    </row>
    <row r="6">
      <c r="A6" t="inlineStr">
        <is>
          <t>A1</t>
        </is>
      </c>
      <c r="B6" t="inlineStr">
        <is>
          <t>AI agents or automated AI decisions acting directly on systems, customers or transactions</t>
        </is>
      </c>
      <c r="C6" t="n">
        <v>4</v>
      </c>
      <c r="D6" t="inlineStr">
        <is>
          <t>Very high</t>
        </is>
      </c>
      <c r="E6" t="inlineStr">
        <is>
          <t>Highest exposure profile: autonomous actions require execution limits, human approval points, kill-switches and continuous monitoring.</t>
        </is>
      </c>
      <c r="F6" t="inlineStr">
        <is>
          <t>Risk level 4 of 4</t>
        </is>
      </c>
    </row>
    <row r="7">
      <c r="A7" t="inlineStr">
        <is>
          <t>A2</t>
        </is>
      </c>
      <c r="B7" t="inlineStr">
        <is>
          <t>None - AI is used only for drafting, research or personal productivity</t>
        </is>
      </c>
      <c r="C7" t="n">
        <v>0</v>
      </c>
      <c r="D7" t="inlineStr">
        <is>
          <t>Low</t>
        </is>
      </c>
      <c r="E7" t="inlineStr">
        <is>
          <t>No direct decisions about people; impact limited to quality of internal work products.</t>
        </is>
      </c>
      <c r="F7" t="inlineStr">
        <is>
          <t>Risk level 0 of 4</t>
        </is>
      </c>
    </row>
    <row r="8">
      <c r="A8" t="inlineStr">
        <is>
          <t>A2</t>
        </is>
      </c>
      <c r="B8" t="inlineStr">
        <is>
          <t>Internal operational decisions with minor impact (e.g., scheduling, document triage)</t>
        </is>
      </c>
      <c r="C8" t="n">
        <v>1</v>
      </c>
      <c r="D8" t="inlineStr">
        <is>
          <t>Low</t>
        </is>
      </c>
      <c r="E8" t="inlineStr">
        <is>
          <t>Errors cause inconvenience but are easily corrected.</t>
        </is>
      </c>
      <c r="F8" t="inlineStr">
        <is>
          <t>Risk level 1 of 4</t>
        </is>
      </c>
    </row>
    <row r="9">
      <c r="A9" t="inlineStr">
        <is>
          <t>A2</t>
        </is>
      </c>
      <c r="B9" t="inlineStr">
        <is>
          <t>Customer- or client-facing outputs with limited individual impact (e.g., FAQ chatbots, marketing content)</t>
        </is>
      </c>
      <c r="C9" t="n">
        <v>2</v>
      </c>
      <c r="D9" t="inlineStr">
        <is>
          <t>Medium</t>
        </is>
      </c>
      <c r="E9" t="inlineStr">
        <is>
          <t>External stakeholders see AI outputs - disclosure, accuracy and reputational controls apply (e.g., EU AI Act Art. 50 where relevant).</t>
        </is>
      </c>
      <c r="F9" t="inlineStr">
        <is>
          <t>Risk level 2 of 4</t>
        </is>
      </c>
    </row>
    <row r="10">
      <c r="A10" t="inlineStr">
        <is>
          <t>A2</t>
        </is>
      </c>
      <c r="B10" t="inlineStr">
        <is>
          <t>Decisions materially affecting individuals' services, employment or finances, with human review</t>
        </is>
      </c>
      <c r="C10" t="n">
        <v>3</v>
      </c>
      <c r="D10" t="inlineStr">
        <is>
          <t>High</t>
        </is>
      </c>
      <c r="E10" t="inlineStr">
        <is>
          <t>Fairness, explainability, contestability and effective human oversight are required; impact assessments recommended.</t>
        </is>
      </c>
      <c r="F10" t="inlineStr">
        <is>
          <t>Risk level 3 of 4</t>
        </is>
      </c>
    </row>
    <row r="11">
      <c r="A11" t="inlineStr">
        <is>
          <t>A2</t>
        </is>
      </c>
      <c r="B11" t="inlineStr">
        <is>
          <t>Decisions with legal or similarly significant effects on individuals (credit, hiring, insurance, eligibility, health) made or determined by AI</t>
        </is>
      </c>
      <c r="C11" t="n">
        <v>4</v>
      </c>
      <c r="D11" t="inlineStr">
        <is>
          <t>Very high</t>
        </is>
      </c>
      <c r="E11" t="inlineStr">
        <is>
          <t>Likely 'high-risk' AI (e.g., EU AI Act Annex III). Full impact assessment, independent validation and committee approval required.</t>
        </is>
      </c>
      <c r="F11" t="inlineStr">
        <is>
          <t>Risk level 4 of 4</t>
        </is>
      </c>
    </row>
    <row r="12">
      <c r="A12" t="inlineStr">
        <is>
          <t>A3</t>
        </is>
      </c>
      <c r="B12" t="inlineStr">
        <is>
          <t>Public or synthetic data only</t>
        </is>
      </c>
      <c r="C12" t="n">
        <v>0</v>
      </c>
      <c r="D12" t="inlineStr">
        <is>
          <t>Low</t>
        </is>
      </c>
      <c r="E12" t="inlineStr">
        <is>
          <t>Low data-protection exposure.</t>
        </is>
      </c>
      <c r="F12" t="inlineStr">
        <is>
          <t>Risk level 0 of 4</t>
        </is>
      </c>
    </row>
    <row r="13">
      <c r="A13" t="inlineStr">
        <is>
          <t>A3</t>
        </is>
      </c>
      <c r="B13" t="inlineStr">
        <is>
          <t>Internal, non-confidential business information</t>
        </is>
      </c>
      <c r="C13" t="n">
        <v>1</v>
      </c>
      <c r="D13" t="inlineStr">
        <is>
          <t>Low</t>
        </is>
      </c>
      <c r="E13" t="inlineStr">
        <is>
          <t>Low-moderate exposure; basic data-handling rules apply.</t>
        </is>
      </c>
      <c r="F13" t="inlineStr">
        <is>
          <t>Risk level 1 of 4</t>
        </is>
      </c>
    </row>
    <row r="14">
      <c r="A14" t="inlineStr">
        <is>
          <t>A3</t>
        </is>
      </c>
      <c r="B14" t="inlineStr">
        <is>
          <t>Confidential business or client information</t>
        </is>
      </c>
      <c r="C14" t="n">
        <v>2</v>
      </c>
      <c r="D14" t="inlineStr">
        <is>
          <t>Medium</t>
        </is>
      </c>
      <c r="E14" t="inlineStr">
        <is>
          <t>Confidentiality and contractual obligations apply; vendor data-use terms are critical.</t>
        </is>
      </c>
      <c r="F14" t="inlineStr">
        <is>
          <t>Risk level 2 of 4</t>
        </is>
      </c>
    </row>
    <row r="15">
      <c r="A15" t="inlineStr">
        <is>
          <t>A3</t>
        </is>
      </c>
      <c r="B15" t="inlineStr">
        <is>
          <t>Personal data of customers, employees or other individuals</t>
        </is>
      </c>
      <c r="C15" t="n">
        <v>3</v>
      </c>
      <c r="D15" t="inlineStr">
        <is>
          <t>High</t>
        </is>
      </c>
      <c r="E15" t="inlineStr">
        <is>
          <t>Bahrain PDPL applies: lawful basis, notice, DPIA, security, data-subject rights and cross-border transfer rules.</t>
        </is>
      </c>
      <c r="F15" t="inlineStr">
        <is>
          <t>Risk level 3 of 4</t>
        </is>
      </c>
    </row>
    <row r="16">
      <c r="A16" t="inlineStr">
        <is>
          <t>A3</t>
        </is>
      </c>
      <c r="B16" t="inlineStr">
        <is>
          <t>Sensitive personal data (health, biometric, financial account, children) or regulated / classified information</t>
        </is>
      </c>
      <c r="C16" t="n">
        <v>4</v>
      </c>
      <c r="D16" t="inlineStr">
        <is>
          <t>Very high</t>
        </is>
      </c>
      <c r="E16" t="inlineStr">
        <is>
          <t>Highest data exposure: strict minimisation, in-region hosting, enhanced security and privacy impact assessment required.</t>
        </is>
      </c>
      <c r="F16" t="inlineStr">
        <is>
          <t>Risk level 4 of 4</t>
        </is>
      </c>
    </row>
    <row r="17">
      <c r="A17" t="inlineStr">
        <is>
          <t>A4</t>
        </is>
      </c>
      <c r="B17" t="inlineStr">
        <is>
          <t>Humans make all decisions; AI outputs are advisory drafts only</t>
        </is>
      </c>
      <c r="C17" t="n">
        <v>0</v>
      </c>
      <c r="D17" t="inlineStr">
        <is>
          <t>Low</t>
        </is>
      </c>
      <c r="E17" t="inlineStr">
        <is>
          <t>Strong human control; residual risk mainly automation bias.</t>
        </is>
      </c>
      <c r="F17" t="inlineStr">
        <is>
          <t>Risk level 0 of 4</t>
        </is>
      </c>
    </row>
    <row r="18">
      <c r="A18" t="inlineStr">
        <is>
          <t>A4</t>
        </is>
      </c>
      <c r="B18" t="inlineStr">
        <is>
          <t>A qualified human reviews and approves every AI output before it is used</t>
        </is>
      </c>
      <c r="C18" t="n">
        <v>1</v>
      </c>
      <c r="D18" t="inlineStr">
        <is>
          <t>Low</t>
        </is>
      </c>
      <c r="E18" t="inlineStr">
        <is>
          <t>Effective 'human-in-charge' control if reviewers are trained and have time and authority to challenge.</t>
        </is>
      </c>
      <c r="F18" t="inlineStr">
        <is>
          <t>Risk level 1 of 4</t>
        </is>
      </c>
    </row>
    <row r="19">
      <c r="A19" t="inlineStr">
        <is>
          <t>A4</t>
        </is>
      </c>
      <c r="B19" t="inlineStr">
        <is>
          <t>Humans review samples or exceptions; errors are easily corrected</t>
        </is>
      </c>
      <c r="C19" t="n">
        <v>2</v>
      </c>
      <c r="D19" t="inlineStr">
        <is>
          <t>Medium</t>
        </is>
      </c>
      <c r="E19" t="inlineStr">
        <is>
          <t>Partial oversight - sampling design, thresholds and monitoring determine effectiveness.</t>
        </is>
      </c>
      <c r="F19" t="inlineStr">
        <is>
          <t>Risk level 2 of 4</t>
        </is>
      </c>
    </row>
    <row r="20">
      <c r="A20" t="inlineStr">
        <is>
          <t>A4</t>
        </is>
      </c>
      <c r="B20" t="inlineStr">
        <is>
          <t>AI acts automatically; humans can intervene after the fact; errors are costly to reverse</t>
        </is>
      </c>
      <c r="C20" t="n">
        <v>3</v>
      </c>
      <c r="D20" t="inlineStr">
        <is>
          <t>High</t>
        </is>
      </c>
      <c r="E20" t="inlineStr">
        <is>
          <t>Limited oversight - requires guardrails, limits, monitoring and rapid rollback.</t>
        </is>
      </c>
      <c r="F20" t="inlineStr">
        <is>
          <t>Risk level 3 of 4</t>
        </is>
      </c>
    </row>
    <row r="21">
      <c r="A21" t="inlineStr">
        <is>
          <t>A4</t>
        </is>
      </c>
      <c r="B21" t="inlineStr">
        <is>
          <t>AI acts autonomously with no practical real-time intervention; outcomes may be irreversible</t>
        </is>
      </c>
      <c r="C21" t="n">
        <v>4</v>
      </c>
      <c r="D21" t="inlineStr">
        <is>
          <t>Very high</t>
        </is>
      </c>
      <c r="E21" t="inlineStr">
        <is>
          <t>Very high risk: strongest governance attention required before operation.</t>
        </is>
      </c>
      <c r="F21" t="inlineStr">
        <is>
          <t>Risk level 4 of 4</t>
        </is>
      </c>
    </row>
    <row r="22">
      <c r="A22" t="inlineStr">
        <is>
          <t>Q5</t>
        </is>
      </c>
      <c r="B22" t="inlineStr">
        <is>
          <t>No AI strategy or executive owner; AI adoption is unplanned</t>
        </is>
      </c>
      <c r="C22" t="n">
        <v>0</v>
      </c>
      <c r="D22" t="inlineStr">
        <is>
          <t>Not met</t>
        </is>
      </c>
      <c r="E22" t="inlineStr">
        <is>
          <t>Appoint an executive AI sponsor and commission an AI strategy (situational / SWOT analysis, ambition, priority domains, risk appetite).</t>
        </is>
      </c>
      <c r="F22" t="inlineStr">
        <is>
          <t>Level 0 - Not in place</t>
        </is>
      </c>
    </row>
    <row r="23">
      <c r="A23" t="inlineStr">
        <is>
          <t>Q5</t>
        </is>
      </c>
      <c r="B23" t="inlineStr">
        <is>
          <t>Informal interest from leadership; no documented strategy or risk appetite</t>
        </is>
      </c>
      <c r="C23" t="n">
        <v>0.25</v>
      </c>
      <c r="D23" t="inlineStr">
        <is>
          <t>Minimal</t>
        </is>
      </c>
      <c r="E23" t="inlineStr">
        <is>
          <t>Formalise leadership intent into a documented AI strategy approved by the executive committee, with a board-approved AI risk appetite.</t>
        </is>
      </c>
      <c r="F23" t="inlineStr">
        <is>
          <t>Level 1 - Initial / ad hoc</t>
        </is>
      </c>
    </row>
    <row r="24">
      <c r="A24" t="inlineStr">
        <is>
          <t>Q5</t>
        </is>
      </c>
      <c r="B24" t="inlineStr">
        <is>
          <t>Executive sponsor named and AI strategy drafted or approved, but risk appetite and experimentation boundaries not defined</t>
        </is>
      </c>
      <c r="C24" t="n">
        <v>0.5</v>
      </c>
      <c r="D24" t="inlineStr">
        <is>
          <t>Partially met</t>
        </is>
      </c>
      <c r="E24" t="inlineStr">
        <is>
          <t>Define AI risk appetite, tolerances and approved experimentation ('sandbox') boundaries; communicate them organisation-wide.</t>
        </is>
      </c>
      <c r="F24" t="inlineStr">
        <is>
          <t>Level 2 - Defined</t>
        </is>
      </c>
    </row>
    <row r="25">
      <c r="A25" t="inlineStr">
        <is>
          <t>Q5</t>
        </is>
      </c>
      <c r="B25" t="inlineStr">
        <is>
          <t>Approved AI strategy with executive ownership, defined risk appetite and experimentation boundaries communicated to staff</t>
        </is>
      </c>
      <c r="C25" t="n">
        <v>0.75</v>
      </c>
      <c r="D25" t="inlineStr">
        <is>
          <t>Largely met</t>
        </is>
      </c>
      <c r="E25" t="inlineStr">
        <is>
          <t>Link the strategy to measurable KPIs / KRIs and introduce an annual board-level review of AI strategy and risk appetite.</t>
        </is>
      </c>
      <c r="F25" t="inlineStr">
        <is>
          <t>Level 3 - Implemented</t>
        </is>
      </c>
    </row>
    <row r="26">
      <c r="A26" t="inlineStr">
        <is>
          <t>Q5</t>
        </is>
      </c>
      <c r="B26" t="inlineStr">
        <is>
          <t>Strategy and appetite reviewed at least annually by board / executive, linked to business strategy and tracked through KPIs and KRIs</t>
        </is>
      </c>
      <c r="C26" t="n">
        <v>1</v>
      </c>
      <c r="D26" t="inlineStr">
        <is>
          <t>Fully met</t>
        </is>
      </c>
      <c r="E26" t="inlineStr">
        <is>
          <t>Sustain: benchmark annually against peers and refresh strategy as AI capabilities and regulation evolve.</t>
        </is>
      </c>
      <c r="F26" t="inlineStr">
        <is>
          <t>Level 4 - Optimised</t>
        </is>
      </c>
    </row>
    <row r="27">
      <c r="A27" t="inlineStr">
        <is>
          <t>Q6</t>
        </is>
      </c>
      <c r="B27" t="inlineStr">
        <is>
          <t>No process - AI initiatives start ad hoc and value is not tracked</t>
        </is>
      </c>
      <c r="C27" t="n">
        <v>0</v>
      </c>
      <c r="D27" t="inlineStr">
        <is>
          <t>Not met</t>
        </is>
      </c>
      <c r="E27" t="inlineStr">
        <is>
          <t>Create an AI use-case intake and approval process; build an initial prioritised backlog.</t>
        </is>
      </c>
      <c r="F27" t="inlineStr">
        <is>
          <t>Level 0 - Not in place</t>
        </is>
      </c>
    </row>
    <row r="28">
      <c r="A28" t="inlineStr">
        <is>
          <t>Q6</t>
        </is>
      </c>
      <c r="B28" t="inlineStr">
        <is>
          <t>Some use cases discussed informally; business cases are rare</t>
        </is>
      </c>
      <c r="C28" t="n">
        <v>0.25</v>
      </c>
      <c r="D28" t="inlineStr">
        <is>
          <t>Minimal</t>
        </is>
      </c>
      <c r="E28" t="inlineStr">
        <is>
          <t>Introduce a standard business-case template with value, feasibility, data-readiness and risk scoring.</t>
        </is>
      </c>
      <c r="F28" t="inlineStr">
        <is>
          <t>Level 1 - Initial / ad hoc</t>
        </is>
      </c>
    </row>
    <row r="29">
      <c r="A29" t="inlineStr">
        <is>
          <t>Q6</t>
        </is>
      </c>
      <c r="B29" t="inlineStr">
        <is>
          <t>Use-case intake exists and initiatives are prioritised, but benefits are not systematically tracked</t>
        </is>
      </c>
      <c r="C29" t="n">
        <v>0.5</v>
      </c>
      <c r="D29" t="inlineStr">
        <is>
          <t>Partially met</t>
        </is>
      </c>
      <c r="E29" t="inlineStr">
        <is>
          <t>Define benefit KPIs (financial and non-financial) at approval and assign benefit owners.</t>
        </is>
      </c>
      <c r="F29" t="inlineStr">
        <is>
          <t>Level 2 - Defined</t>
        </is>
      </c>
    </row>
    <row r="30">
      <c r="A30" t="inlineStr">
        <is>
          <t>Q6</t>
        </is>
      </c>
      <c r="B30" t="inlineStr">
        <is>
          <t>Structured intake and prioritisation by value, feasibility, data readiness and risk; KPIs tracked for major initiatives</t>
        </is>
      </c>
      <c r="C30" t="n">
        <v>0.75</v>
      </c>
      <c r="D30" t="inlineStr">
        <is>
          <t>Largely met</t>
        </is>
      </c>
      <c r="E30" t="inlineStr">
        <is>
          <t>Run quarterly portfolio reviews with continue / pivot / stop decisions; convert discovered shadow AI into governed use cases.</t>
        </is>
      </c>
      <c r="F30" t="inlineStr">
        <is>
          <t>Level 3 - Implemented</t>
        </is>
      </c>
    </row>
    <row r="31">
      <c r="A31" t="inlineStr">
        <is>
          <t>Q6</t>
        </is>
      </c>
      <c r="B31" t="inlineStr">
        <is>
          <t>Portfolio managed as a whole with quarterly value / risk reviews, stop-or-scale decisions, and shadow-AI demand routed into the governed pipeline</t>
        </is>
      </c>
      <c r="C31" t="n">
        <v>1</v>
      </c>
      <c r="D31" t="inlineStr">
        <is>
          <t>Fully met</t>
        </is>
      </c>
      <c r="E31" t="inlineStr">
        <is>
          <t>Sustain: publish realised value to leadership and reinvest in proven use cases.</t>
        </is>
      </c>
      <c r="F31" t="inlineStr">
        <is>
          <t>Level 4 - Optimised</t>
        </is>
      </c>
    </row>
    <row r="32">
      <c r="A32" t="inlineStr">
        <is>
          <t>Q7</t>
        </is>
      </c>
      <c r="B32" t="inlineStr">
        <is>
          <t>No AI policy; applicable AI regulations have not been identified</t>
        </is>
      </c>
      <c r="C32" t="n">
        <v>0</v>
      </c>
      <c r="D32" t="inlineStr">
        <is>
          <t>Not met</t>
        </is>
      </c>
      <c r="E32" t="inlineStr">
        <is>
          <t>Issue an interim AI acceptable-use policy immediately (approved tools, prohibited data, output verification) and identify applicable regulations.</t>
        </is>
      </c>
      <c r="F32" t="inlineStr">
        <is>
          <t>Level 0 - Not in place</t>
        </is>
      </c>
    </row>
    <row r="33">
      <c r="A33" t="inlineStr">
        <is>
          <t>Q7</t>
        </is>
      </c>
      <c r="B33" t="inlineStr">
        <is>
          <t>Informal guidance only (e.g., emails); obligations understood by a few individuals</t>
        </is>
      </c>
      <c r="C33" t="n">
        <v>0.25</v>
      </c>
      <c r="D33" t="inlineStr">
        <is>
          <t>Minimal</t>
        </is>
      </c>
      <c r="E33" t="inlineStr">
        <is>
          <t>Approve a formal AI policy; build an AI obligations register covering Bahrain PDPL, sector rules (e.g., CBB) and extraterritorial regimes (EU AI Act).</t>
        </is>
      </c>
      <c r="F33" t="inlineStr">
        <is>
          <t>Level 1 - Initial / ad hoc</t>
        </is>
      </c>
    </row>
    <row r="34">
      <c r="A34" t="inlineStr">
        <is>
          <t>Q7</t>
        </is>
      </c>
      <c r="B34" t="inlineStr">
        <is>
          <t>AI acceptable-use policy approved; regulatory obligations identified but not mapped to controls</t>
        </is>
      </c>
      <c r="C34" t="n">
        <v>0.5</v>
      </c>
      <c r="D34" t="inlineStr">
        <is>
          <t>Partially met</t>
        </is>
      </c>
      <c r="E34" t="inlineStr">
        <is>
          <t>Map each obligation to controls and owners using the GT AI RCM; require annual staff acknowledgement.</t>
        </is>
      </c>
      <c r="F34" t="inlineStr">
        <is>
          <t>Level 2 - Defined</t>
        </is>
      </c>
    </row>
    <row r="35">
      <c r="A35" t="inlineStr">
        <is>
          <t>Q7</t>
        </is>
      </c>
      <c r="B35" t="inlineStr">
        <is>
          <t>AI policy enforced with staff acknowledgement; obligations register maps regulations to controls and owners</t>
        </is>
      </c>
      <c r="C35" t="n">
        <v>0.75</v>
      </c>
      <c r="D35" t="inlineStr">
        <is>
          <t>Largely met</t>
        </is>
      </c>
      <c r="E35" t="inlineStr">
        <is>
          <t>Establish monthly regulatory horizon scanning and periodic compliance testing with evidence retention.</t>
        </is>
      </c>
      <c r="F35" t="inlineStr">
        <is>
          <t>Level 3 - Implemented</t>
        </is>
      </c>
    </row>
    <row r="36">
      <c r="A36" t="inlineStr">
        <is>
          <t>Q7</t>
        </is>
      </c>
      <c r="B36" t="inlineStr">
        <is>
          <t>Policy and obligations register reviewed regularly with horizon scanning; compliance tested and audit-ready evidence maintained</t>
        </is>
      </c>
      <c r="C36" t="n">
        <v>1</v>
      </c>
      <c r="D36" t="inlineStr">
        <is>
          <t>Fully met</t>
        </is>
      </c>
      <c r="E36" t="inlineStr">
        <is>
          <t>Sustain: keep audit-ready evidence packs and consider ISO/IEC 42001 certification.</t>
        </is>
      </c>
      <c r="F36" t="inlineStr">
        <is>
          <t>Level 4 - Optimised</t>
        </is>
      </c>
    </row>
    <row r="37">
      <c r="A37" t="inlineStr">
        <is>
          <t>Q8</t>
        </is>
      </c>
      <c r="B37" t="inlineStr">
        <is>
          <t>No inventory; AI risks are not assessed</t>
        </is>
      </c>
      <c r="C37" t="n">
        <v>0</v>
      </c>
      <c r="D37" t="inlineStr">
        <is>
          <t>Not met</t>
        </is>
      </c>
      <c r="E37" t="inlineStr">
        <is>
          <t>Build an AI register (discover all AI incl. embedded and shadow AI) and assign business and technical owners.</t>
        </is>
      </c>
      <c r="F37" t="inlineStr">
        <is>
          <t>Level 0 - Not in place</t>
        </is>
      </c>
    </row>
    <row r="38">
      <c r="A38" t="inlineStr">
        <is>
          <t>Q8</t>
        </is>
      </c>
      <c r="B38" t="inlineStr">
        <is>
          <t>Partial list of AI tools; risks assessed occasionally through general IT or vendor processes</t>
        </is>
      </c>
      <c r="C38" t="n">
        <v>0.25</v>
      </c>
      <c r="D38" t="inlineStr">
        <is>
          <t>Minimal</t>
        </is>
      </c>
      <c r="E38" t="inlineStr">
        <is>
          <t>Adopt the GT AI Risk Assessment Framework: prohibited-practice screening and inherent-risk tiering for every AI use case.</t>
        </is>
      </c>
      <c r="F38" t="inlineStr">
        <is>
          <t>Level 1 - Initial / ad hoc</t>
        </is>
      </c>
    </row>
    <row r="39">
      <c r="A39" t="inlineStr">
        <is>
          <t>Q8</t>
        </is>
      </c>
      <c r="B39" t="inlineStr">
        <is>
          <t>AI register with owners; risk assessments performed for some AI systems using a documented method</t>
        </is>
      </c>
      <c r="C39" t="n">
        <v>0.5</v>
      </c>
      <c r="D39" t="inlineStr">
        <is>
          <t>Partially met</t>
        </is>
      </c>
      <c r="E39" t="inlineStr">
        <is>
          <t>Extend assessments to all AI systems and third-party AI; set approval authority by risk tier.</t>
        </is>
      </c>
      <c r="F39" t="inlineStr">
        <is>
          <t>Level 2 - Defined</t>
        </is>
      </c>
    </row>
    <row r="40">
      <c r="A40" t="inlineStr">
        <is>
          <t>Q8</t>
        </is>
      </c>
      <c r="B40" t="inlineStr">
        <is>
          <t>Complete AI register; all AI use cases risk-tiered and assessed (incl. third-party AI) with approvals proportionate to risk</t>
        </is>
      </c>
      <c r="C40" t="n">
        <v>0.75</v>
      </c>
      <c r="D40" t="inlineStr">
        <is>
          <t>Largely met</t>
        </is>
      </c>
      <c r="E40" t="inlineStr">
        <is>
          <t>Introduce ISO/IEC 42005-style impact assessments for High / Critical tiers and quarterly register reconciliation.</t>
        </is>
      </c>
      <c r="F40" t="inlineStr">
        <is>
          <t>Level 3 - Implemented</t>
        </is>
      </c>
    </row>
    <row r="41">
      <c r="A41" t="inlineStr">
        <is>
          <t>Q8</t>
        </is>
      </c>
      <c r="B41" t="inlineStr">
        <is>
          <t>Register reconciled quarterly; impact assessments (ISO/IEC 42005 / FRIA) for high-risk uses; re-assessment on change with KRIs monitored</t>
        </is>
      </c>
      <c r="C41" t="n">
        <v>1</v>
      </c>
      <c r="D41" t="inlineStr">
        <is>
          <t>Fully met</t>
        </is>
      </c>
      <c r="E41" t="inlineStr">
        <is>
          <t>Sustain: automate KRI monitoring and trigger-based re-assessment.</t>
        </is>
      </c>
      <c r="F41" t="inlineStr">
        <is>
          <t>Level 4 - Optimised</t>
        </is>
      </c>
    </row>
    <row r="42">
      <c r="A42" t="inlineStr">
        <is>
          <t>Q9</t>
        </is>
      </c>
      <c r="B42" t="inlineStr">
        <is>
          <t>No responsible-AI guardrails or oversight body</t>
        </is>
      </c>
      <c r="C42" t="n">
        <v>0</v>
      </c>
      <c r="D42" t="inlineStr">
        <is>
          <t>Not met</t>
        </is>
      </c>
      <c r="E42" t="inlineStr">
        <is>
          <t>Establish an AI committee / centre of excellence with a charter and decision rights.</t>
        </is>
      </c>
      <c r="F42" t="inlineStr">
        <is>
          <t>Level 0 - Not in place</t>
        </is>
      </c>
    </row>
    <row r="43">
      <c r="A43" t="inlineStr">
        <is>
          <t>Q9</t>
        </is>
      </c>
      <c r="B43" t="inlineStr">
        <is>
          <t>High-level ethical principles published but not operationalised</t>
        </is>
      </c>
      <c r="C43" t="n">
        <v>0.25</v>
      </c>
      <c r="D43" t="inlineStr">
        <is>
          <t>Minimal</t>
        </is>
      </c>
      <c r="E43" t="inlineStr">
        <is>
          <t>Translate ethical principles (GCC AI Ethics Manual, OECD) into practical guardrails: permitted uses, disclosure, human review, bias checks.</t>
        </is>
      </c>
      <c r="F43" t="inlineStr">
        <is>
          <t>Level 1 - Initial / ad hoc</t>
        </is>
      </c>
    </row>
    <row r="44">
      <c r="A44" t="inlineStr">
        <is>
          <t>Q9</t>
        </is>
      </c>
      <c r="B44" t="inlineStr">
        <is>
          <t>AI committee / CoE established; guardrails defined for some areas (e.g., human review of outputs)</t>
        </is>
      </c>
      <c r="C44" t="n">
        <v>0.5</v>
      </c>
      <c r="D44" t="inlineStr">
        <is>
          <t>Partially met</t>
        </is>
      </c>
      <c r="E44" t="inlineStr">
        <is>
          <t>Apply mandatory human-in-charge controls and AI disclosure to all relevant AI; require committee approval for High / Critical uses.</t>
        </is>
      </c>
      <c r="F44" t="inlineStr">
        <is>
          <t>Level 2 - Defined</t>
        </is>
      </c>
    </row>
    <row r="45">
      <c r="A45" t="inlineStr">
        <is>
          <t>Q9</t>
        </is>
      </c>
      <c r="B45" t="inlineStr">
        <is>
          <t>Guardrails for fairness, transparency, disclosure and human-in-charge controls applied to all relevant AI; committee approves high-risk uses</t>
        </is>
      </c>
      <c r="C45" t="n">
        <v>0.75</v>
      </c>
      <c r="D45" t="inlineStr">
        <is>
          <t>Largely met</t>
        </is>
      </c>
      <c r="E45" t="inlineStr">
        <is>
          <t>Test guardrail effectiveness (bias testing, oversight reviews) and provide contest / appeal routes for affected persons.</t>
        </is>
      </c>
      <c r="F45" t="inlineStr">
        <is>
          <t>Level 3 - Implemented</t>
        </is>
      </c>
    </row>
    <row r="46">
      <c r="A46" t="inlineStr">
        <is>
          <t>Q9</t>
        </is>
      </c>
      <c r="B46" t="inlineStr">
        <is>
          <t>Guardrails tested (bias testing, oversight effectiveness); contestability routes for affected persons; lessons fed back into standards</t>
        </is>
      </c>
      <c r="C46" t="n">
        <v>1</v>
      </c>
      <c r="D46" t="inlineStr">
        <is>
          <t>Fully met</t>
        </is>
      </c>
      <c r="E46" t="inlineStr">
        <is>
          <t>Sustain: publish a responsible-AI statement and report guardrail performance to the board.</t>
        </is>
      </c>
      <c r="F46" t="inlineStr">
        <is>
          <t>Level 4 - Optimised</t>
        </is>
      </c>
    </row>
    <row r="47">
      <c r="A47" t="inlineStr">
        <is>
          <t>Q10</t>
        </is>
      </c>
      <c r="B47" t="inlineStr">
        <is>
          <t>No AI training provided</t>
        </is>
      </c>
      <c r="C47" t="n">
        <v>0</v>
      </c>
      <c r="D47" t="inlineStr">
        <is>
          <t>Not met</t>
        </is>
      </c>
      <c r="E47" t="inlineStr">
        <is>
          <t>Launch baseline AI literacy (safe use, limitations, data handling, verification) for all staff.</t>
        </is>
      </c>
      <c r="F47" t="inlineStr">
        <is>
          <t>Level 0 - Not in place</t>
        </is>
      </c>
    </row>
    <row r="48">
      <c r="A48" t="inlineStr">
        <is>
          <t>Q10</t>
        </is>
      </c>
      <c r="B48" t="inlineStr">
        <is>
          <t>Ad hoc awareness sessions or self-learning only</t>
        </is>
      </c>
      <c r="C48" t="n">
        <v>0.25</v>
      </c>
      <c r="D48" t="inlineStr">
        <is>
          <t>Minimal</t>
        </is>
      </c>
      <c r="E48" t="inlineStr">
        <is>
          <t>Make AI literacy mandatory before AI tool access and track completion.</t>
        </is>
      </c>
      <c r="F48" t="inlineStr">
        <is>
          <t>Level 1 - Initial / ad hoc</t>
        </is>
      </c>
    </row>
    <row r="49">
      <c r="A49" t="inlineStr">
        <is>
          <t>Q10</t>
        </is>
      </c>
      <c r="B49" t="inlineStr">
        <is>
          <t>Baseline AI literacy training available to all staff; limited role-based training</t>
        </is>
      </c>
      <c r="C49" t="n">
        <v>0.5</v>
      </c>
      <c r="D49" t="inlineStr">
        <is>
          <t>Partially met</t>
        </is>
      </c>
      <c r="E49" t="inlineStr">
        <is>
          <t>Add role-based pathways (developers, oversight staff, leaders, risk &amp; audit) and hands-on labs.</t>
        </is>
      </c>
      <c r="F49" t="inlineStr">
        <is>
          <t>Level 2 - Defined</t>
        </is>
      </c>
    </row>
    <row r="50">
      <c r="A50" t="inlineStr">
        <is>
          <t>Q10</t>
        </is>
      </c>
      <c r="B50" t="inlineStr">
        <is>
          <t>Mandatory AI literacy before tool access; role-based pathways for developers, oversight staff and leaders; scenario-based security awareness</t>
        </is>
      </c>
      <c r="C50" t="n">
        <v>0.75</v>
      </c>
      <c r="D50" t="inlineStr">
        <is>
          <t>Largely met</t>
        </is>
      </c>
      <c r="E50" t="inlineStr">
        <is>
          <t>Measure competence, refresh annually, and build an AI champions network and workforce plan.</t>
        </is>
      </c>
      <c r="F50" t="inlineStr">
        <is>
          <t>Level 3 - Implemented</t>
        </is>
      </c>
    </row>
    <row r="51">
      <c r="A51" t="inlineStr">
        <is>
          <t>Q10</t>
        </is>
      </c>
      <c r="B51" t="inlineStr">
        <is>
          <t>Competence measured and refreshed annually; workforce plan addresses future AI skills and job redesign; active AI champions network</t>
        </is>
      </c>
      <c r="C51" t="n">
        <v>1</v>
      </c>
      <c r="D51" t="inlineStr">
        <is>
          <t>Fully met</t>
        </is>
      </c>
      <c r="E51" t="inlineStr">
        <is>
          <t>Sustain: integrate AI capability into performance frameworks and succession planning.</t>
        </is>
      </c>
      <c r="F51" t="inlineStr">
        <is>
          <t>Level 4 - Optimised</t>
        </is>
      </c>
    </row>
    <row r="52">
      <c r="A52" t="inlineStr">
        <is>
          <t>Q11</t>
        </is>
      </c>
      <c r="B52" t="inlineStr">
        <is>
          <t>Data used by AI is not classified or controlled; privacy requirements not considered</t>
        </is>
      </c>
      <c r="C52" t="n">
        <v>0</v>
      </c>
      <c r="D52" t="inlineStr">
        <is>
          <t>Not met</t>
        </is>
      </c>
      <c r="E52" t="inlineStr">
        <is>
          <t>Prohibit confidential / personal data in unapproved AI tools and apply data classification to AI use immediately.</t>
        </is>
      </c>
      <c r="F52" t="inlineStr">
        <is>
          <t>Level 0 - Not in place</t>
        </is>
      </c>
    </row>
    <row r="53">
      <c r="A53" t="inlineStr">
        <is>
          <t>Q11</t>
        </is>
      </c>
      <c r="B53" t="inlineStr">
        <is>
          <t>Data classification policy exists but is not applied to AI; privacy reviewed case by case</t>
        </is>
      </c>
      <c r="C53" t="n">
        <v>0.25</v>
      </c>
      <c r="D53" t="inlineStr">
        <is>
          <t>Minimal</t>
        </is>
      </c>
      <c r="E53" t="inlineStr">
        <is>
          <t>Embed DPIAs for AI processing personal data and enforce classification-based handling rules (DLP).</t>
        </is>
      </c>
      <c r="F53" t="inlineStr">
        <is>
          <t>Level 1 - Initial / ad hoc</t>
        </is>
      </c>
    </row>
    <row r="54">
      <c r="A54" t="inlineStr">
        <is>
          <t>Q11</t>
        </is>
      </c>
      <c r="B54" t="inlineStr">
        <is>
          <t>Classification and handling rules apply to AI; DPIAs performed for some AI using personal data</t>
        </is>
      </c>
      <c r="C54" t="n">
        <v>0.5</v>
      </c>
      <c r="D54" t="inlineStr">
        <is>
          <t>Partially met</t>
        </is>
      </c>
      <c r="E54" t="inlineStr">
        <is>
          <t>Require data-readiness assessments before approving use cases; implement minimisation, anonymisation and prompt redaction.</t>
        </is>
      </c>
      <c r="F54" t="inlineStr">
        <is>
          <t>Level 2 - Defined</t>
        </is>
      </c>
    </row>
    <row r="55">
      <c r="A55" t="inlineStr">
        <is>
          <t>Q11</t>
        </is>
      </c>
      <c r="B55" t="inlineStr">
        <is>
          <t>Data readiness assessed before approval; lineage and quality monitored; minimisation, anonymisation and prompt redaction applied; DPIAs standard</t>
        </is>
      </c>
      <c r="C55" t="n">
        <v>0.75</v>
      </c>
      <c r="D55" t="inlineStr">
        <is>
          <t>Largely met</t>
        </is>
      </c>
      <c r="E55" t="inlineStr">
        <is>
          <t>Automate data-quality and lineage monitoring; operationalise data-subject rights and transfer assessments for AI.</t>
        </is>
      </c>
      <c r="F55" t="inlineStr">
        <is>
          <t>Level 3 - Implemented</t>
        </is>
      </c>
    </row>
    <row r="56">
      <c r="A56" t="inlineStr">
        <is>
          <t>Q11</t>
        </is>
      </c>
      <c r="B56" t="inlineStr">
        <is>
          <t>Automated quality, lineage and privacy controls across AI pipelines; data-subject rights and cross-border transfers handled for AI systems</t>
        </is>
      </c>
      <c r="C56" t="n">
        <v>1</v>
      </c>
      <c r="D56" t="inlineStr">
        <is>
          <t>Fully met</t>
        </is>
      </c>
      <c r="E56" t="inlineStr">
        <is>
          <t>Sustain: continuous data-quality KPIs and periodic privacy audits of AI systems.</t>
        </is>
      </c>
      <c r="F56" t="inlineStr">
        <is>
          <t>Level 4 - Optimised</t>
        </is>
      </c>
    </row>
    <row r="57">
      <c r="A57" t="inlineStr">
        <is>
          <t>Q12</t>
        </is>
      </c>
      <c r="B57" t="inlineStr">
        <is>
          <t>No architectural standards; AI solutions built or bought in isolation</t>
        </is>
      </c>
      <c r="C57" t="n">
        <v>0</v>
      </c>
      <c r="D57" t="inlineStr">
        <is>
          <t>Not met</t>
        </is>
      </c>
      <c r="E57" t="inlineStr">
        <is>
          <t>Define approved AI platforms and a minimum architecture standard (identity, data, logging) for all AI solutions.</t>
        </is>
      </c>
      <c r="F57" t="inlineStr">
        <is>
          <t>Level 0 - Not in place</t>
        </is>
      </c>
    </row>
    <row r="58">
      <c r="A58" t="inlineStr">
        <is>
          <t>Q12</t>
        </is>
      </c>
      <c r="B58" t="inlineStr">
        <is>
          <t>Some technical guidance exists; monitoring limited to availability</t>
        </is>
      </c>
      <c r="C58" t="n">
        <v>0.25</v>
      </c>
      <c r="D58" t="inlineStr">
        <is>
          <t>Minimal</t>
        </is>
      </c>
      <c r="E58" t="inlineStr">
        <is>
          <t>Develop an enterprise AI reference architecture covering data, models, agents, integration and security.</t>
        </is>
      </c>
      <c r="F58" t="inlineStr">
        <is>
          <t>Level 1 - Initial / ad hoc</t>
        </is>
      </c>
    </row>
    <row r="59">
      <c r="A59" t="inlineStr">
        <is>
          <t>Q12</t>
        </is>
      </c>
      <c r="B59" t="inlineStr">
        <is>
          <t>Reference architecture drafted; approved platforms and integration patterns for most AI; basic performance monitoring</t>
        </is>
      </c>
      <c r="C59" t="n">
        <v>0.5</v>
      </c>
      <c r="D59" t="inlineStr">
        <is>
          <t>Partially met</t>
        </is>
      </c>
      <c r="E59" t="inlineStr">
        <is>
          <t>Centralise API / access control for AI, define agent execution authority and implement drift / performance monitoring with thresholds.</t>
        </is>
      </c>
      <c r="F59" t="inlineStr">
        <is>
          <t>Level 2 - Defined</t>
        </is>
      </c>
    </row>
    <row r="60">
      <c r="A60" t="inlineStr">
        <is>
          <t>Q12</t>
        </is>
      </c>
      <c r="B60" t="inlineStr">
        <is>
          <t>Reference architecture adopted (data, models, agents, security); agent actions via a policy-enforcement gateway; performance, drift and bias monitored with thresholds; kill switches; cost governed</t>
        </is>
      </c>
      <c r="C60" t="n">
        <v>0.75</v>
      </c>
      <c r="D60" t="inlineStr">
        <is>
          <t>Largely met</t>
        </is>
      </c>
      <c r="E60" t="inlineStr">
        <is>
          <t>Implement KRI-based observability with automated responses and a governed pathway from citizen development to production.</t>
        </is>
      </c>
      <c r="F60" t="inlineStr">
        <is>
          <t>Level 3 - Implemented</t>
        </is>
      </c>
    </row>
    <row r="61">
      <c r="A61" t="inlineStr">
        <is>
          <t>Q12</t>
        </is>
      </c>
      <c r="B61" t="inlineStr">
        <is>
          <t>Full observability with KRIs and automated responses; governed path from citizen-developed AI to production; platform and vendor dependencies actively managed</t>
        </is>
      </c>
      <c r="C61" t="n">
        <v>1</v>
      </c>
      <c r="D61" t="inlineStr">
        <is>
          <t>Fully met</t>
        </is>
      </c>
      <c r="E61" t="inlineStr">
        <is>
          <t>Sustain: review architecture annually against emerging AI capabilities and vendor landscape.</t>
        </is>
      </c>
      <c r="F61" t="inlineStr">
        <is>
          <t>Level 4 - Optimised</t>
        </is>
      </c>
    </row>
    <row r="62">
      <c r="A62" t="inlineStr">
        <is>
          <t>Q13</t>
        </is>
      </c>
      <c r="B62" t="inlineStr">
        <is>
          <t>AI systems are not specifically considered in security controls</t>
        </is>
      </c>
      <c r="C62" t="n">
        <v>0</v>
      </c>
      <c r="D62" t="inlineStr">
        <is>
          <t>Not met</t>
        </is>
      </c>
      <c r="E62" t="inlineStr">
        <is>
          <t>Perform AI threat modelling (OWASP LLM Top 10) on existing AI systems and close critical exposures.</t>
        </is>
      </c>
      <c r="F62" t="inlineStr">
        <is>
          <t>Level 0 - Not in place</t>
        </is>
      </c>
    </row>
    <row r="63">
      <c r="A63" t="inlineStr">
        <is>
          <t>Q13</t>
        </is>
      </c>
      <c r="B63" t="inlineStr">
        <is>
          <t>Standard IT security controls apply; no AI-specific threat assessment</t>
        </is>
      </c>
      <c r="C63" t="n">
        <v>0.25</v>
      </c>
      <c r="D63" t="inlineStr">
        <is>
          <t>Minimal</t>
        </is>
      </c>
      <c r="E63" t="inlineStr">
        <is>
          <t>Extend secure-development and access-management standards to AI, including non-human (agent) identities.</t>
        </is>
      </c>
      <c r="F63" t="inlineStr">
        <is>
          <t>Level 1 - Initial / ad hoc</t>
        </is>
      </c>
    </row>
    <row r="64">
      <c r="A64" t="inlineStr">
        <is>
          <t>Q13</t>
        </is>
      </c>
      <c r="B64" t="inlineStr">
        <is>
          <t>AI-specific threats (e.g., prompt injection, data leakage) assessed for some systems; access controls and logging in place</t>
        </is>
      </c>
      <c r="C64" t="n">
        <v>0.5</v>
      </c>
      <c r="D64" t="inlineStr">
        <is>
          <t>Partially met</t>
        </is>
      </c>
      <c r="E64" t="inlineStr">
        <is>
          <t>Introduce AI red teaming before release, runtime guardrails (input / output filtering) and audit logging.</t>
        </is>
      </c>
      <c r="F64" t="inlineStr">
        <is>
          <t>Level 2 - Defined</t>
        </is>
      </c>
    </row>
    <row r="65">
      <c r="A65" t="inlineStr">
        <is>
          <t>Q13</t>
        </is>
      </c>
      <c r="B65" t="inlineStr">
        <is>
          <t>Secure AI development lifecycle; least privilege for users, systems and agents; sandboxed tool execution; AI red teaming before release; runtime guardrails and audit logging</t>
        </is>
      </c>
      <c r="C65" t="n">
        <v>0.75</v>
      </c>
      <c r="D65" t="inlineStr">
        <is>
          <t>Largely met</t>
        </is>
      </c>
      <c r="E65" t="inlineStr">
        <is>
          <t>Add AI supply-chain controls (model scanning, AI-BOM) and continuous adversarial testing integrated with the SOC.</t>
        </is>
      </c>
      <c r="F65" t="inlineStr">
        <is>
          <t>Level 3 - Implemented</t>
        </is>
      </c>
    </row>
    <row r="66">
      <c r="A66" t="inlineStr">
        <is>
          <t>Q13</t>
        </is>
      </c>
      <c r="B66" t="inlineStr">
        <is>
          <t>Continuous adversarial testing, AI supply-chain assurance (model scanning, AI-BOM) and forensic-ready logging integrated with the SOC</t>
        </is>
      </c>
      <c r="C66" t="n">
        <v>1</v>
      </c>
      <c r="D66" t="inlineStr">
        <is>
          <t>Fully met</t>
        </is>
      </c>
      <c r="E66" t="inlineStr">
        <is>
          <t>Sustain: track AI security KRIs and re-test after every material model or provider change.</t>
        </is>
      </c>
      <c r="F66" t="inlineStr">
        <is>
          <t>Level 4 - Optimised</t>
        </is>
      </c>
    </row>
    <row r="67">
      <c r="A67" t="inlineStr">
        <is>
          <t>Q14</t>
        </is>
      </c>
      <c r="B67" t="inlineStr">
        <is>
          <t>AI-enabled threats not considered</t>
        </is>
      </c>
      <c r="C67" t="n">
        <v>0</v>
      </c>
      <c r="D67" t="inlineStr">
        <is>
          <t>Not met</t>
        </is>
      </c>
      <c r="E67" t="inlineStr">
        <is>
          <t>Introduce mandatory call-back / out-of-band verification for payments and sensitive requests.</t>
        </is>
      </c>
      <c r="F67" t="inlineStr">
        <is>
          <t>Level 0 - Not in place</t>
        </is>
      </c>
    </row>
    <row r="68">
      <c r="A68" t="inlineStr">
        <is>
          <t>Q14</t>
        </is>
      </c>
      <c r="B68" t="inlineStr">
        <is>
          <t>General awareness only; no specific controls</t>
        </is>
      </c>
      <c r="C68" t="n">
        <v>0.25</v>
      </c>
      <c r="D68" t="inlineStr">
        <is>
          <t>Minimal</t>
        </is>
      </c>
      <c r="E68" t="inlineStr">
        <is>
          <t>Add AI-enabled attack scenarios to threat intelligence, awareness and phishing simulations.</t>
        </is>
      </c>
      <c r="F68" t="inlineStr">
        <is>
          <t>Level 1 - Initial / ad hoc</t>
        </is>
      </c>
    </row>
    <row r="69">
      <c r="A69" t="inlineStr">
        <is>
          <t>Q14</t>
        </is>
      </c>
      <c r="B69" t="inlineStr">
        <is>
          <t>Threat intelligence covers AI-enabled attacks; out-of-band verification for some high-risk requests</t>
        </is>
      </c>
      <c r="C69" t="n">
        <v>0.5</v>
      </c>
      <c r="D69" t="inlineStr">
        <is>
          <t>Partially met</t>
        </is>
      </c>
      <c r="E69" t="inlineStr">
        <is>
          <t>Deploy behaviour-based detection and exercise AI incident playbooks (deepfake fraud, agent compromise).</t>
        </is>
      </c>
      <c r="F69" t="inlineStr">
        <is>
          <t>Level 2 - Defined</t>
        </is>
      </c>
    </row>
    <row r="70">
      <c r="A70" t="inlineStr">
        <is>
          <t>Q14</t>
        </is>
      </c>
      <c r="B70" t="inlineStr">
        <is>
          <t>Deepfake-resilient verification for payments and sensitive requests; behaviour-based detection; AI incident playbooks exercised</t>
        </is>
      </c>
      <c r="C70" t="n">
        <v>0.75</v>
      </c>
      <c r="D70" t="inlineStr">
        <is>
          <t>Largely met</t>
        </is>
      </c>
      <c r="E70" t="inlineStr">
        <is>
          <t>Adopt continuous exposure management and AI-specific red teaming; reduce patch cycles to days.</t>
        </is>
      </c>
      <c r="F70" t="inlineStr">
        <is>
          <t>Level 3 - Implemented</t>
        </is>
      </c>
    </row>
    <row r="71">
      <c r="A71" t="inlineStr">
        <is>
          <t>Q14</t>
        </is>
      </c>
      <c r="B71" t="inlineStr">
        <is>
          <t>Continuous exposure management and AI-specific red teaming; automated response at machine speed; critical vulnerabilities remediated in days</t>
        </is>
      </c>
      <c r="C71" t="n">
        <v>1</v>
      </c>
      <c r="D71" t="inlineStr">
        <is>
          <t>Fully met</t>
        </is>
      </c>
      <c r="E71" t="inlineStr">
        <is>
          <t>Sustain: share AI threat intelligence with sector peers and national CERT.</t>
        </is>
      </c>
      <c r="F71" t="inlineStr">
        <is>
          <t>Level 4 - Optimised</t>
        </is>
      </c>
    </row>
    <row r="72">
      <c r="A72" t="inlineStr">
        <is>
          <t>Q15</t>
        </is>
      </c>
      <c r="B72" t="inlineStr">
        <is>
          <t>No AI incident process or assurance</t>
        </is>
      </c>
      <c r="C72" t="n">
        <v>0</v>
      </c>
      <c r="D72" t="inlineStr">
        <is>
          <t>Not met</t>
        </is>
      </c>
      <c r="E72" t="inlineStr">
        <is>
          <t>Define AI incident categories, severity and escalation within the existing incident process.</t>
        </is>
      </c>
      <c r="F72" t="inlineStr">
        <is>
          <t>Level 0 - Not in place</t>
        </is>
      </c>
    </row>
    <row r="73">
      <c r="A73" t="inlineStr">
        <is>
          <t>Q15</t>
        </is>
      </c>
      <c r="B73" t="inlineStr">
        <is>
          <t>AI issues handled through general IT incident processes; no AI-specific assurance</t>
        </is>
      </c>
      <c r="C73" t="n">
        <v>0.25</v>
      </c>
      <c r="D73" t="inlineStr">
        <is>
          <t>Minimal</t>
        </is>
      </c>
      <c r="E73" t="inlineStr">
        <is>
          <t>Add regulatory notification criteria (PDPL, CBB, EU AI Act Art. 73 where applicable) and AI incident logging.</t>
        </is>
      </c>
      <c r="F73" t="inlineStr">
        <is>
          <t>Level 1 - Initial / ad hoc</t>
        </is>
      </c>
    </row>
    <row r="74">
      <c r="A74" t="inlineStr">
        <is>
          <t>Q15</t>
        </is>
      </c>
      <c r="B74" t="inlineStr">
        <is>
          <t>AI incident categories and escalation defined; ad hoc reviews of AI controls</t>
        </is>
      </c>
      <c r="C74" t="n">
        <v>0.5</v>
      </c>
      <c r="D74" t="inlineStr">
        <is>
          <t>Partially met</t>
        </is>
      </c>
      <c r="E74" t="inlineStr">
        <is>
          <t>Include AI governance in the internal-audit plan and obtain assurance evidence from AI vendors.</t>
        </is>
      </c>
      <c r="F74" t="inlineStr">
        <is>
          <t>Level 2 - Defined</t>
        </is>
      </c>
    </row>
    <row r="75">
      <c r="A75" t="inlineStr">
        <is>
          <t>Q15</t>
        </is>
      </c>
      <c r="B75" t="inlineStr">
        <is>
          <t>AI incident management with regulatory notification criteria; periodic internal audit of AI governance; assurance obtained from AI vendors</t>
        </is>
      </c>
      <c r="C75" t="n">
        <v>0.75</v>
      </c>
      <c r="D75" t="inlineStr">
        <is>
          <t>Largely met</t>
        </is>
      </c>
      <c r="E75" t="inlineStr">
        <is>
          <t>Implement post-incident learning and an ISO/IEC 42001 certification-readiness review.</t>
        </is>
      </c>
      <c r="F75" t="inlineStr">
        <is>
          <t>Level 3 - Implemented</t>
        </is>
      </c>
    </row>
    <row r="76">
      <c r="A76" t="inlineStr">
        <is>
          <t>Q15</t>
        </is>
      </c>
      <c r="B76" t="inlineStr">
        <is>
          <t>Post-incident learning drives improvement; AI management system certified or certification-ready (ISO/IEC 42001); assurance reported to the board</t>
        </is>
      </c>
      <c r="C76" t="n">
        <v>1</v>
      </c>
      <c r="D76" t="inlineStr">
        <is>
          <t>Fully met</t>
        </is>
      </c>
      <c r="E76" t="inlineStr">
        <is>
          <t>Sustain: maintain certification and report AI assurance results to the board annually.</t>
        </is>
      </c>
      <c r="F76" t="inlineStr">
        <is>
          <t>Level 4 - Optimised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104"/>
  <sheetViews>
    <sheetView workbookViewId="0">
      <selection activeCell="A1" sqref="A1"/>
    </sheetView>
  </sheetViews>
  <sheetFormatPr baseColWidth="8" defaultRowHeight="15"/>
  <sheetData>
    <row r="1">
      <c r="A1" t="inlineStr">
        <is>
          <t>Per-question calculations</t>
        </is>
      </c>
    </row>
    <row r="2">
      <c r="A2" t="inlineStr">
        <is>
          <t>QID</t>
        </is>
      </c>
      <c r="B2" t="inlineStr">
        <is>
          <t>Topic</t>
        </is>
      </c>
      <c r="C2" t="inlineStr">
        <is>
          <t>Pillar</t>
        </is>
      </c>
      <c r="D2" t="inlineStr">
        <is>
          <t>Answered</t>
        </is>
      </c>
      <c r="E2" t="inlineStr">
        <is>
          <t>Value</t>
        </is>
      </c>
      <c r="F2" t="inlineStr">
        <is>
          <t>Weight/Mult</t>
        </is>
      </c>
      <c r="G2" t="inlineStr">
        <is>
          <t>Gap</t>
        </is>
      </c>
      <c r="H2" t="inlineStr">
        <is>
          <t>Priority</t>
        </is>
      </c>
      <c r="I2" t="inlineStr">
        <is>
          <t>Horizon</t>
        </is>
      </c>
      <c r="J2" t="inlineStr">
        <is>
          <t>Horizon rank</t>
        </is>
      </c>
      <c r="K2" t="inlineStr">
        <is>
          <t>Sort key</t>
        </is>
      </c>
      <c r="L2" t="inlineStr">
        <is>
          <t>Recommendation</t>
        </is>
      </c>
      <c r="M2" t="inlineStr">
        <is>
          <t>RCM</t>
        </is>
      </c>
      <c r="N2" t="inlineStr">
        <is>
          <t>Type</t>
        </is>
      </c>
      <c r="O2" t="inlineStr">
        <is>
          <t>Response</t>
        </is>
      </c>
      <c r="P2" t="inlineStr">
        <is>
          <t>Status</t>
        </is>
      </c>
      <c r="Q2" t="inlineStr">
        <is>
          <t>Risk</t>
        </is>
      </c>
    </row>
    <row r="3">
      <c r="A3" t="inlineStr">
        <is>
          <t>A1</t>
        </is>
      </c>
      <c r="B3" t="inlineStr">
        <is>
          <t>AI use profile</t>
        </is>
      </c>
      <c r="C3" t="inlineStr">
        <is>
          <t>Context</t>
        </is>
      </c>
      <c r="D3">
        <f>IF('2. Assessment'!L10="",0,1)</f>
        <v/>
      </c>
      <c r="E3">
        <f>IF(D3=0,"",'2. Assessment'!F10)</f>
        <v/>
      </c>
      <c r="O3">
        <f>'2. Assessment'!E10</f>
        <v/>
      </c>
      <c r="P3">
        <f>'2. Assessment'!G10</f>
        <v/>
      </c>
    </row>
    <row r="4">
      <c r="A4" t="inlineStr">
        <is>
          <t>A2</t>
        </is>
      </c>
      <c r="B4" t="inlineStr">
        <is>
          <t>Decision impact</t>
        </is>
      </c>
      <c r="C4" t="inlineStr">
        <is>
          <t>Context</t>
        </is>
      </c>
      <c r="D4">
        <f>IF('2. Assessment'!L11="",0,1)</f>
        <v/>
      </c>
      <c r="E4">
        <f>IF(D4=0,"",'2. Assessment'!F11)</f>
        <v/>
      </c>
      <c r="O4">
        <f>'2. Assessment'!E11</f>
        <v/>
      </c>
      <c r="P4">
        <f>'2. Assessment'!G11</f>
        <v/>
      </c>
    </row>
    <row r="5">
      <c r="A5" t="inlineStr">
        <is>
          <t>A3</t>
        </is>
      </c>
      <c r="B5" t="inlineStr">
        <is>
          <t>Data sensitivity</t>
        </is>
      </c>
      <c r="C5" t="inlineStr">
        <is>
          <t>Context</t>
        </is>
      </c>
      <c r="D5">
        <f>IF('2. Assessment'!L12="",0,1)</f>
        <v/>
      </c>
      <c r="E5">
        <f>IF(D5=0,"",'2. Assessment'!F12)</f>
        <v/>
      </c>
      <c r="O5">
        <f>'2. Assessment'!E12</f>
        <v/>
      </c>
      <c r="P5">
        <f>'2. Assessment'!G12</f>
        <v/>
      </c>
    </row>
    <row r="6">
      <c r="A6" t="inlineStr">
        <is>
          <t>A4</t>
        </is>
      </c>
      <c r="B6" t="inlineStr">
        <is>
          <t>Oversight &amp; reversibility</t>
        </is>
      </c>
      <c r="C6" t="inlineStr">
        <is>
          <t>Context</t>
        </is>
      </c>
      <c r="D6">
        <f>IF('2. Assessment'!L13="",0,1)</f>
        <v/>
      </c>
      <c r="E6">
        <f>IF(D6=0,"",'2. Assessment'!F13)</f>
        <v/>
      </c>
      <c r="O6">
        <f>'2. Assessment'!E13</f>
        <v/>
      </c>
      <c r="P6">
        <f>'2. Assessment'!G13</f>
        <v/>
      </c>
    </row>
    <row r="7">
      <c r="A7" t="inlineStr">
        <is>
          <t>Q5</t>
        </is>
      </c>
      <c r="B7" t="inlineStr">
        <is>
          <t>AI strategy, ownership &amp; risk appetite</t>
        </is>
      </c>
      <c r="C7" t="inlineStr">
        <is>
          <t>Business Alignment</t>
        </is>
      </c>
      <c r="D7">
        <f>IF('2. Assessment'!L15="",0,1)</f>
        <v/>
      </c>
      <c r="E7">
        <f>IF(D7=0,"",'2. Assessment'!F15)</f>
        <v/>
      </c>
      <c r="F7">
        <f>1.0+IF(AND(OR(Calc!$C$32="High",Calc!$C$32="Critical"),OR(A7="Q8",A7="Q9",A7="Q13")),0.5,0)</f>
        <v/>
      </c>
      <c r="G7">
        <f>IF(E7="","",1-E7)</f>
        <v/>
      </c>
      <c r="H7">
        <f>IF(E7="",-1,G7*F7*100+(15-4)/100)</f>
        <v/>
      </c>
      <c r="I7">
        <f>IF(E7="","",IF(E7&lt;=0.25,"Immediate (0-3 months)",IF(AND(E7=0.5,F7&gt;=1.5),"Immediate (0-3 months)",IF(E7&lt;=0.5,"Short term (3-6 months)",IF(E7&lt;=0.75,"Medium term (6-12 months)","Sustain")))))</f>
        <v/>
      </c>
      <c r="J7">
        <f>IF(I7="",0,IF(LEFT(I7,3)="Imm",4,IF(LEFT(I7,3)="Sho",3,IF(LEFT(I7,3)="Med",2,1))))</f>
        <v/>
      </c>
      <c r="K7">
        <f>IF(E7="",-1,J7*1000+H7)</f>
        <v/>
      </c>
      <c r="L7">
        <f>'2. Assessment'!H15</f>
        <v/>
      </c>
      <c r="M7" t="inlineStr">
        <is>
          <t>GL-1, GL-3, RM-6</t>
        </is>
      </c>
      <c r="N7" t="inlineStr">
        <is>
          <t>☆ Recommended</t>
        </is>
      </c>
      <c r="O7">
        <f>'2. Assessment'!E15</f>
        <v/>
      </c>
      <c r="P7">
        <f>'2. Assessment'!G15</f>
        <v/>
      </c>
      <c r="Q7" t="inlineStr">
        <is>
          <t>Lack of executive direction leads to inconsistent AI use, unmanaged risk-taking, poor-quality outputs and fragmented adoption.</t>
        </is>
      </c>
    </row>
    <row r="8">
      <c r="A8" t="inlineStr">
        <is>
          <t>Q6</t>
        </is>
      </c>
      <c r="B8" t="inlineStr">
        <is>
          <t>Use-case portfolio &amp; value realisation</t>
        </is>
      </c>
      <c r="C8" t="inlineStr">
        <is>
          <t>Business Alignment</t>
        </is>
      </c>
      <c r="D8">
        <f>IF('2. Assessment'!L16="",0,1)</f>
        <v/>
      </c>
      <c r="E8">
        <f>IF(D8=0,"",'2. Assessment'!F16)</f>
        <v/>
      </c>
      <c r="F8">
        <f>1.0+IF(AND(OR(Calc!$C$32="High",Calc!$C$32="Critical"),OR(A8="Q8",A8="Q9",A8="Q13")),0.5,0)</f>
        <v/>
      </c>
      <c r="G8">
        <f>IF(E8="","",1-E8)</f>
        <v/>
      </c>
      <c r="H8">
        <f>IF(E8="",-1,G8*F8*100+(15-5)/100)</f>
        <v/>
      </c>
      <c r="I8">
        <f>IF(E8="","",IF(E8&lt;=0.25,"Immediate (0-3 months)",IF(AND(E8=0.5,F8&gt;=1.5),"Immediate (0-3 months)",IF(E8&lt;=0.5,"Short term (3-6 months)",IF(E8&lt;=0.75,"Medium term (6-12 months)","Sustain")))))</f>
        <v/>
      </c>
      <c r="J8">
        <f>IF(I8="",0,IF(LEFT(I8,3)="Imm",4,IF(LEFT(I8,3)="Sho",3,IF(LEFT(I8,3)="Med",2,1))))</f>
        <v/>
      </c>
      <c r="K8">
        <f>IF(E8="",-1,J8*1000+H8)</f>
        <v/>
      </c>
      <c r="L8">
        <f>'2. Assessment'!H16</f>
        <v/>
      </c>
      <c r="M8" t="inlineStr">
        <is>
          <t>GL-6, GL-5</t>
        </is>
      </c>
      <c r="N8" t="inlineStr">
        <is>
          <t>☆ Recommended</t>
        </is>
      </c>
      <c r="O8">
        <f>'2. Assessment'!E16</f>
        <v/>
      </c>
      <c r="P8">
        <f>'2. Assessment'!G16</f>
        <v/>
      </c>
      <c r="Q8" t="inlineStr">
        <is>
          <t>Duplicated or low-value AI investment, shadow AI and inability to demonstrate return on investment.</t>
        </is>
      </c>
    </row>
    <row r="9">
      <c r="A9" t="inlineStr">
        <is>
          <t>Q7</t>
        </is>
      </c>
      <c r="B9" t="inlineStr">
        <is>
          <t>AI policy, acceptable use &amp; regulatory compliance</t>
        </is>
      </c>
      <c r="C9" t="inlineStr">
        <is>
          <t>Governance &amp; Ethics</t>
        </is>
      </c>
      <c r="D9">
        <f>IF('2. Assessment'!L17="",0,1)</f>
        <v/>
      </c>
      <c r="E9">
        <f>IF(D9=0,"",'2. Assessment'!F17)</f>
        <v/>
      </c>
      <c r="F9">
        <f>1.5+IF(AND(OR(Calc!$C$32="High",Calc!$C$32="Critical"),OR(A9="Q8",A9="Q9",A9="Q13")),0.5,0)</f>
        <v/>
      </c>
      <c r="G9">
        <f>IF(E9="","",1-E9)</f>
        <v/>
      </c>
      <c r="H9">
        <f>IF(E9="",-1,G9*F9*100+(15-6)/100)</f>
        <v/>
      </c>
      <c r="I9">
        <f>IF(E9="","",IF(E9&lt;=0.25,"Immediate (0-3 months)",IF(AND(E9=0.5,F9&gt;=1.5),"Immediate (0-3 months)",IF(E9&lt;=0.5,"Short term (3-6 months)",IF(E9&lt;=0.75,"Medium term (6-12 months)","Sustain")))))</f>
        <v/>
      </c>
      <c r="J9">
        <f>IF(I9="",0,IF(LEFT(I9,3)="Imm",4,IF(LEFT(I9,3)="Sho",3,IF(LEFT(I9,3)="Med",2,1))))</f>
        <v/>
      </c>
      <c r="K9">
        <f>IF(E9="",-1,J9*1000+H9)</f>
        <v/>
      </c>
      <c r="L9">
        <f>'2. Assessment'!H17</f>
        <v/>
      </c>
      <c r="M9" t="inlineStr">
        <is>
          <t>GL-5, RO-1, RO-5</t>
        </is>
      </c>
      <c r="N9" t="inlineStr">
        <is>
          <t>⟳ Compliance Obligation</t>
        </is>
      </c>
      <c r="O9">
        <f>'2. Assessment'!E17</f>
        <v/>
      </c>
      <c r="P9">
        <f>'2. Assessment'!G17</f>
        <v/>
      </c>
      <c r="Q9" t="inlineStr">
        <is>
          <t>Misuse of AI, data leakage and breach of legal or regulatory requirements, with exposure to penalties, licence conditions and reputational harm.</t>
        </is>
      </c>
    </row>
    <row r="10">
      <c r="A10" t="inlineStr">
        <is>
          <t>Q8</t>
        </is>
      </c>
      <c r="B10" t="inlineStr">
        <is>
          <t>AI inventory &amp; risk / impact assessment</t>
        </is>
      </c>
      <c r="C10" t="inlineStr">
        <is>
          <t>Governance &amp; Ethics</t>
        </is>
      </c>
      <c r="D10">
        <f>IF('2. Assessment'!L18="",0,1)</f>
        <v/>
      </c>
      <c r="E10">
        <f>IF(D10=0,"",'2. Assessment'!F18)</f>
        <v/>
      </c>
      <c r="F10">
        <f>1.5+IF(AND(OR(Calc!$C$32="High",Calc!$C$32="Critical"),OR(A10="Q8",A10="Q9",A10="Q13")),0.5,0)</f>
        <v/>
      </c>
      <c r="G10">
        <f>IF(E10="","",1-E10)</f>
        <v/>
      </c>
      <c r="H10">
        <f>IF(E10="",-1,G10*F10*100+(15-7)/100)</f>
        <v/>
      </c>
      <c r="I10">
        <f>IF(E10="","",IF(E10&lt;=0.25,"Immediate (0-3 months)",IF(AND(E10=0.5,F10&gt;=1.5),"Immediate (0-3 months)",IF(E10&lt;=0.5,"Short term (3-6 months)",IF(E10&lt;=0.75,"Medium term (6-12 months)","Sustain")))))</f>
        <v/>
      </c>
      <c r="J10">
        <f>IF(I10="",0,IF(LEFT(I10,3)="Imm",4,IF(LEFT(I10,3)="Sho",3,IF(LEFT(I10,3)="Med",2,1))))</f>
        <v/>
      </c>
      <c r="K10">
        <f>IF(E10="",-1,J10*1000+H10)</f>
        <v/>
      </c>
      <c r="L10">
        <f>'2. Assessment'!H18</f>
        <v/>
      </c>
      <c r="M10" t="inlineStr">
        <is>
          <t>GL-8, RM-2, RM-5, TP-2</t>
        </is>
      </c>
      <c r="N10" t="inlineStr">
        <is>
          <t>⚠ Mandatory Requirement</t>
        </is>
      </c>
      <c r="O10">
        <f>'2. Assessment'!E18</f>
        <v/>
      </c>
      <c r="P10">
        <f>'2. Assessment'!G18</f>
        <v/>
      </c>
      <c r="Q10" t="inlineStr">
        <is>
          <t>Deployment of vulnerable, non-compliant or harmful AI systems and unknown AI exposure across the organisation and its supply chain.</t>
        </is>
      </c>
    </row>
    <row r="11">
      <c r="A11" t="inlineStr">
        <is>
          <t>Q9</t>
        </is>
      </c>
      <c r="B11" t="inlineStr">
        <is>
          <t>Responsible-AI guardrails &amp; human oversight</t>
        </is>
      </c>
      <c r="C11" t="inlineStr">
        <is>
          <t>Governance &amp; Ethics</t>
        </is>
      </c>
      <c r="D11">
        <f>IF('2. Assessment'!L19="",0,1)</f>
        <v/>
      </c>
      <c r="E11">
        <f>IF(D11=0,"",'2. Assessment'!F19)</f>
        <v/>
      </c>
      <c r="F11">
        <f>1.0+IF(AND(OR(Calc!$C$32="High",Calc!$C$32="Critical"),OR(A11="Q8",A11="Q9",A11="Q13")),0.5,0)</f>
        <v/>
      </c>
      <c r="G11">
        <f>IF(E11="","",1-E11)</f>
        <v/>
      </c>
      <c r="H11">
        <f>IF(E11="",-1,G11*F11*100+(15-8)/100)</f>
        <v/>
      </c>
      <c r="I11">
        <f>IF(E11="","",IF(E11&lt;=0.25,"Immediate (0-3 months)",IF(AND(E11=0.5,F11&gt;=1.5),"Immediate (0-3 months)",IF(E11&lt;=0.5,"Short term (3-6 months)",IF(E11&lt;=0.75,"Medium term (6-12 months)","Sustain")))))</f>
        <v/>
      </c>
      <c r="J11">
        <f>IF(I11="",0,IF(LEFT(I11,3)="Imm",4,IF(LEFT(I11,3)="Sho",3,IF(LEFT(I11,3)="Med",2,1))))</f>
        <v/>
      </c>
      <c r="K11">
        <f>IF(E11="",-1,J11*1000+H11)</f>
        <v/>
      </c>
      <c r="L11">
        <f>'2. Assessment'!H19</f>
        <v/>
      </c>
      <c r="M11" t="inlineStr">
        <is>
          <t>GL-7, RS-1, RS-4, RS-5, CO-1, CO-3</t>
        </is>
      </c>
      <c r="N11" t="inlineStr">
        <is>
          <t>⚖ Ethical Consideration</t>
        </is>
      </c>
      <c r="O11">
        <f>'2. Assessment'!E19</f>
        <v/>
      </c>
      <c r="P11">
        <f>'2. Assessment'!G19</f>
        <v/>
      </c>
      <c r="Q11" t="inlineStr">
        <is>
          <t>Biased or harmful outcomes, undisclosed AI use and lack of accountability for AI-supported decisions.</t>
        </is>
      </c>
    </row>
    <row r="12">
      <c r="A12" t="inlineStr">
        <is>
          <t>Q10</t>
        </is>
      </c>
      <c r="B12" t="inlineStr">
        <is>
          <t>AI literacy &amp; capability</t>
        </is>
      </c>
      <c r="C12" t="inlineStr">
        <is>
          <t>Training &amp; Development</t>
        </is>
      </c>
      <c r="D12">
        <f>IF('2. Assessment'!L20="",0,1)</f>
        <v/>
      </c>
      <c r="E12">
        <f>IF(D12=0,"",'2. Assessment'!F20)</f>
        <v/>
      </c>
      <c r="F12">
        <f>1.5+IF(AND(OR(Calc!$C$32="High",Calc!$C$32="Critical"),OR(A12="Q8",A12="Q9",A12="Q13")),0.5,0)</f>
        <v/>
      </c>
      <c r="G12">
        <f>IF(E12="","",1-E12)</f>
        <v/>
      </c>
      <c r="H12">
        <f>IF(E12="",-1,G12*F12*100+(15-9)/100)</f>
        <v/>
      </c>
      <c r="I12">
        <f>IF(E12="","",IF(E12&lt;=0.25,"Immediate (0-3 months)",IF(AND(E12=0.5,F12&gt;=1.5),"Immediate (0-3 months)",IF(E12&lt;=0.5,"Short term (3-6 months)",IF(E12&lt;=0.75,"Medium term (6-12 months)","Sustain")))))</f>
        <v/>
      </c>
      <c r="J12">
        <f>IF(I12="",0,IF(LEFT(I12,3)="Imm",4,IF(LEFT(I12,3)="Sho",3,IF(LEFT(I12,3)="Med",2,1))))</f>
        <v/>
      </c>
      <c r="K12">
        <f>IF(E12="",-1,J12*1000+H12)</f>
        <v/>
      </c>
      <c r="L12">
        <f>'2. Assessment'!H20</f>
        <v/>
      </c>
      <c r="M12" t="inlineStr">
        <is>
          <t>GL-4, RS-9</t>
        </is>
      </c>
      <c r="N12" t="inlineStr">
        <is>
          <t>⟳ Compliance Obligation</t>
        </is>
      </c>
      <c r="O12">
        <f>'2. Assessment'!E20</f>
        <v/>
      </c>
      <c r="P12">
        <f>'2. Assessment'!G20</f>
        <v/>
      </c>
      <c r="Q12" t="inlineStr">
        <is>
          <t>Unsafe use, susceptibility to AI-enabled threats and poor adoption; non-compliance with the EU AI Act Art. 4 AI-literacy duty where applicable.</t>
        </is>
      </c>
    </row>
    <row r="13">
      <c r="A13" t="inlineStr">
        <is>
          <t>Q11</t>
        </is>
      </c>
      <c r="B13" t="inlineStr">
        <is>
          <t>Data governance, quality &amp; privacy for AI</t>
        </is>
      </c>
      <c r="C13" t="inlineStr">
        <is>
          <t>Data &amp; Quality</t>
        </is>
      </c>
      <c r="D13">
        <f>IF('2. Assessment'!L21="",0,1)</f>
        <v/>
      </c>
      <c r="E13">
        <f>IF(D13=0,"",'2. Assessment'!F21)</f>
        <v/>
      </c>
      <c r="F13">
        <f>1.5+IF(AND(OR(Calc!$C$32="High",Calc!$C$32="Critical"),OR(A13="Q8",A13="Q9",A13="Q13")),0.5,0)</f>
        <v/>
      </c>
      <c r="G13">
        <f>IF(E13="","",1-E13)</f>
        <v/>
      </c>
      <c r="H13">
        <f>IF(E13="",-1,G13*F13*100+(15-10)/100)</f>
        <v/>
      </c>
      <c r="I13">
        <f>IF(E13="","",IF(E13&lt;=0.25,"Immediate (0-3 months)",IF(AND(E13=0.5,F13&gt;=1.5),"Immediate (0-3 months)",IF(E13&lt;=0.5,"Short term (3-6 months)",IF(E13&lt;=0.75,"Medium term (6-12 months)","Sustain")))))</f>
        <v/>
      </c>
      <c r="J13">
        <f>IF(I13="",0,IF(LEFT(I13,3)="Imm",4,IF(LEFT(I13,3)="Sho",3,IF(LEFT(I13,3)="Med",2,1))))</f>
        <v/>
      </c>
      <c r="K13">
        <f>IF(E13="",-1,J13*1000+H13)</f>
        <v/>
      </c>
      <c r="L13">
        <f>'2. Assessment'!H21</f>
        <v/>
      </c>
      <c r="M13" t="inlineStr">
        <is>
          <t>LC-1, SE-4, PR-1, PR-4, PR-5, PR-6</t>
        </is>
      </c>
      <c r="N13" t="inlineStr">
        <is>
          <t>⟳ Compliance Obligation</t>
        </is>
      </c>
      <c r="O13">
        <f>'2. Assessment'!E21</f>
        <v/>
      </c>
      <c r="P13">
        <f>'2. Assessment'!G21</f>
        <v/>
      </c>
      <c r="Q13" t="inlineStr">
        <is>
          <t>Data breaches, PDPL non-compliance, and biased or inaccurate outputs from poor-quality or unsuitable data.</t>
        </is>
      </c>
    </row>
    <row r="14">
      <c r="A14" t="inlineStr">
        <is>
          <t>Q12</t>
        </is>
      </c>
      <c r="B14" t="inlineStr">
        <is>
          <t>AI architecture, integration &amp; monitoring</t>
        </is>
      </c>
      <c r="C14" t="inlineStr">
        <is>
          <t>Architecture &amp; Technology</t>
        </is>
      </c>
      <c r="D14">
        <f>IF('2. Assessment'!L22="",0,1)</f>
        <v/>
      </c>
      <c r="E14">
        <f>IF(D14=0,"",'2. Assessment'!F22)</f>
        <v/>
      </c>
      <c r="F14">
        <f>1.0+IF(AND(OR(Calc!$C$32="High",Calc!$C$32="Critical"),OR(A14="Q8",A14="Q9",A14="Q13")),0.5,0)</f>
        <v/>
      </c>
      <c r="G14">
        <f>IF(E14="","",1-E14)</f>
        <v/>
      </c>
      <c r="H14">
        <f>IF(E14="",-1,G14*F14*100+(15-11)/100)</f>
        <v/>
      </c>
      <c r="I14">
        <f>IF(E14="","",IF(E14&lt;=0.25,"Immediate (0-3 months)",IF(AND(E14=0.5,F14&gt;=1.5),"Immediate (0-3 months)",IF(E14&lt;=0.5,"Short term (3-6 months)",IF(E14&lt;=0.75,"Medium term (6-12 months)","Sustain")))))</f>
        <v/>
      </c>
      <c r="J14">
        <f>IF(I14="",0,IF(LEFT(I14,3)="Imm",4,IF(LEFT(I14,3)="Sho",3,IF(LEFT(I14,3)="Med",2,1))))</f>
        <v/>
      </c>
      <c r="K14">
        <f>IF(E14="",-1,J14*1000+H14)</f>
        <v/>
      </c>
      <c r="L14">
        <f>'2. Assessment'!H22</f>
        <v/>
      </c>
      <c r="M14" t="inlineStr">
        <is>
          <t>LC-2, LC-3, LC-8, LC-12, OM-1, OM-4, RM-6</t>
        </is>
      </c>
      <c r="N14" t="inlineStr">
        <is>
          <t>☆ Recommended</t>
        </is>
      </c>
      <c r="O14">
        <f>'2. Assessment'!E22</f>
        <v/>
      </c>
      <c r="P14">
        <f>'2. Assessment'!G22</f>
        <v/>
      </c>
      <c r="Q14" t="inlineStr">
        <is>
          <t>Inconsistent and insecure implementations, undetected model drift or failure, excessive agent privileges and unsustainable AI costs.</t>
        </is>
      </c>
    </row>
    <row r="15">
      <c r="A15" t="inlineStr">
        <is>
          <t>Q13</t>
        </is>
      </c>
      <c r="B15" t="inlineStr">
        <is>
          <t>Securing AI systems</t>
        </is>
      </c>
      <c r="C15" t="inlineStr">
        <is>
          <t>Protect AI Systems</t>
        </is>
      </c>
      <c r="D15">
        <f>IF('2. Assessment'!L23="",0,1)</f>
        <v/>
      </c>
      <c r="E15">
        <f>IF(D15=0,"",'2. Assessment'!F23)</f>
        <v/>
      </c>
      <c r="F15">
        <f>1.5+IF(AND(OR(Calc!$C$32="High",Calc!$C$32="Critical"),OR(A15="Q8",A15="Q9",A15="Q13")),0.5,0)</f>
        <v/>
      </c>
      <c r="G15">
        <f>IF(E15="","",1-E15)</f>
        <v/>
      </c>
      <c r="H15">
        <f>IF(E15="",-1,G15*F15*100+(15-12)/100)</f>
        <v/>
      </c>
      <c r="I15">
        <f>IF(E15="","",IF(E15&lt;=0.25,"Immediate (0-3 months)",IF(AND(E15=0.5,F15&gt;=1.5),"Immediate (0-3 months)",IF(E15&lt;=0.5,"Short term (3-6 months)",IF(E15&lt;=0.75,"Medium term (6-12 months)","Sustain")))))</f>
        <v/>
      </c>
      <c r="J15">
        <f>IF(I15="",0,IF(LEFT(I15,3)="Imm",4,IF(LEFT(I15,3)="Sho",3,IF(LEFT(I15,3)="Med",2,1))))</f>
        <v/>
      </c>
      <c r="K15">
        <f>IF(E15="",-1,J15*1000+H15)</f>
        <v/>
      </c>
      <c r="L15">
        <f>'2. Assessment'!H23</f>
        <v/>
      </c>
      <c r="M15" t="inlineStr">
        <is>
          <t>SE-2, SE-3, SE-6 to SE-10, OM-2, AA-3</t>
        </is>
      </c>
      <c r="N15" t="inlineStr">
        <is>
          <t>⚠ Mandatory Requirement</t>
        </is>
      </c>
      <c r="O15">
        <f>'2. Assessment'!E23</f>
        <v/>
      </c>
      <c r="P15">
        <f>'2. Assessment'!G23</f>
        <v/>
      </c>
      <c r="Q15" t="inlineStr">
        <is>
          <t>Unauthorised access, model compromise, data exfiltration through AI and undetected misuse.</t>
        </is>
      </c>
    </row>
    <row r="16">
      <c r="A16" t="inlineStr">
        <is>
          <t>Q14</t>
        </is>
      </c>
      <c r="B16" t="inlineStr">
        <is>
          <t>Defending against AI-enabled threats</t>
        </is>
      </c>
      <c r="C16" t="inlineStr">
        <is>
          <t>Protection from AI Threats</t>
        </is>
      </c>
      <c r="D16">
        <f>IF('2. Assessment'!L24="",0,1)</f>
        <v/>
      </c>
      <c r="E16">
        <f>IF(D16=0,"",'2. Assessment'!F24)</f>
        <v/>
      </c>
      <c r="F16">
        <f>1.0+IF(AND(OR(Calc!$C$32="High",Calc!$C$32="Critical"),OR(A16="Q8",A16="Q9",A16="Q13")),0.5,0)</f>
        <v/>
      </c>
      <c r="G16">
        <f>IF(E16="","",1-E16)</f>
        <v/>
      </c>
      <c r="H16">
        <f>IF(E16="",-1,G16*F16*100+(15-13)/100)</f>
        <v/>
      </c>
      <c r="I16">
        <f>IF(E16="","",IF(E16&lt;=0.25,"Immediate (0-3 months)",IF(AND(E16=0.5,F16&gt;=1.5),"Immediate (0-3 months)",IF(E16&lt;=0.5,"Short term (3-6 months)",IF(E16&lt;=0.75,"Medium term (6-12 months)","Sustain")))))</f>
        <v/>
      </c>
      <c r="J16">
        <f>IF(I16="",0,IF(LEFT(I16,3)="Imm",4,IF(LEFT(I16,3)="Sho",3,IF(LEFT(I16,3)="Med",2,1))))</f>
        <v/>
      </c>
      <c r="K16">
        <f>IF(E16="",-1,J16*1000+H16)</f>
        <v/>
      </c>
      <c r="L16">
        <f>'2. Assessment'!H24</f>
        <v/>
      </c>
      <c r="M16" t="inlineStr">
        <is>
          <t>AT-1, AT-2, AT-3, AT-4</t>
        </is>
      </c>
      <c r="N16" t="inlineStr">
        <is>
          <t>☆ Recommended</t>
        </is>
      </c>
      <c r="O16">
        <f>'2. Assessment'!E24</f>
        <v/>
      </c>
      <c r="P16">
        <f>'2. Assessment'!G24</f>
        <v/>
      </c>
      <c r="Q16" t="inlineStr">
        <is>
          <t>Deepfake-enabled fraud, account compromise and faster, more scalable attacks that outpace defences.</t>
        </is>
      </c>
    </row>
    <row r="17">
      <c r="A17" t="inlineStr">
        <is>
          <t>Q15</t>
        </is>
      </c>
      <c r="B17" t="inlineStr">
        <is>
          <t>AI incidents, monitoring &amp; assurance</t>
        </is>
      </c>
      <c r="C17" t="inlineStr">
        <is>
          <t>Governance &amp; Ethics</t>
        </is>
      </c>
      <c r="D17">
        <f>IF('2. Assessment'!L25="",0,1)</f>
        <v/>
      </c>
      <c r="E17">
        <f>IF(D17=0,"",'2. Assessment'!F25)</f>
        <v/>
      </c>
      <c r="F17">
        <f>1.5+IF(AND(OR(Calc!$C$32="High",Calc!$C$32="Critical"),OR(A17="Q8",A17="Q9",A17="Q13")),0.5,0)</f>
        <v/>
      </c>
      <c r="G17">
        <f>IF(E17="","",1-E17)</f>
        <v/>
      </c>
      <c r="H17">
        <f>IF(E17="",-1,G17*F17*100+(15-14)/100)</f>
        <v/>
      </c>
      <c r="I17">
        <f>IF(E17="","",IF(E17&lt;=0.25,"Immediate (0-3 months)",IF(AND(E17=0.5,F17&gt;=1.5),"Immediate (0-3 months)",IF(E17&lt;=0.5,"Short term (3-6 months)",IF(E17&lt;=0.75,"Medium term (6-12 months)","Sustain")))))</f>
        <v/>
      </c>
      <c r="J17">
        <f>IF(I17="",0,IF(LEFT(I17,3)="Imm",4,IF(LEFT(I17,3)="Sho",3,IF(LEFT(I17,3)="Med",2,1))))</f>
        <v/>
      </c>
      <c r="K17">
        <f>IF(E17="",-1,J17*1000+H17)</f>
        <v/>
      </c>
      <c r="L17">
        <f>'2. Assessment'!H25</f>
        <v/>
      </c>
      <c r="M17" t="inlineStr">
        <is>
          <t>IM-1, IM-2, IM-3, AA-1, AA-2, RO-4</t>
        </is>
      </c>
      <c r="N17" t="inlineStr">
        <is>
          <t>⟳ Compliance Obligation</t>
        </is>
      </c>
      <c r="O17">
        <f>'2. Assessment'!E25</f>
        <v/>
      </c>
      <c r="P17">
        <f>'2. Assessment'!G25</f>
        <v/>
      </c>
      <c r="Q17" t="inlineStr">
        <is>
          <t>Delayed response to AI failures, missed regulatory notifications and lack of defensible evidence for regulators, auditors and clients.</t>
        </is>
      </c>
    </row>
    <row r="20">
      <c r="A20" t="inlineStr">
        <is>
          <t>Answered</t>
        </is>
      </c>
      <c r="B20">
        <f>SUM(D3:D17)</f>
        <v/>
      </c>
    </row>
    <row r="21">
      <c r="A21" t="inlineStr">
        <is>
          <t>Complete</t>
        </is>
      </c>
      <c r="B21">
        <f>IF(B20=15,1,0)</f>
        <v/>
      </c>
    </row>
    <row r="25">
      <c r="A25" t="inlineStr">
        <is>
          <t>Inherent risk</t>
        </is>
      </c>
    </row>
    <row r="26">
      <c r="A26" t="inlineStr">
        <is>
          <t>A1</t>
        </is>
      </c>
      <c r="B26">
        <f>IF(E3="","",E3)</f>
        <v/>
      </c>
      <c r="C26" t="n">
        <v>2</v>
      </c>
    </row>
    <row r="27">
      <c r="A27" t="inlineStr">
        <is>
          <t>A2</t>
        </is>
      </c>
      <c r="B27">
        <f>IF(E4="","",E4)</f>
        <v/>
      </c>
      <c r="C27" t="n">
        <v>3</v>
      </c>
    </row>
    <row r="28">
      <c r="A28" t="inlineStr">
        <is>
          <t>A3</t>
        </is>
      </c>
      <c r="B28">
        <f>IF(E5="","",E5)</f>
        <v/>
      </c>
      <c r="C28" t="n">
        <v>2</v>
      </c>
    </row>
    <row r="29">
      <c r="A29" t="inlineStr">
        <is>
          <t>A4</t>
        </is>
      </c>
      <c r="B29">
        <f>IF(E6="","",E6)</f>
        <v/>
      </c>
      <c r="C29" t="n">
        <v>3</v>
      </c>
    </row>
    <row r="30">
      <c r="A30" t="inlineStr">
        <is>
          <t>Inherent %</t>
        </is>
      </c>
      <c r="C30">
        <f>IF(COUNT(B26:B29)&lt;4,"",SUMPRODUCT(B26:B29,C26:C29)/(4*SUM(C26:C29)))</f>
        <v/>
      </c>
    </row>
    <row r="31">
      <c r="A31" t="inlineStr">
        <is>
          <t>Score tier</t>
        </is>
      </c>
      <c r="C31">
        <f>IF(C30="","",IF(C30&gt;=0.75,"Critical",IF(C30&gt;=0.5,"High",IF(C30&gt;=0.25,"Medium","Low"))))</f>
        <v/>
      </c>
    </row>
    <row r="32">
      <c r="A32" t="inlineStr">
        <is>
          <t>Final tier</t>
        </is>
      </c>
      <c r="C32">
        <f>IF(C31="","",IF(AND(B27=4,B29&gt;=3),"Critical",IF(AND(B27=4,OR(C31="Low",C31="Medium")),"High",IF(AND(B28=4,C31="Low"),"Medium",C31))))</f>
        <v/>
      </c>
    </row>
    <row r="33">
      <c r="A33" t="inlineStr">
        <is>
          <t>Override note</t>
        </is>
      </c>
      <c r="C33">
        <f>IF(C31="","",IF(AND(B27=4,B29&gt;=3),"Override: significant-effect decisions with limited oversight -&gt; Critical",IF(AND(B27=4,OR(C31="Low",C31="Medium")),"Override: significant-effect decisions -&gt; minimum High",IF(AND(B28=4,C31="Low"),"Override: sensitive data -&gt; minimum Medium","No override applied"))))</f>
        <v/>
      </c>
    </row>
    <row r="36">
      <c r="A36" t="inlineStr">
        <is>
          <t>Pillar</t>
        </is>
      </c>
      <c r="B36" t="inlineStr">
        <is>
          <t>Score</t>
        </is>
      </c>
      <c r="C36" t="inlineStr">
        <is>
          <t>Maturity</t>
        </is>
      </c>
      <c r="D36" t="inlineStr">
        <is>
          <t>Target</t>
        </is>
      </c>
      <c r="E36" t="inlineStr">
        <is>
          <t>Risk statement</t>
        </is>
      </c>
      <c r="F36" t="inlineStr">
        <is>
          <t>Service</t>
        </is>
      </c>
      <c r="G36" t="inlineStr">
        <is>
          <t>Service priority</t>
        </is>
      </c>
      <c r="H36" t="inlineStr">
        <is>
          <t>Label</t>
        </is>
      </c>
    </row>
    <row r="37">
      <c r="A37" t="inlineStr">
        <is>
          <t>Business Alignment</t>
        </is>
      </c>
      <c r="B37">
        <f>IFERROR(AVERAGEIF($C$7:$C$17,A37,$E$7:$E$17),"")</f>
        <v/>
      </c>
      <c r="C37">
        <f>IF(B37="","",IF(B37&gt;=0.9,"Adaptive",IF(B37&gt;=0.7,"Repeatable",IF(B37&gt;=0.5,"Informed","Partial"))))</f>
        <v/>
      </c>
      <c r="D37" t="n">
        <v>0.7</v>
      </c>
      <c r="E37" t="inlineStr">
        <is>
          <t>Poor AI direction leads to inconsistent use, unmanaged risk, duplication and weak accountability, slowing adoption and reducing trust.</t>
        </is>
      </c>
      <c r="H37" t="inlineStr">
        <is>
          <t>Business</t>
        </is>
      </c>
      <c r="I37">
        <f>IF(B37="",0,B37*100)</f>
        <v/>
      </c>
      <c r="J37" t="n">
        <v>70</v>
      </c>
    </row>
    <row r="38">
      <c r="A38" t="inlineStr">
        <is>
          <t>Governance &amp; Ethics</t>
        </is>
      </c>
      <c r="B38">
        <f>IFERROR(AVERAGEIF($C$7:$C$17,A38,$E$7:$E$17),"")</f>
        <v/>
      </c>
      <c r="C38">
        <f>IF(B38="","",IF(B38&gt;=0.9,"Adaptive",IF(B38&gt;=0.7,"Repeatable",IF(B38&gt;=0.5,"Informed","Partial"))))</f>
        <v/>
      </c>
      <c r="D38" t="n">
        <v>0.7</v>
      </c>
      <c r="E38" t="inlineStr">
        <is>
          <t>Weak AI governance (policies, guardrails, risk assessment, ownership) increases misuse, compliance breaches and uncontrolled AI sprawl.</t>
        </is>
      </c>
      <c r="H38" t="inlineStr">
        <is>
          <t>Governance</t>
        </is>
      </c>
      <c r="I38">
        <f>IF(B38="",0,B38*100)</f>
        <v/>
      </c>
      <c r="J38" t="n">
        <v>70</v>
      </c>
    </row>
    <row r="39">
      <c r="A39" t="inlineStr">
        <is>
          <t>Training &amp; Development</t>
        </is>
      </c>
      <c r="B39">
        <f>IFERROR(AVERAGEIF($C$7:$C$17,A39,$E$7:$E$17),"")</f>
        <v/>
      </c>
      <c r="C39">
        <f>IF(B39="","",IF(B39&gt;=0.9,"Adaptive",IF(B39&gt;=0.7,"Repeatable",IF(B39&gt;=0.5,"Informed","Partial"))))</f>
        <v/>
      </c>
      <c r="D39" t="n">
        <v>0.7</v>
      </c>
      <c r="E39" t="inlineStr">
        <is>
          <t>Low AI literacy and skills increase unsafe use, susceptibility to AI-enabled threats, biased outcomes and limit effective adoption.</t>
        </is>
      </c>
      <c r="H39" t="inlineStr">
        <is>
          <t>Training</t>
        </is>
      </c>
      <c r="I39">
        <f>IF(B39="",0,B39*100)</f>
        <v/>
      </c>
      <c r="J39" t="n">
        <v>70</v>
      </c>
    </row>
    <row r="40">
      <c r="A40" t="inlineStr">
        <is>
          <t>Data &amp; Quality</t>
        </is>
      </c>
      <c r="B40">
        <f>IFERROR(AVERAGEIF($C$7:$C$17,A40,$E$7:$E$17),"")</f>
        <v/>
      </c>
      <c r="C40">
        <f>IF(B40="","",IF(B40&gt;=0.9,"Adaptive",IF(B40&gt;=0.7,"Repeatable",IF(B40&gt;=0.5,"Informed","Partial"))))</f>
        <v/>
      </c>
      <c r="D40" t="n">
        <v>0.7</v>
      </c>
      <c r="E40" t="inlineStr">
        <is>
          <t>Weak data governance and oversight increase the risk of breaches, bias, data misuse, lack of transparency and non-compliance.</t>
        </is>
      </c>
      <c r="H40" t="inlineStr">
        <is>
          <t>Data</t>
        </is>
      </c>
      <c r="I40">
        <f>IF(B40="",0,B40*100)</f>
        <v/>
      </c>
      <c r="J40" t="n">
        <v>70</v>
      </c>
    </row>
    <row r="41">
      <c r="A41" t="inlineStr">
        <is>
          <t>Architecture &amp; Technology</t>
        </is>
      </c>
      <c r="B41">
        <f>IFERROR(AVERAGEIF($C$7:$C$17,A41,$E$7:$E$17),"")</f>
        <v/>
      </c>
      <c r="C41">
        <f>IF(B41="","",IF(B41&gt;=0.9,"Adaptive",IF(B41&gt;=0.7,"Repeatable",IF(B41&gt;=0.5,"Informed","Partial"))))</f>
        <v/>
      </c>
      <c r="D41" t="n">
        <v>0.7</v>
      </c>
      <c r="E41" t="inlineStr">
        <is>
          <t>Weak AI architecture and controls increase security gaps, integration risk, undetected failures and unsustainable costs.</t>
        </is>
      </c>
      <c r="H41" t="inlineStr">
        <is>
          <t>Architecture</t>
        </is>
      </c>
      <c r="I41">
        <f>IF(B41="",0,B41*100)</f>
        <v/>
      </c>
      <c r="J41" t="n">
        <v>70</v>
      </c>
    </row>
    <row r="42">
      <c r="A42" t="inlineStr">
        <is>
          <t>Protect AI Systems</t>
        </is>
      </c>
      <c r="B42">
        <f>IFERROR(AVERAGEIF($C$7:$C$17,A42,$E$7:$E$17),"")</f>
        <v/>
      </c>
      <c r="C42">
        <f>IF(B42="","",IF(B42&gt;=0.9,"Adaptive",IF(B42&gt;=0.7,"Repeatable",IF(B42&gt;=0.5,"Informed","Partial"))))</f>
        <v/>
      </c>
      <c r="D42" t="n">
        <v>0.7</v>
      </c>
      <c r="E42" t="inlineStr">
        <is>
          <t>Weak AI security practices increase the risk of unauthorised access, data leakage, vulnerable deployments and undetected misuse.</t>
        </is>
      </c>
      <c r="H42" t="inlineStr">
        <is>
          <t>Protect AI</t>
        </is>
      </c>
      <c r="I42">
        <f>IF(B42="",0,B42*100)</f>
        <v/>
      </c>
      <c r="J42" t="n">
        <v>70</v>
      </c>
    </row>
    <row r="43">
      <c r="A43" t="inlineStr">
        <is>
          <t>Protection from AI Threats</t>
        </is>
      </c>
      <c r="B43">
        <f>IFERROR(AVERAGEIF($C$7:$C$17,A43,$E$7:$E$17),"")</f>
        <v/>
      </c>
      <c r="C43">
        <f>IF(B43="","",IF(B43&gt;=0.9,"Adaptive",IF(B43&gt;=0.7,"Repeatable",IF(B43&gt;=0.5,"Informed","Partial"))))</f>
        <v/>
      </c>
      <c r="D43" t="n">
        <v>0.7</v>
      </c>
      <c r="E43" t="inlineStr">
        <is>
          <t>Weak AI-threat detection and response increase exposure to deepfakes, AI-crafted attacks and delayed response.</t>
        </is>
      </c>
      <c r="H43" t="inlineStr">
        <is>
          <t>AI Threats</t>
        </is>
      </c>
      <c r="I43">
        <f>IF(B43="",0,B43*100)</f>
        <v/>
      </c>
      <c r="J43" t="n">
        <v>70</v>
      </c>
    </row>
    <row r="45">
      <c r="A45" t="inlineStr">
        <is>
          <t>Overall readiness</t>
        </is>
      </c>
      <c r="B45">
        <f>IF(COUNT(B37:B43)=0,"",AVERAGE(B37:B43))</f>
        <v/>
      </c>
    </row>
    <row r="46">
      <c r="A46" t="inlineStr">
        <is>
          <t>Maturity</t>
        </is>
      </c>
      <c r="B46">
        <f>IF(B45="","",IF(B45&gt;=0.9,"Adaptive",IF(B45&gt;=0.7,"Repeatable",IF(B45&gt;=0.5,"Informed","Partial"))))</f>
        <v/>
      </c>
    </row>
    <row r="47">
      <c r="A47" t="inlineStr">
        <is>
          <t>Strongest pillar</t>
        </is>
      </c>
      <c r="B47">
        <f>IFERROR(INDEX(A37:A43,MATCH(MAX(B37:B43),B37:B43,0)),"")</f>
        <v/>
      </c>
      <c r="C47">
        <f>IFERROR(MAX(B37:B43),"")</f>
        <v/>
      </c>
    </row>
    <row r="48">
      <c r="A48" t="inlineStr">
        <is>
          <t>Weakest pillar</t>
        </is>
      </c>
      <c r="B48">
        <f>IFERROR(INDEX(A37:A43,MATCH(MIN(B37:B43),B37:B43,0)),"")</f>
        <v/>
      </c>
      <c r="C48">
        <f>IFERROR(MIN(B37:B43),"")</f>
        <v/>
      </c>
    </row>
    <row r="51">
      <c r="A51" t="inlineStr">
        <is>
          <t>Exposure matrix</t>
        </is>
      </c>
      <c r="B51" t="inlineStr">
        <is>
          <t>Adaptive</t>
        </is>
      </c>
      <c r="C51" t="inlineStr">
        <is>
          <t>Repeatable</t>
        </is>
      </c>
      <c r="D51" t="inlineStr">
        <is>
          <t>Informed</t>
        </is>
      </c>
      <c r="E51" t="inlineStr">
        <is>
          <t>Partial</t>
        </is>
      </c>
    </row>
    <row r="52">
      <c r="A52" t="inlineStr">
        <is>
          <t>Low</t>
        </is>
      </c>
      <c r="B52" t="inlineStr">
        <is>
          <t>Low</t>
        </is>
      </c>
      <c r="C52" t="inlineStr">
        <is>
          <t>Low</t>
        </is>
      </c>
      <c r="D52" t="inlineStr">
        <is>
          <t>Moderate</t>
        </is>
      </c>
      <c r="E52" t="inlineStr">
        <is>
          <t>Moderate</t>
        </is>
      </c>
    </row>
    <row r="53">
      <c r="A53" t="inlineStr">
        <is>
          <t>Medium</t>
        </is>
      </c>
      <c r="B53" t="inlineStr">
        <is>
          <t>Low</t>
        </is>
      </c>
      <c r="C53" t="inlineStr">
        <is>
          <t>Moderate</t>
        </is>
      </c>
      <c r="D53" t="inlineStr">
        <is>
          <t>Moderate</t>
        </is>
      </c>
      <c r="E53" t="inlineStr">
        <is>
          <t>High</t>
        </is>
      </c>
    </row>
    <row r="54">
      <c r="A54" t="inlineStr">
        <is>
          <t>High</t>
        </is>
      </c>
      <c r="B54" t="inlineStr">
        <is>
          <t>Moderate</t>
        </is>
      </c>
      <c r="C54" t="inlineStr">
        <is>
          <t>Moderate</t>
        </is>
      </c>
      <c r="D54" t="inlineStr">
        <is>
          <t>High</t>
        </is>
      </c>
      <c r="E54" t="inlineStr">
        <is>
          <t>Critical</t>
        </is>
      </c>
    </row>
    <row r="55">
      <c r="A55" t="inlineStr">
        <is>
          <t>Critical</t>
        </is>
      </c>
      <c r="B55" t="inlineStr">
        <is>
          <t>Moderate</t>
        </is>
      </c>
      <c r="C55" t="inlineStr">
        <is>
          <t>High</t>
        </is>
      </c>
      <c r="D55" t="inlineStr">
        <is>
          <t>Critical</t>
        </is>
      </c>
      <c r="E55" t="inlineStr">
        <is>
          <t>Critical</t>
        </is>
      </c>
    </row>
    <row r="57">
      <c r="A57" t="inlineStr">
        <is>
          <t>Exposure</t>
        </is>
      </c>
      <c r="B57">
        <f>IFERROR(INDEX($B$52:$E$55,MATCH(C32,$A$52:$A$55,0),MATCH(B46,$B$51:$E$51,0)),"")</f>
        <v/>
      </c>
    </row>
    <row r="58">
      <c r="A58" t="inlineStr">
        <is>
          <t>Pathway</t>
        </is>
      </c>
      <c r="B58">
        <f>IFERROR(VLOOKUP(B57,$A$60:$C$63,2,FALSE),"")</f>
        <v/>
      </c>
      <c r="C58">
        <f>IFERROR(VLOOKUP(B57,$A$60:$C$63,3,FALSE),"")</f>
        <v/>
      </c>
    </row>
    <row r="60">
      <c r="A60" t="inlineStr">
        <is>
          <t>Low</t>
        </is>
      </c>
      <c r="B60" t="inlineStr">
        <is>
          <t>PROCEED - SELF-MANAGED</t>
        </is>
      </c>
      <c r="C60" t="inlineStr">
        <is>
          <t>AI capability is broadly commensurate with the organisation's AI risk profile. Maintain controls, keep the AI register current and reassess annually or on material change.</t>
        </is>
      </c>
    </row>
    <row r="61">
      <c r="A61" t="inlineStr">
        <is>
          <t>Moderate</t>
        </is>
      </c>
      <c r="B61" t="inlineStr">
        <is>
          <t>PROCEED WITH CONDITIONS</t>
        </is>
      </c>
      <c r="C61" t="inlineStr">
        <is>
          <t>Continue AI adoption, but address the identified gaps through a time-bound remediation plan (within 90 days for priority items). Obtain SME review (risk, privacy, security) for new AI use cases.</t>
        </is>
      </c>
    </row>
    <row r="62">
      <c r="A62" t="inlineStr">
        <is>
          <t>High</t>
        </is>
      </c>
      <c r="B62" t="inlineStr">
        <is>
          <t>REMEDIATE BEFORE SCALING</t>
        </is>
      </c>
      <c r="C62" t="inlineStr">
        <is>
          <t>Readiness is insufficient for the organisation's AI risk profile. Limit AI to lower-risk uses until priority gaps are closed; place AI adoption under AI committee / executive oversight.</t>
        </is>
      </c>
    </row>
    <row r="63">
      <c r="A63" t="inlineStr">
        <is>
          <t>Critical</t>
        </is>
      </c>
      <c r="B63" t="inlineStr">
        <is>
          <t>PAUSE HIGH-IMPACT AI &amp; ESCALATE</t>
        </is>
      </c>
      <c r="C63" t="inlineStr">
        <is>
          <t>Significant AI exposure with immature controls. Escalate to the board / executive committee; do not deploy or expand high-impact AI until critical controls are in place.</t>
        </is>
      </c>
    </row>
    <row r="66">
      <c r="A66" t="inlineStr">
        <is>
          <t>Partial</t>
        </is>
      </c>
      <c r="B66" t="inlineStr">
        <is>
          <t>Foundational capabilities are missing or ad hoc; AI risk is largely unmanaged.</t>
        </is>
      </c>
    </row>
    <row r="67">
      <c r="A67" t="inlineStr">
        <is>
          <t>Informed</t>
        </is>
      </c>
      <c r="B67" t="inlineStr">
        <is>
          <t>Awareness and some defined practices exist, but they are not consistently implemented.</t>
        </is>
      </c>
    </row>
    <row r="68">
      <c r="A68" t="inlineStr">
        <is>
          <t>Repeatable</t>
        </is>
      </c>
      <c r="B68" t="inlineStr">
        <is>
          <t>Practices are defined and consistently applied across most of the organisation.</t>
        </is>
      </c>
    </row>
    <row r="69">
      <c r="A69" t="inlineStr">
        <is>
          <t>Adaptive</t>
        </is>
      </c>
      <c r="B69" t="inlineStr">
        <is>
          <t>Practices are optimised, measured and continuously improved.</t>
        </is>
      </c>
    </row>
    <row r="70">
      <c r="A70" t="inlineStr">
        <is>
          <t>Maturity description</t>
        </is>
      </c>
      <c r="B70">
        <f>IFERROR(VLOOKUP(B46,$A$66:$B$69,2,FALSE),"")</f>
        <v/>
      </c>
    </row>
    <row r="72">
      <c r="A72" t="inlineStr">
        <is>
          <t>Narrative</t>
        </is>
      </c>
      <c r="B72">
        <f>IF(B21=0,"The assessment is incomplete ("&amp;B20&amp;" of 15 questions answered). Complete all questions in the Assessment sheet to generate the executive summary.","Based on the responses provided, "&amp;IF('1. Profile'!$C$4="","the organisation",'1. Profile'!$C$4)&amp;" has an overall AI readiness score of "&amp;TEXT(B45,"0%")&amp;", corresponding to the "&amp;CHAR(39)&amp;B46&amp;CHAR(39)&amp;" maturity level: "&amp;LOWER(LEFT(B70,1))&amp;MID(B70,2,300)&amp;" Its AI use profile indicates a "&amp;UPPER(C32)&amp;" inherent risk tier ("&amp;TEXT(C30,"0%")&amp;" of maximum inherent risk), resulting in an overall AI risk exposure rating of "&amp;UPPER(B57)&amp;". The strongest area is "&amp;B47&amp;" ("&amp;TEXT(C47,"0%")&amp;") and the area requiring most attention is "&amp;B48&amp;" ("&amp;TEXT(C48,"0%")&amp;"). Recommended pathway: "&amp;B58&amp;". "&amp;C58)</f>
        <v/>
      </c>
    </row>
    <row r="75">
      <c r="A75" t="inlineStr">
        <is>
          <t>AIAF principle coverage</t>
        </is>
      </c>
    </row>
    <row r="76">
      <c r="A76" t="inlineStr">
        <is>
          <t>Fairness</t>
        </is>
      </c>
      <c r="B76">
        <f>IFERROR(AVERAGE(E11,E13),"")</f>
        <v/>
      </c>
      <c r="C76" t="inlineStr">
        <is>
          <t>Q9, Q11</t>
        </is>
      </c>
      <c r="D76">
        <f>IF(B76="","",IF(B76&gt;=0.75,"Well addressed",IF(B76&gt;=0.5,"Partially addressed","Needs attention")))</f>
        <v/>
      </c>
    </row>
    <row r="77">
      <c r="A77" t="inlineStr">
        <is>
          <t>Privacy &amp; Security</t>
        </is>
      </c>
      <c r="B77">
        <f>IFERROR(AVERAGE(E9,E13,E15,E16),"")</f>
        <v/>
      </c>
      <c r="C77" t="inlineStr">
        <is>
          <t>Q7, Q11, Q13, Q14</t>
        </is>
      </c>
      <c r="D77">
        <f>IF(B77="","",IF(B77&gt;=0.75,"Well addressed",IF(B77&gt;=0.5,"Partially addressed","Needs attention")))</f>
        <v/>
      </c>
    </row>
    <row r="78">
      <c r="A78" t="inlineStr">
        <is>
          <t>Transparency &amp; Explainability</t>
        </is>
      </c>
      <c r="B78">
        <f>IFERROR(AVERAGE(E11,E17),"")</f>
        <v/>
      </c>
      <c r="C78" t="inlineStr">
        <is>
          <t>Q9, Q15</t>
        </is>
      </c>
      <c r="D78">
        <f>IF(B78="","",IF(B78&gt;=0.75,"Well addressed",IF(B78&gt;=0.5,"Partially addressed","Needs attention")))</f>
        <v/>
      </c>
    </row>
    <row r="79">
      <c r="A79" t="inlineStr">
        <is>
          <t>Accountability</t>
        </is>
      </c>
      <c r="B79">
        <f>IFERROR(AVERAGE(E7,E9,E10,E17),"")</f>
        <v/>
      </c>
      <c r="C79" t="inlineStr">
        <is>
          <t>Q5, Q7, Q8, Q15</t>
        </is>
      </c>
      <c r="D79">
        <f>IF(B79="","",IF(B79&gt;=0.75,"Well addressed",IF(B79&gt;=0.5,"Partially addressed","Needs attention")))</f>
        <v/>
      </c>
    </row>
    <row r="80">
      <c r="A80" t="inlineStr">
        <is>
          <t>Human, Social &amp; Environmental Wellbeing</t>
        </is>
      </c>
      <c r="B80">
        <f>IFERROR(AVERAGE(E8,E10),"")</f>
        <v/>
      </c>
      <c r="C80" t="inlineStr">
        <is>
          <t>Q6, Q8</t>
        </is>
      </c>
      <c r="D80">
        <f>IF(B80="","",IF(B80&gt;=0.75,"Well addressed",IF(B80&gt;=0.5,"Partially addressed","Needs attention")))</f>
        <v/>
      </c>
    </row>
    <row r="81">
      <c r="A81" t="inlineStr">
        <is>
          <t>Human-Centred Values</t>
        </is>
      </c>
      <c r="B81">
        <f>IFERROR(AVERAGE(E11,E12),"")</f>
        <v/>
      </c>
      <c r="C81" t="inlineStr">
        <is>
          <t>Q9, Q10</t>
        </is>
      </c>
      <c r="D81">
        <f>IF(B81="","",IF(B81&gt;=0.75,"Well addressed",IF(B81&gt;=0.5,"Partially addressed","Needs attention")))</f>
        <v/>
      </c>
    </row>
    <row r="82">
      <c r="A82" t="inlineStr">
        <is>
          <t>Reliability &amp; Safety</t>
        </is>
      </c>
      <c r="B82">
        <f>IFERROR(AVERAGE(E14,E15,E17),"")</f>
        <v/>
      </c>
      <c r="C82" t="inlineStr">
        <is>
          <t>Q12, Q13, Q15</t>
        </is>
      </c>
      <c r="D82">
        <f>IF(B82="","",IF(B82&gt;=0.75,"Well addressed",IF(B82&gt;=0.5,"Partially addressed","Needs attention")))</f>
        <v/>
      </c>
    </row>
    <row r="83">
      <c r="A83" t="inlineStr">
        <is>
          <t>Contestability</t>
        </is>
      </c>
      <c r="B83">
        <f>IFERROR(AVERAGE(E11,E17),"")</f>
        <v/>
      </c>
      <c r="C83" t="inlineStr">
        <is>
          <t>Q9, Q15</t>
        </is>
      </c>
      <c r="D83">
        <f>IF(B83="","",IF(B83&gt;=0.75,"Well addressed",IF(B83&gt;=0.5,"Partially addressed","Needs attention")))</f>
        <v/>
      </c>
    </row>
    <row r="86">
      <c r="A86" t="inlineStr">
        <is>
          <t>Rank</t>
        </is>
      </c>
      <c r="B86" t="inlineStr">
        <is>
          <t>Priority row</t>
        </is>
      </c>
      <c r="C86" t="inlineStr">
        <is>
          <t>Roadmap row</t>
        </is>
      </c>
    </row>
    <row r="87">
      <c r="A87" t="n">
        <v>1</v>
      </c>
      <c r="B87">
        <f>IFERROR(IF(LARGE($H$7:$H$17,A87)&lt;0.5,"",MATCH(LARGE($H$7:$H$17,A87),$H$7:$H$17,0)+6),"")</f>
        <v/>
      </c>
      <c r="C87">
        <f>IFERROR(IF(LARGE($K$7:$K$17,A87)&lt;1000,"",IF(INDEX($J$7:$J$17,MATCH(LARGE($K$7:$K$17,A87),$K$7:$K$17,0))&lt;2,"",MATCH(LARGE($K$7:$K$17,A87),$K$7:$K$17,0)+6)),"")</f>
        <v/>
      </c>
    </row>
    <row r="88">
      <c r="A88" t="n">
        <v>2</v>
      </c>
      <c r="B88">
        <f>IFERROR(IF(LARGE($H$7:$H$17,A88)&lt;0.5,"",MATCH(LARGE($H$7:$H$17,A88),$H$7:$H$17,0)+6),"")</f>
        <v/>
      </c>
      <c r="C88">
        <f>IFERROR(IF(LARGE($K$7:$K$17,A88)&lt;1000,"",IF(INDEX($J$7:$J$17,MATCH(LARGE($K$7:$K$17,A88),$K$7:$K$17,0))&lt;2,"",MATCH(LARGE($K$7:$K$17,A88),$K$7:$K$17,0)+6)),"")</f>
        <v/>
      </c>
    </row>
    <row r="89">
      <c r="A89" t="n">
        <v>3</v>
      </c>
      <c r="B89">
        <f>IFERROR(IF(LARGE($H$7:$H$17,A89)&lt;0.5,"",MATCH(LARGE($H$7:$H$17,A89),$H$7:$H$17,0)+6),"")</f>
        <v/>
      </c>
      <c r="C89">
        <f>IFERROR(IF(LARGE($K$7:$K$17,A89)&lt;1000,"",IF(INDEX($J$7:$J$17,MATCH(LARGE($K$7:$K$17,A89),$K$7:$K$17,0))&lt;2,"",MATCH(LARGE($K$7:$K$17,A89),$K$7:$K$17,0)+6)),"")</f>
        <v/>
      </c>
    </row>
    <row r="90">
      <c r="A90" t="n">
        <v>4</v>
      </c>
      <c r="B90">
        <f>IFERROR(IF(LARGE($H$7:$H$17,A90)&lt;0.5,"",MATCH(LARGE($H$7:$H$17,A90),$H$7:$H$17,0)+6),"")</f>
        <v/>
      </c>
      <c r="C90">
        <f>IFERROR(IF(LARGE($K$7:$K$17,A90)&lt;1000,"",IF(INDEX($J$7:$J$17,MATCH(LARGE($K$7:$K$17,A90),$K$7:$K$17,0))&lt;2,"",MATCH(LARGE($K$7:$K$17,A90),$K$7:$K$17,0)+6)),"")</f>
        <v/>
      </c>
    </row>
    <row r="91">
      <c r="A91" t="n">
        <v>5</v>
      </c>
      <c r="B91">
        <f>IFERROR(IF(LARGE($H$7:$H$17,A91)&lt;0.5,"",MATCH(LARGE($H$7:$H$17,A91),$H$7:$H$17,0)+6),"")</f>
        <v/>
      </c>
      <c r="C91">
        <f>IFERROR(IF(LARGE($K$7:$K$17,A91)&lt;1000,"",IF(INDEX($J$7:$J$17,MATCH(LARGE($K$7:$K$17,A91),$K$7:$K$17,0))&lt;2,"",MATCH(LARGE($K$7:$K$17,A91),$K$7:$K$17,0)+6)),"")</f>
        <v/>
      </c>
    </row>
    <row r="92">
      <c r="A92" t="n">
        <v>6</v>
      </c>
      <c r="B92">
        <f>IFERROR(IF(LARGE($H$7:$H$17,A92)&lt;0.5,"",MATCH(LARGE($H$7:$H$17,A92),$H$7:$H$17,0)+6),"")</f>
        <v/>
      </c>
      <c r="C92">
        <f>IFERROR(IF(LARGE($K$7:$K$17,A92)&lt;1000,"",IF(INDEX($J$7:$J$17,MATCH(LARGE($K$7:$K$17,A92),$K$7:$K$17,0))&lt;2,"",MATCH(LARGE($K$7:$K$17,A92),$K$7:$K$17,0)+6)),"")</f>
        <v/>
      </c>
    </row>
    <row r="93">
      <c r="A93" t="n">
        <v>7</v>
      </c>
      <c r="B93">
        <f>IFERROR(IF(LARGE($H$7:$H$17,A93)&lt;0.5,"",MATCH(LARGE($H$7:$H$17,A93),$H$7:$H$17,0)+6),"")</f>
        <v/>
      </c>
      <c r="C93">
        <f>IFERROR(IF(LARGE($K$7:$K$17,A93)&lt;1000,"",IF(INDEX($J$7:$J$17,MATCH(LARGE($K$7:$K$17,A93),$K$7:$K$17,0))&lt;2,"",MATCH(LARGE($K$7:$K$17,A93),$K$7:$K$17,0)+6)),"")</f>
        <v/>
      </c>
    </row>
    <row r="94">
      <c r="A94" t="n">
        <v>8</v>
      </c>
      <c r="B94">
        <f>IFERROR(IF(LARGE($H$7:$H$17,A94)&lt;0.5,"",MATCH(LARGE($H$7:$H$17,A94),$H$7:$H$17,0)+6),"")</f>
        <v/>
      </c>
      <c r="C94">
        <f>IFERROR(IF(LARGE($K$7:$K$17,A94)&lt;1000,"",IF(INDEX($J$7:$J$17,MATCH(LARGE($K$7:$K$17,A94),$K$7:$K$17,0))&lt;2,"",MATCH(LARGE($K$7:$K$17,A94),$K$7:$K$17,0)+6)),"")</f>
        <v/>
      </c>
    </row>
    <row r="95">
      <c r="A95" t="n">
        <v>9</v>
      </c>
      <c r="B95">
        <f>IFERROR(IF(LARGE($H$7:$H$17,A95)&lt;0.5,"",MATCH(LARGE($H$7:$H$17,A95),$H$7:$H$17,0)+6),"")</f>
        <v/>
      </c>
      <c r="C95">
        <f>IFERROR(IF(LARGE($K$7:$K$17,A95)&lt;1000,"",IF(INDEX($J$7:$J$17,MATCH(LARGE($K$7:$K$17,A95),$K$7:$K$17,0))&lt;2,"",MATCH(LARGE($K$7:$K$17,A95),$K$7:$K$17,0)+6)),"")</f>
        <v/>
      </c>
    </row>
    <row r="96">
      <c r="A96" t="n">
        <v>10</v>
      </c>
      <c r="B96">
        <f>IFERROR(IF(LARGE($H$7:$H$17,A96)&lt;0.5,"",MATCH(LARGE($H$7:$H$17,A96),$H$7:$H$17,0)+6),"")</f>
        <v/>
      </c>
      <c r="C96">
        <f>IFERROR(IF(LARGE($K$7:$K$17,A96)&lt;1000,"",IF(INDEX($J$7:$J$17,MATCH(LARGE($K$7:$K$17,A96),$K$7:$K$17,0))&lt;2,"",MATCH(LARGE($K$7:$K$17,A96),$K$7:$K$17,0)+6)),"")</f>
        <v/>
      </c>
    </row>
    <row r="97">
      <c r="A97" t="n">
        <v>11</v>
      </c>
      <c r="B97">
        <f>IFERROR(IF(LARGE($H$7:$H$17,A97)&lt;0.5,"",MATCH(LARGE($H$7:$H$17,A97),$H$7:$H$17,0)+6),"")</f>
        <v/>
      </c>
      <c r="C97">
        <f>IFERROR(IF(LARGE($K$7:$K$17,A97)&lt;1000,"",IF(INDEX($J$7:$J$17,MATCH(LARGE($K$7:$K$17,A97),$K$7:$K$17,0))&lt;2,"",MATCH(LARGE($K$7:$K$17,A97),$K$7:$K$17,0)+6)),"")</f>
        <v/>
      </c>
    </row>
    <row r="100">
      <c r="A100" t="inlineStr">
        <is>
          <t>AI Governance, Risk &amp; Compliance</t>
        </is>
      </c>
      <c r="B100" t="inlineStr">
        <is>
          <t>Governance &amp; Ethics</t>
        </is>
      </c>
      <c r="C100" t="inlineStr">
        <is>
          <t>AI governance framework &amp; policies, AI register, risk &amp; impact assessments (GT AI Risk Assessment Framework), RCM-based compliance reviews, ISO/IEC 42001 readiness.</t>
        </is>
      </c>
      <c r="D100">
        <f>IFERROR(B38,"")</f>
        <v/>
      </c>
      <c r="E100">
        <f>IF(D100="","",IF(D100&lt;0.5,"Priority",IF(D100&lt;0.7,"Advised",IF(D100&lt;0.9,"Optional","Sustain"))))</f>
        <v/>
      </c>
    </row>
    <row r="101">
      <c r="A101" t="inlineStr">
        <is>
          <t>AI Strategy &amp; Roadmap</t>
        </is>
      </c>
      <c r="B101" t="inlineStr">
        <is>
          <t>Business Alignment</t>
        </is>
      </c>
      <c r="C101" t="inlineStr">
        <is>
          <t>Situational / SWOT analysis, AI strategy and risk appetite, use-case prioritisation, value-realisation KPIs and phased roadmap.</t>
        </is>
      </c>
      <c r="D101">
        <f>IFERROR(B37,"")</f>
        <v/>
      </c>
      <c r="E101">
        <f>IF(D101="","",IF(D101&lt;0.5,"Priority",IF(D101&lt;0.7,"Advised",IF(D101&lt;0.9,"Optional","Sustain"))))</f>
        <v/>
      </c>
    </row>
    <row r="102">
      <c r="A102" t="inlineStr">
        <is>
          <t>Training &amp; Awareness</t>
        </is>
      </c>
      <c r="B102" t="inlineStr">
        <is>
          <t>Training &amp; Development</t>
        </is>
      </c>
      <c r="C102" t="inlineStr">
        <is>
          <t>AI literacy programmes, role-based pathways, immersive labs, deepfake &amp; AI-phishing simulations, leadership workshops.</t>
        </is>
      </c>
      <c r="D102">
        <f>IFERROR(B39,"")</f>
        <v/>
      </c>
      <c r="E102">
        <f>IF(D102="","",IF(D102&lt;0.5,"Priority",IF(D102&lt;0.7,"Advised",IF(D102&lt;0.9,"Optional","Sustain"))))</f>
        <v/>
      </c>
    </row>
    <row r="103">
      <c r="A103" t="inlineStr">
        <is>
          <t>AI-Driven Automation &amp; Architecture</t>
        </is>
      </c>
      <c r="B103" t="inlineStr">
        <is>
          <t>Architecture &amp; Technology</t>
        </is>
      </c>
      <c r="C103" t="inlineStr">
        <is>
          <t>Technology evaluation and selection, reference architecture, AI integration and monitoring. GT AI apps in preparation: AI-powered Business Continuity (BCP) tool and AI-powered Financial Statements tool.</t>
        </is>
      </c>
      <c r="D103">
        <f>IFERROR(B41,"")</f>
        <v/>
      </c>
      <c r="E103">
        <f>IF(D103="","",IF(D103&lt;0.5,"Priority",IF(D103&lt;0.7,"Advised",IF(D103&lt;0.9,"Optional","Sustain"))))</f>
        <v/>
      </c>
    </row>
    <row r="104">
      <c r="A104" t="inlineStr">
        <is>
          <t>AI Security &amp; Cyber Resilience</t>
        </is>
      </c>
      <c r="B104" t="inlineStr">
        <is>
          <t>Protect AI Systems</t>
        </is>
      </c>
      <c r="C104" t="inlineStr">
        <is>
          <t>AI security audits (GT AI Security &amp; Agent Audit Checklist), AI red teaming, secure AI agents (ISACA 2026 baseline), deepfake-resilient processes.</t>
        </is>
      </c>
      <c r="D104">
        <f>IFERROR(AVERAGE(B42,B43),"")</f>
        <v/>
      </c>
      <c r="E104">
        <f>IF(D104="","",IF(D104&lt;0.5,"Priority",IF(D104&lt;0.7,"Advised",IF(D104&lt;0.9,"Optional","Sustain"))))</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t="inlineStr">
        <is>
          <t>Yes</t>
        </is>
      </c>
      <c r="B1" t="inlineStr">
        <is>
          <t>Banking &amp; financial services</t>
        </is>
      </c>
      <c r="C1" t="inlineStr">
        <is>
          <t>1-50 employees</t>
        </is>
      </c>
      <c r="D1" t="inlineStr">
        <is>
          <t>Whole organisation</t>
        </is>
      </c>
      <c r="E1" t="inlineStr">
        <is>
          <t>Deployer only (uses AI built by others)</t>
        </is>
      </c>
      <c r="F1" t="inlineStr">
        <is>
          <t>Not started</t>
        </is>
      </c>
    </row>
    <row r="2">
      <c r="A2" t="inlineStr">
        <is>
          <t>No</t>
        </is>
      </c>
      <c r="B2" t="inlineStr">
        <is>
          <t>Insurance</t>
        </is>
      </c>
      <c r="C2" t="inlineStr">
        <is>
          <t>51-250 employees</t>
        </is>
      </c>
      <c r="D2" t="inlineStr">
        <is>
          <t>Business unit / function</t>
        </is>
      </c>
      <c r="E2" t="inlineStr">
        <is>
          <t>Provider (develops / sells AI systems)</t>
        </is>
      </c>
      <c r="F2" t="inlineStr">
        <is>
          <t>Planned</t>
        </is>
      </c>
    </row>
    <row r="3">
      <c r="B3" t="inlineStr">
        <is>
          <t>Government &amp; public sector</t>
        </is>
      </c>
      <c r="C3" t="inlineStr">
        <is>
          <t>251-1,000 employees</t>
        </is>
      </c>
      <c r="D3" t="inlineStr">
        <is>
          <t>Specific AI system or use case</t>
        </is>
      </c>
      <c r="E3" t="inlineStr">
        <is>
          <t>Both provider and deployer</t>
        </is>
      </c>
      <c r="F3" t="inlineStr">
        <is>
          <t>In progress</t>
        </is>
      </c>
    </row>
    <row r="4">
      <c r="B4" t="inlineStr">
        <is>
          <t>Telecommunications</t>
        </is>
      </c>
      <c r="C4" t="inlineStr">
        <is>
          <t>1,001-5,000 employees</t>
        </is>
      </c>
      <c r="F4" t="inlineStr">
        <is>
          <t>Completed</t>
        </is>
      </c>
    </row>
    <row r="5">
      <c r="B5" t="inlineStr">
        <is>
          <t>Healthcare</t>
        </is>
      </c>
      <c r="C5" t="inlineStr">
        <is>
          <t>More than 5,000 employees</t>
        </is>
      </c>
      <c r="F5" t="inlineStr">
        <is>
          <t>Deferred</t>
        </is>
      </c>
    </row>
    <row r="6">
      <c r="B6" t="inlineStr">
        <is>
          <t>Hospitality &amp; tourism</t>
        </is>
      </c>
    </row>
    <row r="7">
      <c r="B7" t="inlineStr">
        <is>
          <t>Professional services</t>
        </is>
      </c>
    </row>
    <row r="8">
      <c r="B8" t="inlineStr">
        <is>
          <t>Manufacturing &amp; industry</t>
        </is>
      </c>
    </row>
    <row r="9">
      <c r="B9" t="inlineStr">
        <is>
          <t>Retail &amp; consumer</t>
        </is>
      </c>
    </row>
    <row r="10">
      <c r="B10" t="inlineStr">
        <is>
          <t>Energy &amp; utilities</t>
        </is>
      </c>
    </row>
    <row r="11">
      <c r="B11" t="inlineStr">
        <is>
          <t>Education</t>
        </is>
      </c>
    </row>
    <row r="12">
      <c r="B12"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2026-09-26T12:26:10Z</dcterms:created>
  <dcterms:modified xmlns:dcterms="http://purl.org/dc/terms/" xmlns:xsi="http://www.w3.org/2001/XMLSchema-instance" xsi:type="dcterms:W3CDTF">2026-09-26T12:26:10Z</dcterms:modified>
</cp:coreProperties>
</file>