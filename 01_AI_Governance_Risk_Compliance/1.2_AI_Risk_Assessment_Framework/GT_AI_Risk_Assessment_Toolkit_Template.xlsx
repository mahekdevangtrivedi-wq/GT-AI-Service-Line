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1. Use Case Profile" sheetId="2" state="visible" r:id="rId2"/>
    <sheet xmlns:r="http://schemas.openxmlformats.org/officeDocument/2006/relationships" name="2. Prohibited Screen" sheetId="3" state="visible" r:id="rId3"/>
    <sheet xmlns:r="http://schemas.openxmlformats.org/officeDocument/2006/relationships" name="3. Risk Tiering" sheetId="4" state="visible" r:id="rId4"/>
    <sheet xmlns:r="http://schemas.openxmlformats.org/officeDocument/2006/relationships" name="4. Risk Register" sheetId="5" state="visible" r:id="rId5"/>
    <sheet xmlns:r="http://schemas.openxmlformats.org/officeDocument/2006/relationships" name="5. Heat Map &amp; Summary" sheetId="6" state="visible" r:id="rId6"/>
    <sheet xmlns:r="http://schemas.openxmlformats.org/officeDocument/2006/relationships" name="Taxonomy" sheetId="7" state="visible" r:id="rId7"/>
    <sheet xmlns:r="http://schemas.openxmlformats.org/officeDocument/2006/relationships" name="Scales" sheetId="8" state="visible" r:id="rId8"/>
    <sheet xmlns:r="http://schemas.openxmlformats.org/officeDocument/2006/relationships" name="Lists" sheetId="9" state="hidden" r:id="rId9"/>
  </sheets>
  <definedNames>
    <definedName name="_xlnm.Print_Area" localSheetId="0">'Guide'!$A$1:$C$11</definedName>
    <definedName name="_xlnm.Print_Area" localSheetId="1">'1. Use Case Profile'!$A$1:$D$19</definedName>
    <definedName name="_xlnm.Print_Area" localSheetId="2">'2. Prohibited Screen'!$A$1:$D$14</definedName>
    <definedName name="_xlnm.Print_Area" localSheetId="3">'3. Risk Tiering'!$A$1:$G$24</definedName>
    <definedName name="_xlnm._FilterDatabase" localSheetId="4" hidden="1">'4. Risk Register'!$A$4:$T$66</definedName>
    <definedName name="_xlnm.Print_Area" localSheetId="4">'4. Risk Register'!$A$1:$V$66</definedName>
    <definedName name="_xlnm.Print_Area" localSheetId="5">'5. Heat Map &amp; Summary'!$A$1:$N$49</definedName>
    <definedName name="_xlnm._FilterDatabase" localSheetId="6" hidden="1">'Taxonomy'!$A$4:$G$56</definedName>
    <definedName name="_xlnm.Print_Area" localSheetId="6">'Taxonomy'!$A$1:$G$56</definedName>
    <definedName name="_xlnm.Print_Area" localSheetId="7">'Scales'!$A$1:$I$39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F2D7F"/>
      <sz val="10"/>
    </font>
    <font>
      <b val="1"/>
      <color rgb="004F2D7F"/>
      <sz val="12"/>
    </font>
    <font>
      <b val="1"/>
      <color rgb="00FFFFFF"/>
      <sz val="10"/>
    </font>
    <font>
      <sz val="9"/>
    </font>
    <font>
      <b val="1"/>
      <sz val="9"/>
    </font>
    <font>
      <b val="1"/>
      <sz val="12"/>
    </font>
    <font>
      <b val="1"/>
      <color rgb="004F2D7F"/>
      <sz val="11"/>
    </font>
    <font>
      <b val="1"/>
      <color rgb="00000000"/>
      <sz val="14"/>
    </font>
    <font>
      <b val="1"/>
      <color rgb="00FFFFFF"/>
      <sz val="14"/>
    </font>
    <font>
      <i val="1"/>
      <sz val="8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4F2D7F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F4B183"/>
      </patternFill>
    </fill>
    <fill>
      <patternFill patternType="solid">
        <fgColor rgb="00E06666"/>
      </patternFill>
    </fill>
    <fill>
      <patternFill patternType="solid">
        <fgColor rgb="00EDE7F6"/>
      </patternFill>
    </fill>
    <fill>
      <patternFill patternType="solid">
        <fgColor rgb="00FFF9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top" wrapText="1" indent="1"/>
    </xf>
    <xf numFmtId="0" fontId="6" fillId="7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center" wrapText="1"/>
    </xf>
    <xf numFmtId="0" fontId="0" fillId="0" borderId="4" pivotButton="0" quotePrefix="0" xfId="0"/>
    <xf numFmtId="0" fontId="7" fillId="0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8" fillId="0" borderId="0" pivotButton="0" quotePrefix="0" xfId="0"/>
    <xf numFmtId="0" fontId="3" fillId="0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3" fillId="0" borderId="0" pivotButton="0" quotePrefix="0" xfId="0"/>
    <xf numFmtId="0" fontId="0" fillId="0" borderId="1" pivotButton="0" quotePrefix="0" xfId="0"/>
    <xf numFmtId="0" fontId="6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/>
      </fill>
    </dxf>
    <dxf>
      <font>
        <b val="1"/>
      </font>
      <fill>
        <patternFill patternType="solid">
          <fgColor rgb="00C6E0B4"/>
        </patternFill>
      </fill>
    </dxf>
    <dxf>
      <font>
        <b val="1"/>
        <color rgb="00000000"/>
      </font>
      <fill>
        <patternFill patternType="solid">
          <fgColor rgb="00C6E0B4"/>
        </patternFill>
      </fill>
    </dxf>
    <dxf>
      <font>
        <b val="1"/>
        <color rgb="00000000"/>
      </font>
      <fill>
        <patternFill patternType="solid">
          <fgColor rgb="00FFE699"/>
        </patternFill>
      </fill>
    </dxf>
    <dxf>
      <font>
        <b val="1"/>
        <color rgb="00000000"/>
      </font>
      <fill>
        <patternFill patternType="solid">
          <fgColor rgb="00F4B183"/>
        </patternFill>
      </fill>
    </dxf>
    <dxf>
      <font>
        <b val="1"/>
        <color rgb="00FFFFFF"/>
      </font>
      <fill>
        <patternFill patternType="solid">
          <fgColor rgb="00E06666"/>
        </patternFill>
      </fill>
    </dxf>
    <dxf>
      <fill>
        <patternFill patternType="solid">
          <fgColor rgb="00F4B183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Residual risks by category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'5. Heat Map &amp; Summary'!E15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C00000"/>
              </a:solidFill>
              <a:prstDash val="solid"/>
            </a:ln>
          </spPr>
          <cat>
            <numRef>
              <f>'5. Heat Map &amp; Summary'!$A$16:$A$27</f>
            </numRef>
          </cat>
          <val>
            <numRef>
              <f>'5. Heat Map &amp; Summary'!$E$16:$E$27</f>
            </numRef>
          </val>
        </ser>
        <ser>
          <idx val="1"/>
          <order val="1"/>
          <tx>
            <strRef>
              <f>'5. Heat Map &amp; Summary'!F15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'5. Heat Map &amp; Summary'!$A$16:$A$27</f>
            </numRef>
          </cat>
          <val>
            <numRef>
              <f>'5. Heat Map &amp; Summary'!$F$16:$F$27</f>
            </numRef>
          </val>
        </ser>
        <ser>
          <idx val="2"/>
          <order val="2"/>
          <tx>
            <strRef>
              <f>'5. Heat Map &amp; Summary'!G15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solidFill>
                <a:srgbClr val="FFC000"/>
              </a:solidFill>
              <a:prstDash val="solid"/>
            </a:ln>
          </spPr>
          <cat>
            <numRef>
              <f>'5. Heat Map &amp; Summary'!$A$16:$A$27</f>
            </numRef>
          </cat>
          <val>
            <numRef>
              <f>'5. Heat Map &amp; Summary'!$G$16:$G$27</f>
            </numRef>
          </val>
        </ser>
        <ser>
          <idx val="3"/>
          <order val="3"/>
          <tx>
            <strRef>
              <f>'5. Heat Map &amp; Summary'!H15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'5. Heat Map &amp; Summary'!$A$16:$A$27</f>
            </numRef>
          </cat>
          <val>
            <numRef>
              <f>'5. Heat Map &amp; Summary'!$H$16:$H$27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risks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13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F2D7F"/>
    <outlinePr summaryBelow="1" summaryRight="1"/>
    <pageSetUpPr fitToPage="1"/>
  </sheetPr>
  <dimension ref="A1:C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00" customWidth="1" min="3" max="3"/>
  </cols>
  <sheetData>
    <row r="1" ht="34" customHeight="1">
      <c r="A1" s="1" t="inlineStr">
        <is>
          <t>GT AI Risk Assessment Toolkit</t>
        </is>
      </c>
    </row>
    <row r="2" ht="30" customHeight="1">
      <c r="A2" s="2" t="inlineStr">
        <is>
          <t>Companion to the GT AI Risk Assessment Framework (v1.1, 2026). Grant Thornton Bahrain - AI Governance, Risk &amp; Compliance.</t>
        </is>
      </c>
    </row>
    <row r="4" ht="44" customHeight="1">
      <c r="B4" s="3" t="inlineStr">
        <is>
          <t>Step 1 - Use Case Profile</t>
        </is>
      </c>
      <c r="C4" s="4" t="inlineStr">
        <is>
          <t>Document context: purpose, owners, lifecycle stage, organisation's role, stakeholders, data, vendors and applicable regulation (ISO 31000 cl.6.3; ISO/IEC 42005 cl.6).</t>
        </is>
      </c>
    </row>
    <row r="5" ht="44" customHeight="1">
      <c r="B5" s="3" t="inlineStr">
        <is>
          <t>Step 2 - Prohibited Screen</t>
        </is>
      </c>
      <c r="C5" s="4" t="inlineStr">
        <is>
          <t>Screen against prohibited practices. Any 'Yes' stops the assessment and requires Legal review.</t>
        </is>
      </c>
    </row>
    <row r="6" ht="44" customHeight="1">
      <c r="B6" s="3" t="inlineStr">
        <is>
          <t>Step 3 - Risk Tiering</t>
        </is>
      </c>
      <c r="C6" s="4" t="inlineStr">
        <is>
          <t>Rate 10 inherent-risk factors. The weighted score plus override rules produce the tier (Low / Medium / High / Critical), which determines assessment depth, approval authority and review frequency.</t>
        </is>
      </c>
    </row>
    <row r="7" ht="44" customHeight="1">
      <c r="B7" s="3" t="inlineStr">
        <is>
          <t>Step 4 - Risk Register</t>
        </is>
      </c>
      <c r="C7" s="4" t="inlineStr">
        <is>
          <t>Work through the 52 taxonomy risks: mark applicability, tailor scenarios, rate likelihood &amp; impact, evaluate existing control effectiveness (mapped to RCM v2.1 controls) and plan treatment. Add bespoke risks in rows BSP-01..10.</t>
        </is>
      </c>
    </row>
    <row r="8" ht="44" customHeight="1">
      <c r="B8" s="3" t="inlineStr">
        <is>
          <t>Step 5 - Heat Map &amp; Summary</t>
        </is>
      </c>
      <c r="C8" s="4" t="inlineStr">
        <is>
          <t>Review the inherent heat map, residual profile, top-10 residual risks and obtain sign-off from the approval authority required by the tier.</t>
        </is>
      </c>
    </row>
    <row r="9" ht="44" customHeight="1">
      <c r="B9" s="3" t="inlineStr">
        <is>
          <t>Monitor &amp; review</t>
        </is>
      </c>
      <c r="C9" s="4" t="inlineStr">
        <is>
          <t>Re-assess at the review frequency for the tier or on material change (model/provider change, new data, new purpose, expanded user base, incidents). Track KRIs listed per risk.</t>
        </is>
      </c>
    </row>
    <row r="10" ht="44" customHeight="1">
      <c r="B10" s="3" t="inlineStr">
        <is>
          <t>Colour legend</t>
        </is>
      </c>
      <c r="C10" s="4" t="inlineStr">
        <is>
          <t>Yellow = input cell | Purple header = calculated / reference | Green/Amber/Orange/Red = Low / Medium / High / Critical</t>
        </is>
      </c>
    </row>
    <row r="11" ht="44" customHeight="1">
      <c r="B11" s="3" t="inlineStr">
        <is>
          <t>Scoring logic</t>
        </is>
      </c>
      <c r="C11" s="4" t="inlineStr">
        <is>
          <t>Inherent score = Likelihood (1-5) x Impact (1-5). Residual score = Inherent score x control-effectiveness factor (Strong 0.4, Satisfactory 0.6, Needs improvement 0.8, Weak/None 1.0). Bands: Low 1-4, Medium 5-9, High 10-16, Critical 17-25. Residual Low/Medium = within appetite (default; calibrate to the organisation's approved AI risk appetite - RCM RM-6).</t>
        </is>
      </c>
    </row>
  </sheetData>
  <mergeCells count="2">
    <mergeCell ref="A1:C1"/>
    <mergeCell ref="A2:C2"/>
  </mergeCells>
  <printOptions gridLines="0"/>
  <pageMargins left="0.5" right="0.5" top="0.75" bottom="0.75" header="0.25" footer="0.2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4F2D7F"/>
    <outlinePr summaryBelow="1" summaryRight="1"/>
    <pageSetUpPr fitToPage="1"/>
  </sheetPr>
  <dimension ref="A1:D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80" customWidth="1" min="3" max="3"/>
    <col width="3" customWidth="1" min="4" max="4"/>
  </cols>
  <sheetData>
    <row r="1" ht="34" customHeight="1">
      <c r="A1" s="1" t="inlineStr">
        <is>
          <t>1. AI Use Case Profile</t>
        </is>
      </c>
    </row>
    <row r="2" ht="30" customHeight="1">
      <c r="A2" s="2" t="inlineStr">
        <is>
          <t>Establish the context (ISO 31000 cl.6.3 / ISO/IEC 23894 cl.6.3). Yellow cells are inputs.</t>
        </is>
      </c>
    </row>
    <row r="4" ht="22" customHeight="1">
      <c r="B4" s="3" t="inlineStr">
        <is>
          <t>Organisation</t>
        </is>
      </c>
      <c r="C4" s="5" t="n"/>
    </row>
    <row r="5" ht="22" customHeight="1">
      <c r="B5" s="3" t="inlineStr">
        <is>
          <t>AI use case name</t>
        </is>
      </c>
      <c r="C5" s="5" t="n"/>
    </row>
    <row r="6" ht="22" customHeight="1">
      <c r="B6" s="3" t="inlineStr">
        <is>
          <t>Use case ID (AI register ref.)</t>
        </is>
      </c>
      <c r="C6" s="5" t="n"/>
    </row>
    <row r="7" ht="22" customHeight="1">
      <c r="B7" s="3" t="inlineStr">
        <is>
          <t>Business owner</t>
        </is>
      </c>
      <c r="C7" s="5" t="n"/>
    </row>
    <row r="8" ht="22" customHeight="1">
      <c r="B8" s="3" t="inlineStr">
        <is>
          <t>Technical owner</t>
        </is>
      </c>
      <c r="C8" s="5" t="n"/>
    </row>
    <row r="9" ht="48" customHeight="1">
      <c r="B9" s="3" t="inlineStr">
        <is>
          <t>Description &amp; intended purpose</t>
        </is>
      </c>
      <c r="C9" s="5" t="n"/>
    </row>
    <row r="10" ht="22" customHeight="1">
      <c r="B10" s="3" t="inlineStr">
        <is>
          <t>Out-of-scope / prohibited uses</t>
        </is>
      </c>
      <c r="C10" s="5" t="n"/>
    </row>
    <row r="11" ht="22" customHeight="1">
      <c r="B11" s="3" t="inlineStr">
        <is>
          <t>AI system type</t>
        </is>
      </c>
      <c r="C11" s="5" t="n"/>
    </row>
    <row r="12" ht="22" customHeight="1">
      <c r="B12" s="3" t="inlineStr">
        <is>
          <t>Lifecycle stage</t>
        </is>
      </c>
      <c r="C12" s="5" t="n"/>
    </row>
    <row r="13" ht="22" customHeight="1">
      <c r="B13" s="3" t="inlineStr">
        <is>
          <t>Organisation's role (EU AI Act terminology)</t>
        </is>
      </c>
      <c r="C13" s="5" t="n"/>
    </row>
    <row r="14" ht="22" customHeight="1">
      <c r="B14" s="3" t="inlineStr">
        <is>
          <t>Affected stakeholders</t>
        </is>
      </c>
      <c r="C14" s="5" t="n"/>
    </row>
    <row r="15" ht="22" customHeight="1">
      <c r="B15" s="3" t="inlineStr">
        <is>
          <t>Data used (sources &amp; categories)</t>
        </is>
      </c>
      <c r="C15" s="5" t="n"/>
    </row>
    <row r="16" ht="22" customHeight="1">
      <c r="B16" s="3" t="inlineStr">
        <is>
          <t>Third parties / vendors</t>
        </is>
      </c>
      <c r="C16" s="5" t="n"/>
    </row>
    <row r="17" ht="22" customHeight="1">
      <c r="B17" s="3" t="inlineStr">
        <is>
          <t>Jurisdictions / regulations in scope</t>
        </is>
      </c>
      <c r="C17" s="5" t="n"/>
    </row>
    <row r="18" ht="22" customHeight="1">
      <c r="B18" s="3" t="inlineStr">
        <is>
          <t>Assessment date</t>
        </is>
      </c>
      <c r="C18" s="5" t="n"/>
    </row>
    <row r="19" ht="22" customHeight="1">
      <c r="B19" s="3" t="inlineStr">
        <is>
          <t>Assessor(s)</t>
        </is>
      </c>
      <c r="C19" s="5" t="n"/>
    </row>
  </sheetData>
  <mergeCells count="2">
    <mergeCell ref="A1:D1"/>
    <mergeCell ref="A2:D2"/>
  </mergeCells>
  <dataValidations count="3">
    <dataValidation sqref="C11" showDropDown="0" showInputMessage="0" showErrorMessage="0" allowBlank="1" type="list">
      <formula1>=Lists!$I$1:$I$8</formula1>
    </dataValidation>
    <dataValidation sqref="C12" showDropDown="0" showInputMessage="0" showErrorMessage="0" allowBlank="1" type="list">
      <formula1>=Lists!$G$1:$G$8</formula1>
    </dataValidation>
    <dataValidation sqref="C13" showDropDown="0" showInputMessage="0" showErrorMessage="0" allowBlank="1" type="list">
      <formula1>=Lists!$H$1:$H$4</formula1>
    </dataValidation>
  </dataValidations>
  <printOptions gridLines="0"/>
  <pageMargins left="0.5" right="0.5" top="0.75" bottom="0.75" header="0.25" footer="0.2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4F2D7F"/>
    <outlinePr summaryBelow="1" summaryRight="1"/>
    <pageSetUpPr fitToPage="1"/>
  </sheetPr>
  <dimension ref="A1:D1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95" customWidth="1" min="2" max="2"/>
    <col width="12" customWidth="1" min="3" max="3"/>
    <col width="30" customWidth="1" min="4" max="4"/>
  </cols>
  <sheetData>
    <row r="1" ht="34" customHeight="1">
      <c r="A1" s="1" t="inlineStr">
        <is>
          <t>2. Prohibited Practice Screening</t>
        </is>
      </c>
    </row>
    <row r="2" ht="30" customHeight="1">
      <c r="A2" s="2" t="inlineStr">
        <is>
          <t>Answer every question. Any 'Yes' means the use case must not proceed without Legal review (EU AI Act Art. 5 - applicable since 2 Feb 2025; aligned with GCC AI Ethics Manual and Bahrain PDPL principles).</t>
        </is>
      </c>
    </row>
    <row r="4">
      <c r="A4" s="6" t="inlineStr">
        <is>
          <t>#</t>
        </is>
      </c>
      <c r="B4" s="6" t="inlineStr">
        <is>
          <t>Does the AI system...</t>
        </is>
      </c>
      <c r="C4" s="6" t="inlineStr">
        <is>
          <t>Answer</t>
        </is>
      </c>
      <c r="D4" s="6" t="inlineStr">
        <is>
          <t>Reference</t>
        </is>
      </c>
    </row>
    <row r="5" ht="30" customHeight="1">
      <c r="A5" s="7" t="n">
        <v>1</v>
      </c>
      <c r="B5" s="4" t="inlineStr">
        <is>
          <t>deploy subliminal, manipulative or deceptive techniques that materially distort behaviour and cause significant harm?</t>
        </is>
      </c>
      <c r="C5" s="8" t="n"/>
      <c r="D5" s="4" t="inlineStr">
        <is>
          <t>EU AI Act Art. 5(1)(a)</t>
        </is>
      </c>
    </row>
    <row r="6" ht="30" customHeight="1">
      <c r="A6" s="7" t="n">
        <v>2</v>
      </c>
      <c r="B6" s="4" t="inlineStr">
        <is>
          <t>exploit vulnerabilities due to age, disability or social/economic situation to distort behaviour causing significant harm?</t>
        </is>
      </c>
      <c r="C6" s="8" t="n"/>
      <c r="D6" s="4" t="inlineStr">
        <is>
          <t>EU AI Act Art. 5(1)(b)</t>
        </is>
      </c>
    </row>
    <row r="7" ht="30" customHeight="1">
      <c r="A7" s="7" t="n">
        <v>3</v>
      </c>
      <c r="B7" s="4" t="inlineStr">
        <is>
          <t>evaluate or classify people based on social behaviour or personal traits leading to detrimental or disproportionate treatment (social scoring)?</t>
        </is>
      </c>
      <c r="C7" s="8" t="n"/>
      <c r="D7" s="4" t="inlineStr">
        <is>
          <t>EU AI Act Art. 5(1)(c)</t>
        </is>
      </c>
    </row>
    <row r="8" ht="30" customHeight="1">
      <c r="A8" s="7" t="n">
        <v>4</v>
      </c>
      <c r="B8" s="4" t="inlineStr">
        <is>
          <t>assess the risk of a person committing a criminal offence based solely on profiling or personality traits?</t>
        </is>
      </c>
      <c r="C8" s="8" t="n"/>
      <c r="D8" s="4" t="inlineStr">
        <is>
          <t>EU AI Act Art. 5(1)(d)</t>
        </is>
      </c>
    </row>
    <row r="9" ht="30" customHeight="1">
      <c r="A9" s="7" t="n">
        <v>5</v>
      </c>
      <c r="B9" s="4" t="inlineStr">
        <is>
          <t>create or expand facial-recognition databases through untargeted scraping of images from the internet or CCTV?</t>
        </is>
      </c>
      <c r="C9" s="8" t="n"/>
      <c r="D9" s="4" t="inlineStr">
        <is>
          <t>EU AI Act Art. 5(1)(e)</t>
        </is>
      </c>
    </row>
    <row r="10" ht="30" customHeight="1">
      <c r="A10" s="7" t="n">
        <v>6</v>
      </c>
      <c r="B10" s="4" t="inlineStr">
        <is>
          <t>infer emotions of natural persons in the workplace or education institutions (except for medical or safety reasons)?</t>
        </is>
      </c>
      <c r="C10" s="8" t="n"/>
      <c r="D10" s="4" t="inlineStr">
        <is>
          <t>EU AI Act Art. 5(1)(f)</t>
        </is>
      </c>
    </row>
    <row r="11" ht="30" customHeight="1">
      <c r="A11" s="7" t="n">
        <v>7</v>
      </c>
      <c r="B11" s="4" t="inlineStr">
        <is>
          <t>categorise people by biometric data to infer race, political opinions, trade-union membership, religious beliefs, sex life or sexual orientation?</t>
        </is>
      </c>
      <c r="C11" s="8" t="n"/>
      <c r="D11" s="4" t="inlineStr">
        <is>
          <t>EU AI Act Art. 5(1)(g)</t>
        </is>
      </c>
    </row>
    <row r="12" ht="30" customHeight="1">
      <c r="A12" s="7" t="n">
        <v>8</v>
      </c>
      <c r="B12" s="4" t="inlineStr">
        <is>
          <t>perform real-time remote biometric identification in publicly accessible spaces for law-enforcement purposes?</t>
        </is>
      </c>
      <c r="C12" s="8" t="n"/>
      <c r="D12" s="4" t="inlineStr">
        <is>
          <t>EU AI Act Art. 5(1)(h)</t>
        </is>
      </c>
    </row>
    <row r="14">
      <c r="B14" s="3" t="inlineStr">
        <is>
          <t>Screening result</t>
        </is>
      </c>
      <c r="C14" s="9" t="str">
        <f>IF(COUNTA(C5:C12)&lt;8,"Incomplete",IF(COUNTIF(C5:C12,"Yes")&gt;0,"PROHIBITED","Pass"))</f>
        <v>Incomplete</v>
      </c>
      <c r="D14" s="10" t="n"/>
    </row>
  </sheetData>
  <mergeCells count="3">
    <mergeCell ref="A1:D1"/>
    <mergeCell ref="C14:D14"/>
    <mergeCell ref="A2:D2"/>
  </mergeCells>
  <conditionalFormatting sqref="C14">
    <cfRule type="cellIs" priority="1" operator="equal" dxfId="0">
      <formula>"PROHIBITED"</formula>
    </cfRule>
    <cfRule type="cellIs" priority="2" operator="equal" dxfId="1">
      <formula>"Pass"</formula>
    </cfRule>
  </conditionalFormatting>
  <dataValidations count="1">
    <dataValidation sqref="C5:C12" showDropDown="0" showInputMessage="0" showErrorMessage="0" allowBlank="1" type="list">
      <formula1>=Lists!$A$1:$A$2</formula1>
    </dataValidation>
  </dataValidations>
  <printOptions gridLines="0"/>
  <pageMargins left="0.5" right="0.5" top="0.75" bottom="0.75" header="0.25" footer="0.2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4F2D7F"/>
    <outlinePr summaryBelow="1" summaryRight="1"/>
    <pageSetUpPr fitToPage="1"/>
  </sheetPr>
  <dimension ref="A1:G2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70" customWidth="1" min="3" max="3"/>
    <col width="8" customWidth="1" min="4" max="4"/>
    <col width="8" customWidth="1" min="5" max="5"/>
    <col width="10" customWidth="1" min="6" max="6"/>
    <col width="3" customWidth="1" min="7" max="7"/>
  </cols>
  <sheetData>
    <row r="1" ht="34" customHeight="1">
      <c r="A1" s="1" t="inlineStr">
        <is>
          <t>3. Inherent Risk Tiering</t>
        </is>
      </c>
    </row>
    <row r="2" ht="30" customHeight="1">
      <c r="A2" s="2" t="inlineStr">
        <is>
          <t>Select the statement that best describes the use case for each factor. The weighted score (0-100) and override rules determine the inherent risk tier, which sets assessment depth, approval authority and review frequency (see Scales).</t>
        </is>
      </c>
    </row>
    <row r="4">
      <c r="A4" s="6" t="inlineStr">
        <is>
          <t>#</t>
        </is>
      </c>
      <c r="B4" s="6" t="inlineStr">
        <is>
          <t>Factor</t>
        </is>
      </c>
      <c r="C4" s="6" t="inlineStr">
        <is>
          <t>Selected description (choose from list)</t>
        </is>
      </c>
      <c r="D4" s="6" t="inlineStr">
        <is>
          <t>Level (0-4)</t>
        </is>
      </c>
      <c r="E4" s="6" t="inlineStr">
        <is>
          <t>Weight</t>
        </is>
      </c>
      <c r="F4" s="6" t="inlineStr">
        <is>
          <t>Weighted</t>
        </is>
      </c>
    </row>
    <row r="5" ht="32" customHeight="1">
      <c r="A5" s="7" t="inlineStr">
        <is>
          <t>T1</t>
        </is>
      </c>
      <c r="B5" s="11" t="inlineStr">
        <is>
          <t>Impact of decisions on individuals</t>
        </is>
      </c>
      <c r="C5" s="5" t="n"/>
      <c r="D5" s="7" t="str">
        <f>IF(C5="","",MATCH(C5,Lists!$L$1:$L$5,0)-1)</f>
        <v/>
      </c>
      <c r="E5" s="7" t="n">
        <v>3</v>
      </c>
      <c r="F5" s="7" t="str">
        <f>IF(D5="","",D5*E5)</f>
        <v/>
      </c>
    </row>
    <row r="6" ht="32" customHeight="1">
      <c r="A6" s="7" t="inlineStr">
        <is>
          <t>T2</t>
        </is>
      </c>
      <c r="B6" s="11" t="inlineStr">
        <is>
          <t>Autonomy &amp; human oversight</t>
        </is>
      </c>
      <c r="C6" s="5" t="n"/>
      <c r="D6" s="7" t="str">
        <f>IF(C6="","",MATCH(C6,Lists!$M$1:$M$5,0)-1)</f>
        <v/>
      </c>
      <c r="E6" s="7" t="n">
        <v>3</v>
      </c>
      <c r="F6" s="7" t="str">
        <f>IF(D6="","",D6*E6)</f>
        <v/>
      </c>
    </row>
    <row r="7" ht="32" customHeight="1">
      <c r="A7" s="7" t="inlineStr">
        <is>
          <t>T3</t>
        </is>
      </c>
      <c r="B7" s="11" t="inlineStr">
        <is>
          <t>Data sensitivity</t>
        </is>
      </c>
      <c r="C7" s="5" t="n"/>
      <c r="D7" s="7" t="str">
        <f>IF(C7="","",MATCH(C7,Lists!$N$1:$N$5,0)-1)</f>
        <v/>
      </c>
      <c r="E7" s="7" t="n">
        <v>2</v>
      </c>
      <c r="F7" s="7" t="str">
        <f>IF(D7="","",D7*E7)</f>
        <v/>
      </c>
    </row>
    <row r="8" ht="32" customHeight="1">
      <c r="A8" s="7" t="inlineStr">
        <is>
          <t>T4</t>
        </is>
      </c>
      <c r="B8" s="11" t="inlineStr">
        <is>
          <t>Scale &amp; reach</t>
        </is>
      </c>
      <c r="C8" s="5" t="n"/>
      <c r="D8" s="7" t="str">
        <f>IF(C8="","",MATCH(C8,Lists!$O$1:$O$5,0)-1)</f>
        <v/>
      </c>
      <c r="E8" s="7" t="n">
        <v>1</v>
      </c>
      <c r="F8" s="7" t="str">
        <f>IF(D8="","",D8*E8)</f>
        <v/>
      </c>
    </row>
    <row r="9" ht="32" customHeight="1">
      <c r="A9" s="7" t="inlineStr">
        <is>
          <t>T5</t>
        </is>
      </c>
      <c r="B9" s="11" t="inlineStr">
        <is>
          <t>Reversibility of outcomes</t>
        </is>
      </c>
      <c r="C9" s="5" t="n"/>
      <c r="D9" s="7" t="str">
        <f>IF(C9="","",MATCH(C9,Lists!$P$1:$P$5,0)-1)</f>
        <v/>
      </c>
      <c r="E9" s="7" t="n">
        <v>2</v>
      </c>
      <c r="F9" s="7" t="str">
        <f>IF(D9="","",D9*E9)</f>
        <v/>
      </c>
    </row>
    <row r="10" ht="32" customHeight="1">
      <c r="A10" s="7" t="inlineStr">
        <is>
          <t>T6</t>
        </is>
      </c>
      <c r="B10" s="11" t="inlineStr">
        <is>
          <t>Vulnerable groups affected</t>
        </is>
      </c>
      <c r="C10" s="5" t="n"/>
      <c r="D10" s="7" t="str">
        <f>IF(C10="","",MATCH(C10,Lists!$Q$1:$Q$5,0)-1)</f>
        <v/>
      </c>
      <c r="E10" s="7" t="n">
        <v>2</v>
      </c>
      <c r="F10" s="7" t="str">
        <f>IF(D10="","",D10*E10)</f>
        <v/>
      </c>
    </row>
    <row r="11" ht="32" customHeight="1">
      <c r="A11" s="7" t="inlineStr">
        <is>
          <t>T7</t>
        </is>
      </c>
      <c r="B11" s="11" t="inlineStr">
        <is>
          <t>Regulatory classification &amp; sector criticality</t>
        </is>
      </c>
      <c r="C11" s="5" t="n"/>
      <c r="D11" s="7" t="str">
        <f>IF(C11="","",MATCH(C11,Lists!$R$1:$R$5,0)-1)</f>
        <v/>
      </c>
      <c r="E11" s="7" t="n">
        <v>2</v>
      </c>
      <c r="F11" s="7" t="str">
        <f>IF(D11="","",D11*E11)</f>
        <v/>
      </c>
    </row>
    <row r="12" ht="32" customHeight="1">
      <c r="A12" s="7" t="inlineStr">
        <is>
          <t>T8</t>
        </is>
      </c>
      <c r="B12" s="11" t="inlineStr">
        <is>
          <t>Technology novelty &amp; opacity</t>
        </is>
      </c>
      <c r="C12" s="5" t="n"/>
      <c r="D12" s="7" t="str">
        <f>IF(C12="","",MATCH(C12,Lists!$S$1:$S$5,0)-1)</f>
        <v/>
      </c>
      <c r="E12" s="7" t="n">
        <v>1</v>
      </c>
      <c r="F12" s="7" t="str">
        <f>IF(D12="","",D12*E12)</f>
        <v/>
      </c>
    </row>
    <row r="13" ht="32" customHeight="1">
      <c r="A13" s="7" t="inlineStr">
        <is>
          <t>T9</t>
        </is>
      </c>
      <c r="B13" s="11" t="inlineStr">
        <is>
          <t>External exposure</t>
        </is>
      </c>
      <c r="C13" s="5" t="n"/>
      <c r="D13" s="7" t="str">
        <f>IF(C13="","",MATCH(C13,Lists!$T$1:$T$5,0)-1)</f>
        <v/>
      </c>
      <c r="E13" s="7" t="n">
        <v>1</v>
      </c>
      <c r="F13" s="7" t="str">
        <f>IF(D13="","",D13*E13)</f>
        <v/>
      </c>
    </row>
    <row r="14" ht="32" customHeight="1">
      <c r="A14" s="7" t="inlineStr">
        <is>
          <t>T10</t>
        </is>
      </c>
      <c r="B14" s="11" t="inlineStr">
        <is>
          <t>Third-party dependence</t>
        </is>
      </c>
      <c r="C14" s="5" t="n"/>
      <c r="D14" s="7" t="str">
        <f>IF(C14="","",MATCH(C14,Lists!$U$1:$U$5,0)-1)</f>
        <v/>
      </c>
      <c r="E14" s="7" t="n">
        <v>1</v>
      </c>
      <c r="F14" s="7" t="str">
        <f>IF(D14="","",D14*E14)</f>
        <v/>
      </c>
    </row>
    <row r="16" ht="20" customHeight="1">
      <c r="B16" s="3" t="inlineStr">
        <is>
          <t>Factors answered</t>
        </is>
      </c>
      <c r="C16" s="12" t="str">
        <f>COUNT(D5:D14)&amp;" of 10"</f>
        <v>0 of 10</v>
      </c>
      <c r="D16" s="13" t="n"/>
      <c r="E16" s="13" t="n"/>
      <c r="F16" s="10" t="n"/>
    </row>
    <row r="17" ht="20" customHeight="1">
      <c r="B17" s="3" t="inlineStr">
        <is>
          <t>Weighted score (0-100)</t>
        </is>
      </c>
      <c r="C17" s="12" t="str">
        <f>IF(COUNT(D5:D14)&lt;10,"",ROUND(SUM(F5:F14)/(4*SUM(E5:E14))*100,0))</f>
        <v/>
      </c>
      <c r="D17" s="13" t="n"/>
      <c r="E17" s="13" t="n"/>
      <c r="F17" s="10" t="n"/>
    </row>
    <row r="18" ht="20" customHeight="1">
      <c r="B18" s="3" t="inlineStr">
        <is>
          <t>Score-based tier</t>
        </is>
      </c>
      <c r="C18" s="12" t="str">
        <f>IF(C17="","",IF(C17&gt;=75,"Critical",IF(C17&gt;=50,"High",IF(C17&gt;=25,"Medium","Low"))))</f>
        <v/>
      </c>
      <c r="D18" s="13" t="n"/>
      <c r="E18" s="13" t="n"/>
      <c r="F18" s="10" t="n"/>
    </row>
    <row r="19" ht="20" customHeight="1">
      <c r="B19" s="3" t="inlineStr">
        <is>
          <t>Override triggered</t>
        </is>
      </c>
      <c r="C19" s="12" t="str">
        <f>IF(C17="","",IF(AND(D5=4,D6=4),"Critical - significant decisions made autonomously",IF(OR(D5=4,D11=4),"Min. High - significant-effect decisions or high-risk classification",IF(AND(D5&gt;=3,D6&gt;=3),"Min. High - material decisions with limited oversight",IF(D7=4,"Min. Medium - sensitive data","None")))))</f>
        <v/>
      </c>
      <c r="D19" s="13" t="n"/>
      <c r="E19" s="13" t="n"/>
      <c r="F19" s="10" t="n"/>
    </row>
    <row r="20" ht="20" customHeight="1">
      <c r="B20" s="3" t="inlineStr">
        <is>
          <t>Prohibited-practice screen</t>
        </is>
      </c>
      <c r="C20" s="12" t="str">
        <f>'2. Prohibited Screen'!C14</f>
        <v>Incomplete</v>
      </c>
      <c r="D20" s="13" t="n"/>
      <c r="E20" s="13" t="n"/>
      <c r="F20" s="10" t="n"/>
    </row>
    <row r="21" ht="20" customHeight="1">
      <c r="B21" s="3" t="inlineStr">
        <is>
          <t>FINAL INHERENT RISK TIER</t>
        </is>
      </c>
      <c r="C21" s="14" t="str">
        <f>IF(C20="PROHIBITED","Prohibited",IF(C17="","Incomplete",IF(LEFT(C19,8)="Critical","Critical",IF(AND(LEFT(C19,9)="Min. High",C18&lt;&gt;"Critical"),"High",IF(AND(LEFT(C19,11)="Min. Medium",C18="Low"),"Medium",C18)))))</f>
        <v>Incomplete</v>
      </c>
      <c r="D21" s="13" t="n"/>
      <c r="E21" s="13" t="n"/>
      <c r="F21" s="10" t="n"/>
    </row>
    <row r="22" ht="30" customHeight="1">
      <c r="B22" s="3" t="inlineStr">
        <is>
          <t>Assessment requirements</t>
        </is>
      </c>
      <c r="C22" s="12" t="str">
        <f>IFERROR(VLOOKUP(C21,Scales!$A$36:$H$39,3,FALSE),IF(C21="Prohibited","Do not proceed. Refer to Legal and AI Committee.",""))</f>
        <v/>
      </c>
      <c r="D22" s="13" t="n"/>
      <c r="E22" s="13" t="n"/>
      <c r="F22" s="10" t="n"/>
    </row>
    <row r="23" ht="30" customHeight="1">
      <c r="B23" s="3" t="inlineStr">
        <is>
          <t>Approval authority</t>
        </is>
      </c>
      <c r="C23" s="12" t="str">
        <f>IFERROR(VLOOKUP(C21,Scales!$A$36:$H$39,6,FALSE),IF(C21="Prohibited","Legal + Executive Committee",""))</f>
        <v/>
      </c>
      <c r="D23" s="13" t="n"/>
      <c r="E23" s="13" t="n"/>
      <c r="F23" s="10" t="n"/>
    </row>
    <row r="24" ht="30" customHeight="1">
      <c r="B24" s="3" t="inlineStr">
        <is>
          <t>Review frequency</t>
        </is>
      </c>
      <c r="C24" s="12" t="str">
        <f>IFERROR(VLOOKUP(C21,Scales!$A$36:$H$39,8,FALSE),"")</f>
        <v/>
      </c>
      <c r="D24" s="13" t="n"/>
      <c r="E24" s="13" t="n"/>
      <c r="F24" s="10" t="n"/>
    </row>
  </sheetData>
  <mergeCells count="11">
    <mergeCell ref="C22:F22"/>
    <mergeCell ref="C18:F18"/>
    <mergeCell ref="A1:G1"/>
    <mergeCell ref="C17:F17"/>
    <mergeCell ref="C23:F23"/>
    <mergeCell ref="C20:F20"/>
    <mergeCell ref="C21:F21"/>
    <mergeCell ref="C16:F16"/>
    <mergeCell ref="A2:G2"/>
    <mergeCell ref="C24:F24"/>
    <mergeCell ref="C19:F19"/>
  </mergeCells>
  <conditionalFormatting sqref="C18">
    <cfRule type="cellIs" priority="1" operator="equal" dxfId="2">
      <formula>"Low"</formula>
    </cfRule>
    <cfRule type="cellIs" priority="2" operator="equal" dxfId="3">
      <formula>"Medium"</formula>
    </cfRule>
    <cfRule type="cellIs" priority="3" operator="equal" dxfId="4">
      <formula>"High"</formula>
    </cfRule>
    <cfRule type="cellIs" priority="4" operator="equal" dxfId="5">
      <formula>"Critical"</formula>
    </cfRule>
    <cfRule type="cellIs" priority="5" operator="equal" dxfId="0">
      <formula>"Prohibited"</formula>
    </cfRule>
  </conditionalFormatting>
  <conditionalFormatting sqref="C21">
    <cfRule type="cellIs" priority="6" operator="equal" dxfId="2">
      <formula>"Low"</formula>
    </cfRule>
    <cfRule type="cellIs" priority="7" operator="equal" dxfId="3">
      <formula>"Medium"</formula>
    </cfRule>
    <cfRule type="cellIs" priority="8" operator="equal" dxfId="4">
      <formula>"High"</formula>
    </cfRule>
    <cfRule type="cellIs" priority="9" operator="equal" dxfId="5">
      <formula>"Critical"</formula>
    </cfRule>
    <cfRule type="cellIs" priority="10" operator="equal" dxfId="0">
      <formula>"Prohibited"</formula>
    </cfRule>
  </conditionalFormatting>
  <dataValidations count="10">
    <dataValidation sqref="C5" showDropDown="0" showInputMessage="0" showErrorMessage="0" allowBlank="1" type="list">
      <formula1>=Lists!$L$1:$L$5</formula1>
    </dataValidation>
    <dataValidation sqref="C6" showDropDown="0" showInputMessage="0" showErrorMessage="0" allowBlank="1" type="list">
      <formula1>=Lists!$M$1:$M$5</formula1>
    </dataValidation>
    <dataValidation sqref="C7" showDropDown="0" showInputMessage="0" showErrorMessage="0" allowBlank="1" type="list">
      <formula1>=Lists!$N$1:$N$5</formula1>
    </dataValidation>
    <dataValidation sqref="C8" showDropDown="0" showInputMessage="0" showErrorMessage="0" allowBlank="1" type="list">
      <formula1>=Lists!$O$1:$O$5</formula1>
    </dataValidation>
    <dataValidation sqref="C9" showDropDown="0" showInputMessage="0" showErrorMessage="0" allowBlank="1" type="list">
      <formula1>=Lists!$P$1:$P$5</formula1>
    </dataValidation>
    <dataValidation sqref="C10" showDropDown="0" showInputMessage="0" showErrorMessage="0" allowBlank="1" type="list">
      <formula1>=Lists!$Q$1:$Q$5</formula1>
    </dataValidation>
    <dataValidation sqref="C11" showDropDown="0" showInputMessage="0" showErrorMessage="0" allowBlank="1" type="list">
      <formula1>=Lists!$R$1:$R$5</formula1>
    </dataValidation>
    <dataValidation sqref="C12" showDropDown="0" showInputMessage="0" showErrorMessage="0" allowBlank="1" type="list">
      <formula1>=Lists!$S$1:$S$5</formula1>
    </dataValidation>
    <dataValidation sqref="C13" showDropDown="0" showInputMessage="0" showErrorMessage="0" allowBlank="1" type="list">
      <formula1>=Lists!$T$1:$T$5</formula1>
    </dataValidation>
    <dataValidation sqref="C14" showDropDown="0" showInputMessage="0" showErrorMessage="0" allowBlank="1" type="list">
      <formula1>=Lists!$U$1:$U$5</formula1>
    </dataValidation>
  </dataValidations>
  <printOptions gridLines="0"/>
  <pageMargins left="0.5" right="0.5" top="0.75" bottom="0.75" header="0.25" footer="0.2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4F2D7F"/>
    <outlinePr summaryBelow="1" summaryRight="1"/>
    <pageSetUpPr fitToPage="1"/>
  </sheetPr>
  <dimension ref="A1:V66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18" customWidth="1" min="3" max="3"/>
    <col width="26" customWidth="1" min="4" max="4"/>
    <col width="44" customWidth="1" min="5" max="5"/>
    <col width="12" customWidth="1" min="6" max="6"/>
    <col width="12" customWidth="1" min="7" max="7"/>
    <col width="8" customWidth="1" min="8" max="8"/>
    <col width="10" customWidth="1" min="9" max="9"/>
    <col width="20" customWidth="1" min="10" max="10"/>
    <col width="14" customWidth="1" min="11" max="11"/>
    <col width="8" customWidth="1" min="12" max="12"/>
    <col width="10" customWidth="1" min="13" max="13"/>
    <col width="9" customWidth="1" min="14" max="14"/>
    <col width="10" customWidth="1" min="15" max="15"/>
    <col width="40" customWidth="1" min="16" max="16"/>
    <col width="16" customWidth="1" min="17" max="17"/>
    <col width="11" customWidth="1" min="18" max="18"/>
    <col width="12" customWidth="1" min="19" max="19"/>
    <col width="28" customWidth="1" min="20" max="20"/>
    <col hidden="1" width="13" customWidth="1" min="22" max="22"/>
  </cols>
  <sheetData>
    <row r="1" ht="34" customHeight="1">
      <c r="A1" s="1" t="inlineStr">
        <is>
          <t>4. AI Risk Register</t>
        </is>
      </c>
    </row>
    <row r="2" ht="30" customHeight="1">
      <c r="A2" s="2" t="inlineStr">
        <is>
          <t>Mark each taxonomy risk as applicable (Yes/No), tailor the scenario, rate inherent likelihood &amp; impact, assess existing control effectiveness and define treatment. Scores, ratings and heat map update automatically. Add bespoke risks in the blank rows at the bottom.</t>
        </is>
      </c>
    </row>
    <row r="4" ht="42" customHeight="1">
      <c r="A4" s="6" t="inlineStr">
        <is>
          <t>Applicable?</t>
        </is>
      </c>
      <c r="B4" s="6" t="inlineStr">
        <is>
          <t>Risk ID</t>
        </is>
      </c>
      <c r="C4" s="6" t="inlineStr">
        <is>
          <t>Category</t>
        </is>
      </c>
      <c r="D4" s="6" t="inlineStr">
        <is>
          <t>Risk</t>
        </is>
      </c>
      <c r="E4" s="6" t="inlineStr">
        <is>
          <t>Scenario (tailor to use case)</t>
        </is>
      </c>
      <c r="F4" s="6" t="inlineStr">
        <is>
          <t>Likelihood</t>
        </is>
      </c>
      <c r="G4" s="6" t="inlineStr">
        <is>
          <t>Impact</t>
        </is>
      </c>
      <c r="H4" s="6" t="inlineStr">
        <is>
          <t>Inherent score</t>
        </is>
      </c>
      <c r="I4" s="6" t="inlineStr">
        <is>
          <t>Inherent rating</t>
        </is>
      </c>
      <c r="J4" s="6" t="inlineStr">
        <is>
          <t>Existing / required controls (RCM v2.1)</t>
        </is>
      </c>
      <c r="K4" s="6" t="inlineStr">
        <is>
          <t>Control effectiveness</t>
        </is>
      </c>
      <c r="L4" s="6" t="inlineStr">
        <is>
          <t>Residual score</t>
        </is>
      </c>
      <c r="M4" s="6" t="inlineStr">
        <is>
          <t>Residual rating</t>
        </is>
      </c>
      <c r="N4" s="6" t="inlineStr">
        <is>
          <t>Within appetite?</t>
        </is>
      </c>
      <c r="O4" s="6" t="inlineStr">
        <is>
          <t>Treatment</t>
        </is>
      </c>
      <c r="P4" s="6" t="inlineStr">
        <is>
          <t>Treatment actions</t>
        </is>
      </c>
      <c r="Q4" s="6" t="inlineStr">
        <is>
          <t>Risk owner</t>
        </is>
      </c>
      <c r="R4" s="6" t="inlineStr">
        <is>
          <t>Due date</t>
        </is>
      </c>
      <c r="S4" s="6" t="inlineStr">
        <is>
          <t>Status</t>
        </is>
      </c>
      <c r="T4" s="6" t="inlineStr">
        <is>
          <t>KRI</t>
        </is>
      </c>
    </row>
    <row r="5" ht="44" customHeight="1">
      <c r="A5" s="15" t="n"/>
      <c r="B5" s="12" t="inlineStr">
        <is>
          <t>GOV-01</t>
        </is>
      </c>
      <c r="C5" s="12" t="inlineStr">
        <is>
          <t>Governance &amp; Accountability</t>
        </is>
      </c>
      <c r="D5" s="4" t="inlineStr">
        <is>
          <t>Unclear accountability for AI outcomes</t>
        </is>
      </c>
      <c r="E5" s="5" t="inlineStr">
        <is>
          <t>No named business or technical owner for an AI system; decisions and incidents cannot be attributed or escalated.</t>
        </is>
      </c>
      <c r="F5" s="15" t="n"/>
      <c r="G5" s="15" t="n"/>
      <c r="H5" s="7" t="str">
        <f>IF(OR($A5&lt;&gt;"Yes",F5="",G5=""),"",MATCH(F5,Lists!$B$1:$B$5,0)*MATCH(G5,Lists!$C$1:$C$5,0))</f>
        <v/>
      </c>
      <c r="I5" s="7" t="str">
        <f>IF(H5="","",IF(H5&gt;=17,"Critical",IF(H5&gt;=10,"High",IF(H5&gt;=5,"Medium","Low"))))</f>
        <v/>
      </c>
      <c r="J5" s="5" t="inlineStr">
        <is>
          <t>GL-1, GL-2, GL-8</t>
        </is>
      </c>
      <c r="K5" s="15" t="n"/>
      <c r="L5" s="7" t="str">
        <f>IF(OR(H5="",K5=""),"",ROUND(H5*VLOOKUP(K5,Scales!$A$22:$B$25,2,FALSE),1))</f>
        <v/>
      </c>
      <c r="M5" s="7" t="str">
        <f>IF(L5="","",IF(L5&gt;=17,"Critical",IF(L5&gt;=10,"High",IF(L5&gt;=5,"Medium","Low"))))</f>
        <v/>
      </c>
      <c r="N5" s="7" t="str">
        <f>IF(M5="","",IF(OR(M5="Low",M5="Medium"),"Yes","No"))</f>
        <v/>
      </c>
      <c r="O5" s="15" t="n"/>
      <c r="P5" s="5" t="n"/>
      <c r="Q5" s="15" t="n"/>
      <c r="R5" s="15" t="n"/>
      <c r="S5" s="15" t="n"/>
      <c r="T5" s="5" t="inlineStr">
        <is>
          <t>% AI systems in register without named owner</t>
        </is>
      </c>
      <c r="V5" t="str">
        <f>IF(L5="","",L5+ROW()/100000)</f>
        <v/>
      </c>
    </row>
    <row r="6" ht="44" customHeight="1">
      <c r="A6" s="15" t="n"/>
      <c r="B6" s="12" t="inlineStr">
        <is>
          <t>GOV-02</t>
        </is>
      </c>
      <c r="C6" s="12" t="inlineStr">
        <is>
          <t>Governance &amp; Accountability</t>
        </is>
      </c>
      <c r="D6" s="4" t="inlineStr">
        <is>
          <t>Shadow / unsanctioned AI use</t>
        </is>
      </c>
      <c r="E6" s="5" t="inlineStr">
        <is>
          <t>Staff use unapproved AI tools, bypassing risk assessment and exposing confidential data.</t>
        </is>
      </c>
      <c r="F6" s="15" t="n"/>
      <c r="G6" s="15" t="n"/>
      <c r="H6" s="7" t="str">
        <f>IF(OR($A6&lt;&gt;"Yes",F6="",G6=""),"",MATCH(F6,Lists!$B$1:$B$5,0)*MATCH(G6,Lists!$C$1:$C$5,0))</f>
        <v/>
      </c>
      <c r="I6" s="7" t="str">
        <f>IF(H6="","",IF(H6&gt;=17,"Critical",IF(H6&gt;=10,"High",IF(H6&gt;=5,"Medium","Low"))))</f>
        <v/>
      </c>
      <c r="J6" s="5" t="inlineStr">
        <is>
          <t>GL-5, GL-8</t>
        </is>
      </c>
      <c r="K6" s="15" t="n"/>
      <c r="L6" s="7" t="str">
        <f>IF(OR(H6="",K6=""),"",ROUND(H6*VLOOKUP(K6,Scales!$A$22:$B$25,2,FALSE),1))</f>
        <v/>
      </c>
      <c r="M6" s="7" t="str">
        <f>IF(L6="","",IF(L6&gt;=17,"Critical",IF(L6&gt;=10,"High",IF(L6&gt;=5,"Medium","Low"))))</f>
        <v/>
      </c>
      <c r="N6" s="7" t="str">
        <f>IF(M6="","",IF(OR(M6="Low",M6="Medium"),"Yes","No"))</f>
        <v/>
      </c>
      <c r="O6" s="15" t="n"/>
      <c r="P6" s="5" t="n"/>
      <c r="Q6" s="15" t="n"/>
      <c r="R6" s="15" t="n"/>
      <c r="S6" s="15" t="n"/>
      <c r="T6" s="5" t="inlineStr">
        <is>
          <t>Unsanctioned AI services detected per month</t>
        </is>
      </c>
      <c r="V6" t="str">
        <f>IF(L6="","",L6+ROW()/100000)</f>
        <v/>
      </c>
    </row>
    <row r="7" ht="44" customHeight="1">
      <c r="A7" s="15" t="n"/>
      <c r="B7" s="12" t="inlineStr">
        <is>
          <t>GOV-03</t>
        </is>
      </c>
      <c r="C7" s="12" t="inlineStr">
        <is>
          <t>Governance &amp; Accountability</t>
        </is>
      </c>
      <c r="D7" s="4" t="inlineStr">
        <is>
          <t>AI deployed without adequate risk assessment</t>
        </is>
      </c>
      <c r="E7" s="5" t="inlineStr">
        <is>
          <t>Use case moves to production without tiering, impact assessment or approval proportionate to risk.</t>
        </is>
      </c>
      <c r="F7" s="15" t="n"/>
      <c r="G7" s="15" t="n"/>
      <c r="H7" s="7" t="str">
        <f>IF(OR($A7&lt;&gt;"Yes",F7="",G7=""),"",MATCH(F7,Lists!$B$1:$B$5,0)*MATCH(G7,Lists!$C$1:$C$5,0))</f>
        <v/>
      </c>
      <c r="I7" s="7" t="str">
        <f>IF(H7="","",IF(H7&gt;=17,"Critical",IF(H7&gt;=10,"High",IF(H7&gt;=5,"Medium","Low"))))</f>
        <v/>
      </c>
      <c r="J7" s="5" t="inlineStr">
        <is>
          <t>RM-2, RM-5, GL-7</t>
        </is>
      </c>
      <c r="K7" s="15" t="n"/>
      <c r="L7" s="7" t="str">
        <f>IF(OR(H7="",K7=""),"",ROUND(H7*VLOOKUP(K7,Scales!$A$22:$B$25,2,FALSE),1))</f>
        <v/>
      </c>
      <c r="M7" s="7" t="str">
        <f>IF(L7="","",IF(L7&gt;=17,"Critical",IF(L7&gt;=10,"High",IF(L7&gt;=5,"Medium","Low"))))</f>
        <v/>
      </c>
      <c r="N7" s="7" t="str">
        <f>IF(M7="","",IF(OR(M7="Low",M7="Medium"),"Yes","No"))</f>
        <v/>
      </c>
      <c r="O7" s="15" t="n"/>
      <c r="P7" s="5" t="n"/>
      <c r="Q7" s="15" t="n"/>
      <c r="R7" s="15" t="n"/>
      <c r="S7" s="15" t="n"/>
      <c r="T7" s="5" t="inlineStr">
        <is>
          <t>% production AI systems with current assessment</t>
        </is>
      </c>
      <c r="V7" t="str">
        <f>IF(L7="","",L7+ROW()/100000)</f>
        <v/>
      </c>
    </row>
    <row r="8" ht="44" customHeight="1">
      <c r="A8" s="15" t="n"/>
      <c r="B8" s="12" t="inlineStr">
        <is>
          <t>GOV-04</t>
        </is>
      </c>
      <c r="C8" s="12" t="inlineStr">
        <is>
          <t>Governance &amp; Accountability</t>
        </is>
      </c>
      <c r="D8" s="4" t="inlineStr">
        <is>
          <t>Misaligned or low-value AI investment</t>
        </is>
      </c>
      <c r="E8" s="5" t="inlineStr">
        <is>
          <t>AI initiatives lack defined benefits, leading to wasted spend and continued investment in ineffective or risky solutions.</t>
        </is>
      </c>
      <c r="F8" s="15" t="n"/>
      <c r="G8" s="15" t="n"/>
      <c r="H8" s="7" t="str">
        <f>IF(OR($A8&lt;&gt;"Yes",F8="",G8=""),"",MATCH(F8,Lists!$B$1:$B$5,0)*MATCH(G8,Lists!$C$1:$C$5,0))</f>
        <v/>
      </c>
      <c r="I8" s="7" t="str">
        <f>IF(H8="","",IF(H8&gt;=17,"Critical",IF(H8&gt;=10,"High",IF(H8&gt;=5,"Medium","Low"))))</f>
        <v/>
      </c>
      <c r="J8" s="5" t="inlineStr">
        <is>
          <t>GL-3, GL-6</t>
        </is>
      </c>
      <c r="K8" s="15" t="n"/>
      <c r="L8" s="7" t="str">
        <f>IF(OR(H8="",K8=""),"",ROUND(H8*VLOOKUP(K8,Scales!$A$22:$B$25,2,FALSE),1))</f>
        <v/>
      </c>
      <c r="M8" s="7" t="str">
        <f>IF(L8="","",IF(L8&gt;=17,"Critical",IF(L8&gt;=10,"High",IF(L8&gt;=5,"Medium","Low"))))</f>
        <v/>
      </c>
      <c r="N8" s="7" t="str">
        <f>IF(M8="","",IF(OR(M8="Low",M8="Medium"),"Yes","No"))</f>
        <v/>
      </c>
      <c r="O8" s="15" t="n"/>
      <c r="P8" s="5" t="n"/>
      <c r="Q8" s="15" t="n"/>
      <c r="R8" s="15" t="n"/>
      <c r="S8" s="15" t="n"/>
      <c r="T8" s="5" t="inlineStr">
        <is>
          <t>% AI initiatives meeting benefit KPIs</t>
        </is>
      </c>
      <c r="V8" t="str">
        <f>IF(L8="","",L8+ROW()/100000)</f>
        <v/>
      </c>
    </row>
    <row r="9" ht="44" customHeight="1">
      <c r="A9" s="15" t="n"/>
      <c r="B9" s="12" t="inlineStr">
        <is>
          <t>LEG-01</t>
        </is>
      </c>
      <c r="C9" s="12" t="inlineStr">
        <is>
          <t>Legal, Regulatory &amp; Compliance</t>
        </is>
      </c>
      <c r="D9" s="4" t="inlineStr">
        <is>
          <t>Use of a prohibited AI practice</t>
        </is>
      </c>
      <c r="E9" s="5" t="inlineStr">
        <is>
          <t>AI system falls within a prohibited category (e.g., manipulative techniques, social scoring, workplace emotion recognition).</t>
        </is>
      </c>
      <c r="F9" s="15" t="n"/>
      <c r="G9" s="15" t="n"/>
      <c r="H9" s="7" t="str">
        <f>IF(OR($A9&lt;&gt;"Yes",F9="",G9=""),"",MATCH(F9,Lists!$B$1:$B$5,0)*MATCH(G9,Lists!$C$1:$C$5,0))</f>
        <v/>
      </c>
      <c r="I9" s="7" t="str">
        <f>IF(H9="","",IF(H9&gt;=17,"Critical",IF(H9&gt;=10,"High",IF(H9&gt;=5,"Medium","Low"))))</f>
        <v/>
      </c>
      <c r="J9" s="5" t="inlineStr">
        <is>
          <t>RM-5, RS-2</t>
        </is>
      </c>
      <c r="K9" s="15" t="n"/>
      <c r="L9" s="7" t="str">
        <f>IF(OR(H9="",K9=""),"",ROUND(H9*VLOOKUP(K9,Scales!$A$22:$B$25,2,FALSE),1))</f>
        <v/>
      </c>
      <c r="M9" s="7" t="str">
        <f>IF(L9="","",IF(L9&gt;=17,"Critical",IF(L9&gt;=10,"High",IF(L9&gt;=5,"Medium","Low"))))</f>
        <v/>
      </c>
      <c r="N9" s="7" t="str">
        <f>IF(M9="","",IF(OR(M9="Low",M9="Medium"),"Yes","No"))</f>
        <v/>
      </c>
      <c r="O9" s="15" t="n"/>
      <c r="P9" s="5" t="n"/>
      <c r="Q9" s="15" t="n"/>
      <c r="R9" s="15" t="n"/>
      <c r="S9" s="15" t="n"/>
      <c r="T9" s="5" t="inlineStr">
        <is>
          <t>Number of use cases failing prohibited-practice screen</t>
        </is>
      </c>
      <c r="V9" t="str">
        <f>IF(L9="","",L9+ROW()/100000)</f>
        <v/>
      </c>
    </row>
    <row r="10" ht="44" customHeight="1">
      <c r="A10" s="15" t="n"/>
      <c r="B10" s="12" t="inlineStr">
        <is>
          <t>LEG-02</t>
        </is>
      </c>
      <c r="C10" s="12" t="inlineStr">
        <is>
          <t>Legal, Regulatory &amp; Compliance</t>
        </is>
      </c>
      <c r="D10" s="4" t="inlineStr">
        <is>
          <t>Non-compliance with high-risk AI obligations</t>
        </is>
      </c>
      <c r="E10" s="5" t="inlineStr">
        <is>
          <t>Provider or deployer duties (risk management, data governance, logging, oversight, FRIA, registration) not met for a high-risk system.</t>
        </is>
      </c>
      <c r="F10" s="15" t="n"/>
      <c r="G10" s="15" t="n"/>
      <c r="H10" s="7" t="str">
        <f>IF(OR($A10&lt;&gt;"Yes",F10="",G10=""),"",MATCH(F10,Lists!$B$1:$B$5,0)*MATCH(G10,Lists!$C$1:$C$5,0))</f>
        <v/>
      </c>
      <c r="I10" s="7" t="str">
        <f>IF(H10="","",IF(H10&gt;=17,"Critical",IF(H10&gt;=10,"High",IF(H10&gt;=5,"Medium","Low"))))</f>
        <v/>
      </c>
      <c r="J10" s="5" t="inlineStr">
        <is>
          <t>RO-1, RO-6, RM-5</t>
        </is>
      </c>
      <c r="K10" s="15" t="n"/>
      <c r="L10" s="7" t="str">
        <f>IF(OR(H10="",K10=""),"",ROUND(H10*VLOOKUP(K10,Scales!$A$22:$B$25,2,FALSE),1))</f>
        <v/>
      </c>
      <c r="M10" s="7" t="str">
        <f>IF(L10="","",IF(L10&gt;=17,"Critical",IF(L10&gt;=10,"High",IF(L10&gt;=5,"Medium","Low"))))</f>
        <v/>
      </c>
      <c r="N10" s="7" t="str">
        <f>IF(M10="","",IF(OR(M10="Low",M10="Medium"),"Yes","No"))</f>
        <v/>
      </c>
      <c r="O10" s="15" t="n"/>
      <c r="P10" s="5" t="n"/>
      <c r="Q10" s="15" t="n"/>
      <c r="R10" s="15" t="n"/>
      <c r="S10" s="15" t="n"/>
      <c r="T10" s="5" t="inlineStr">
        <is>
          <t>Open compliance gaps on high-risk systems</t>
        </is>
      </c>
      <c r="V10" t="str">
        <f>IF(L10="","",L10+ROW()/100000)</f>
        <v/>
      </c>
    </row>
    <row r="11" ht="44" customHeight="1">
      <c r="A11" s="15" t="n"/>
      <c r="B11" s="12" t="inlineStr">
        <is>
          <t>LEG-03</t>
        </is>
      </c>
      <c r="C11" s="12" t="inlineStr">
        <is>
          <t>Legal, Regulatory &amp; Compliance</t>
        </is>
      </c>
      <c r="D11" s="4" t="inlineStr">
        <is>
          <t>Breach of sector or local regulation</t>
        </is>
      </c>
      <c r="E11" s="5" t="inlineStr">
        <is>
          <t>AI use breaches Bahrain PDPL, CBB Rulebook, iGA policy or other applicable regimes (incl. KSA/UAE where operating).</t>
        </is>
      </c>
      <c r="F11" s="15" t="n"/>
      <c r="G11" s="15" t="n"/>
      <c r="H11" s="7" t="str">
        <f>IF(OR($A11&lt;&gt;"Yes",F11="",G11=""),"",MATCH(F11,Lists!$B$1:$B$5,0)*MATCH(G11,Lists!$C$1:$C$5,0))</f>
        <v/>
      </c>
      <c r="I11" s="7" t="str">
        <f>IF(H11="","",IF(H11&gt;=17,"Critical",IF(H11&gt;=10,"High",IF(H11&gt;=5,"Medium","Low"))))</f>
        <v/>
      </c>
      <c r="J11" s="5" t="inlineStr">
        <is>
          <t>RO-5, PR-1, TP-3</t>
        </is>
      </c>
      <c r="K11" s="15" t="n"/>
      <c r="L11" s="7" t="str">
        <f>IF(OR(H11="",K11=""),"",ROUND(H11*VLOOKUP(K11,Scales!$A$22:$B$25,2,FALSE),1))</f>
        <v/>
      </c>
      <c r="M11" s="7" t="str">
        <f>IF(L11="","",IF(L11&gt;=17,"Critical",IF(L11&gt;=10,"High",IF(L11&gt;=5,"Medium","Low"))))</f>
        <v/>
      </c>
      <c r="N11" s="7" t="str">
        <f>IF(M11="","",IF(OR(M11="Low",M11="Medium"),"Yes","No"))</f>
        <v/>
      </c>
      <c r="O11" s="15" t="n"/>
      <c r="P11" s="5" t="n"/>
      <c r="Q11" s="15" t="n"/>
      <c r="R11" s="15" t="n"/>
      <c r="S11" s="15" t="n"/>
      <c r="T11" s="5" t="inlineStr">
        <is>
          <t>Regulatory findings related to AI</t>
        </is>
      </c>
      <c r="V11" t="str">
        <f>IF(L11="","",L11+ROW()/100000)</f>
        <v/>
      </c>
    </row>
    <row r="12" ht="44" customHeight="1">
      <c r="A12" s="15" t="n"/>
      <c r="B12" s="12" t="inlineStr">
        <is>
          <t>LEG-04</t>
        </is>
      </c>
      <c r="C12" s="12" t="inlineStr">
        <is>
          <t>Legal, Regulatory &amp; Compliance</t>
        </is>
      </c>
      <c r="D12" s="4" t="inlineStr">
        <is>
          <t>Intellectual property / copyright infringement</t>
        </is>
      </c>
      <c r="E12" s="5" t="inlineStr">
        <is>
          <t>Training data, prompts or outputs infringe third-party IP, licence terms or client confidentiality.</t>
        </is>
      </c>
      <c r="F12" s="15" t="n"/>
      <c r="G12" s="15" t="n"/>
      <c r="H12" s="7" t="str">
        <f>IF(OR($A12&lt;&gt;"Yes",F12="",G12=""),"",MATCH(F12,Lists!$B$1:$B$5,0)*MATCH(G12,Lists!$C$1:$C$5,0))</f>
        <v/>
      </c>
      <c r="I12" s="7" t="str">
        <f>IF(H12="","",IF(H12&gt;=17,"Critical",IF(H12&gt;=10,"High",IF(H12&gt;=5,"Medium","Low"))))</f>
        <v/>
      </c>
      <c r="J12" s="5" t="inlineStr">
        <is>
          <t>LC-11, LC-6</t>
        </is>
      </c>
      <c r="K12" s="15" t="n"/>
      <c r="L12" s="7" t="str">
        <f>IF(OR(H12="",K12=""),"",ROUND(H12*VLOOKUP(K12,Scales!$A$22:$B$25,2,FALSE),1))</f>
        <v/>
      </c>
      <c r="M12" s="7" t="str">
        <f>IF(L12="","",IF(L12&gt;=17,"Critical",IF(L12&gt;=10,"High",IF(L12&gt;=5,"Medium","Low"))))</f>
        <v/>
      </c>
      <c r="N12" s="7" t="str">
        <f>IF(M12="","",IF(OR(M12="Low",M12="Medium"),"Yes","No"))</f>
        <v/>
      </c>
      <c r="O12" s="15" t="n"/>
      <c r="P12" s="5" t="n"/>
      <c r="Q12" s="15" t="n"/>
      <c r="R12" s="15" t="n"/>
      <c r="S12" s="15" t="n"/>
      <c r="T12" s="5" t="inlineStr">
        <is>
          <t>IP complaints / takedown requests</t>
        </is>
      </c>
      <c r="V12" t="str">
        <f>IF(L12="","",L12+ROW()/100000)</f>
        <v/>
      </c>
    </row>
    <row r="13" ht="44" customHeight="1">
      <c r="A13" s="15" t="n"/>
      <c r="B13" s="12" t="inlineStr">
        <is>
          <t>LEG-05</t>
        </is>
      </c>
      <c r="C13" s="12" t="inlineStr">
        <is>
          <t>Legal, Regulatory &amp; Compliance</t>
        </is>
      </c>
      <c r="D13" s="4" t="inlineStr">
        <is>
          <t>Liability for AI-caused harm</t>
        </is>
      </c>
      <c r="E13" s="5" t="inlineStr">
        <is>
          <t>Organisation is liable for damage caused by AI outputs or actions (contractual, tort or product liability).</t>
        </is>
      </c>
      <c r="F13" s="15" t="n"/>
      <c r="G13" s="15" t="n"/>
      <c r="H13" s="7" t="str">
        <f>IF(OR($A13&lt;&gt;"Yes",F13="",G13=""),"",MATCH(F13,Lists!$B$1:$B$5,0)*MATCH(G13,Lists!$C$1:$C$5,0))</f>
        <v/>
      </c>
      <c r="I13" s="7" t="str">
        <f>IF(H13="","",IF(H13&gt;=17,"Critical",IF(H13&gt;=10,"High",IF(H13&gt;=5,"Medium","Low"))))</f>
        <v/>
      </c>
      <c r="J13" s="5" t="inlineStr">
        <is>
          <t>TP-3, CO-3, IM-2</t>
        </is>
      </c>
      <c r="K13" s="15" t="n"/>
      <c r="L13" s="7" t="str">
        <f>IF(OR(H13="",K13=""),"",ROUND(H13*VLOOKUP(K13,Scales!$A$22:$B$25,2,FALSE),1))</f>
        <v/>
      </c>
      <c r="M13" s="7" t="str">
        <f>IF(L13="","",IF(L13&gt;=17,"Critical",IF(L13&gt;=10,"High",IF(L13&gt;=5,"Medium","Low"))))</f>
        <v/>
      </c>
      <c r="N13" s="7" t="str">
        <f>IF(M13="","",IF(OR(M13="Low",M13="Medium"),"Yes","No"))</f>
        <v/>
      </c>
      <c r="O13" s="15" t="n"/>
      <c r="P13" s="5" t="n"/>
      <c r="Q13" s="15" t="n"/>
      <c r="R13" s="15" t="n"/>
      <c r="S13" s="15" t="n"/>
      <c r="T13" s="5" t="inlineStr">
        <is>
          <t>Claims / complaints attributed to AI</t>
        </is>
      </c>
      <c r="V13" t="str">
        <f>IF(L13="","",L13+ROW()/100000)</f>
        <v/>
      </c>
    </row>
    <row r="14" ht="44" customHeight="1">
      <c r="A14" s="15" t="n"/>
      <c r="B14" s="12" t="inlineStr">
        <is>
          <t>FAI-01</t>
        </is>
      </c>
      <c r="C14" s="12" t="inlineStr">
        <is>
          <t>Fairness, Bias &amp; Human Rights</t>
        </is>
      </c>
      <c r="D14" s="4" t="inlineStr">
        <is>
          <t>Discriminatory or biased outcomes</t>
        </is>
      </c>
      <c r="E14" s="5" t="inlineStr">
        <is>
          <t>Model produces systematically different outcomes for protected or vulnerable groups (e.g., gender, nationality, age).</t>
        </is>
      </c>
      <c r="F14" s="15" t="n"/>
      <c r="G14" s="15" t="n"/>
      <c r="H14" s="7" t="str">
        <f>IF(OR($A14&lt;&gt;"Yes",F14="",G14=""),"",MATCH(F14,Lists!$B$1:$B$5,0)*MATCH(G14,Lists!$C$1:$C$5,0))</f>
        <v/>
      </c>
      <c r="I14" s="7" t="str">
        <f>IF(H14="","",IF(H14&gt;=17,"Critical",IF(H14&gt;=10,"High",IF(H14&gt;=5,"Medium","Low"))))</f>
        <v/>
      </c>
      <c r="J14" s="5" t="inlineStr">
        <is>
          <t>RS-5, LC-1</t>
        </is>
      </c>
      <c r="K14" s="15" t="n"/>
      <c r="L14" s="7" t="str">
        <f>IF(OR(H14="",K14=""),"",ROUND(H14*VLOOKUP(K14,Scales!$A$22:$B$25,2,FALSE),1))</f>
        <v/>
      </c>
      <c r="M14" s="7" t="str">
        <f>IF(L14="","",IF(L14&gt;=17,"Critical",IF(L14&gt;=10,"High",IF(L14&gt;=5,"Medium","Low"))))</f>
        <v/>
      </c>
      <c r="N14" s="7" t="str">
        <f>IF(M14="","",IF(OR(M14="Low",M14="Medium"),"Yes","No"))</f>
        <v/>
      </c>
      <c r="O14" s="15" t="n"/>
      <c r="P14" s="5" t="n"/>
      <c r="Q14" s="15" t="n"/>
      <c r="R14" s="15" t="n"/>
      <c r="S14" s="15" t="n"/>
      <c r="T14" s="5" t="inlineStr">
        <is>
          <t>Disparate impact ratio across cohorts</t>
        </is>
      </c>
      <c r="V14" t="str">
        <f>IF(L14="","",L14+ROW()/100000)</f>
        <v/>
      </c>
    </row>
    <row r="15" ht="44" customHeight="1">
      <c r="A15" s="15" t="n"/>
      <c r="B15" s="12" t="inlineStr">
        <is>
          <t>FAI-02</t>
        </is>
      </c>
      <c r="C15" s="12" t="inlineStr">
        <is>
          <t>Fairness, Bias &amp; Human Rights</t>
        </is>
      </c>
      <c r="D15" s="4" t="inlineStr">
        <is>
          <t>Unrepresentative training or evaluation data</t>
        </is>
      </c>
      <c r="E15" s="5" t="inlineStr">
        <is>
          <t>Data does not reflect the population or context of use (e.g., Arabic dialects, local customer segments).</t>
        </is>
      </c>
      <c r="F15" s="15" t="n"/>
      <c r="G15" s="15" t="n"/>
      <c r="H15" s="7" t="str">
        <f>IF(OR($A15&lt;&gt;"Yes",F15="",G15=""),"",MATCH(F15,Lists!$B$1:$B$5,0)*MATCH(G15,Lists!$C$1:$C$5,0))</f>
        <v/>
      </c>
      <c r="I15" s="7" t="str">
        <f>IF(H15="","",IF(H15&gt;=17,"Critical",IF(H15&gt;=10,"High",IF(H15&gt;=5,"Medium","Low"))))</f>
        <v/>
      </c>
      <c r="J15" s="5" t="inlineStr">
        <is>
          <t>LC-1, RS-7</t>
        </is>
      </c>
      <c r="K15" s="15" t="n"/>
      <c r="L15" s="7" t="str">
        <f>IF(OR(H15="",K15=""),"",ROUND(H15*VLOOKUP(K15,Scales!$A$22:$B$25,2,FALSE),1))</f>
        <v/>
      </c>
      <c r="M15" s="7" t="str">
        <f>IF(L15="","",IF(L15&gt;=17,"Critical",IF(L15&gt;=10,"High",IF(L15&gt;=5,"Medium","Low"))))</f>
        <v/>
      </c>
      <c r="N15" s="7" t="str">
        <f>IF(M15="","",IF(OR(M15="Low",M15="Medium"),"Yes","No"))</f>
        <v/>
      </c>
      <c r="O15" s="15" t="n"/>
      <c r="P15" s="5" t="n"/>
      <c r="Q15" s="15" t="n"/>
      <c r="R15" s="15" t="n"/>
      <c r="S15" s="15" t="n"/>
      <c r="T15" s="5" t="inlineStr">
        <is>
          <t>Coverage gaps by segment in evaluation set</t>
        </is>
      </c>
      <c r="V15" t="str">
        <f>IF(L15="","",L15+ROW()/100000)</f>
        <v/>
      </c>
    </row>
    <row r="16" ht="44" customHeight="1">
      <c r="A16" s="15" t="n"/>
      <c r="B16" s="12" t="inlineStr">
        <is>
          <t>FAI-03</t>
        </is>
      </c>
      <c r="C16" s="12" t="inlineStr">
        <is>
          <t>Fairness, Bias &amp; Human Rights</t>
        </is>
      </c>
      <c r="D16" s="4" t="inlineStr">
        <is>
          <t>Infringement of fundamental rights / dignity</t>
        </is>
      </c>
      <c r="E16" s="5" t="inlineStr">
        <is>
          <t>AI use undermines autonomy, dignity, freedom of expression or access to essential services.</t>
        </is>
      </c>
      <c r="F16" s="15" t="n"/>
      <c r="G16" s="15" t="n"/>
      <c r="H16" s="7" t="str">
        <f>IF(OR($A16&lt;&gt;"Yes",F16="",G16=""),"",MATCH(F16,Lists!$B$1:$B$5,0)*MATCH(G16,Lists!$C$1:$C$5,0))</f>
        <v/>
      </c>
      <c r="I16" s="7" t="str">
        <f>IF(H16="","",IF(H16&gt;=17,"Critical",IF(H16&gt;=10,"High",IF(H16&gt;=5,"Medium","Low"))))</f>
        <v/>
      </c>
      <c r="J16" s="5" t="inlineStr">
        <is>
          <t>RM-2, RO-6</t>
        </is>
      </c>
      <c r="K16" s="15" t="n"/>
      <c r="L16" s="7" t="str">
        <f>IF(OR(H16="",K16=""),"",ROUND(H16*VLOOKUP(K16,Scales!$A$22:$B$25,2,FALSE),1))</f>
        <v/>
      </c>
      <c r="M16" s="7" t="str">
        <f>IF(L16="","",IF(L16&gt;=17,"Critical",IF(L16&gt;=10,"High",IF(L16&gt;=5,"Medium","Low"))))</f>
        <v/>
      </c>
      <c r="N16" s="7" t="str">
        <f>IF(M16="","",IF(OR(M16="Low",M16="Medium"),"Yes","No"))</f>
        <v/>
      </c>
      <c r="O16" s="15" t="n"/>
      <c r="P16" s="5" t="n"/>
      <c r="Q16" s="15" t="n"/>
      <c r="R16" s="15" t="n"/>
      <c r="S16" s="15" t="n"/>
      <c r="T16" s="5" t="inlineStr">
        <is>
          <t>FRIAs outstanding for in-scope systems</t>
        </is>
      </c>
      <c r="V16" t="str">
        <f>IF(L16="","",L16+ROW()/100000)</f>
        <v/>
      </c>
    </row>
    <row r="17" ht="44" customHeight="1">
      <c r="A17" s="15" t="n"/>
      <c r="B17" s="12" t="inlineStr">
        <is>
          <t>FAI-04</t>
        </is>
      </c>
      <c r="C17" s="12" t="inlineStr">
        <is>
          <t>Fairness, Bias &amp; Human Rights</t>
        </is>
      </c>
      <c r="D17" s="4" t="inlineStr">
        <is>
          <t>Exclusion and accessibility barriers</t>
        </is>
      </c>
      <c r="E17" s="5" t="inlineStr">
        <is>
          <t>Persons with disabilities, low digital literacy or non-English speakers cannot use or benefit from AI services.</t>
        </is>
      </c>
      <c r="F17" s="15" t="n"/>
      <c r="G17" s="15" t="n"/>
      <c r="H17" s="7" t="str">
        <f>IF(OR($A17&lt;&gt;"Yes",F17="",G17=""),"",MATCH(F17,Lists!$B$1:$B$5,0)*MATCH(G17,Lists!$C$1:$C$5,0))</f>
        <v/>
      </c>
      <c r="I17" s="7" t="str">
        <f>IF(H17="","",IF(H17&gt;=17,"Critical",IF(H17&gt;=10,"High",IF(H17&gt;=5,"Medium","Low"))))</f>
        <v/>
      </c>
      <c r="J17" s="5" t="inlineStr">
        <is>
          <t>RS-7</t>
        </is>
      </c>
      <c r="K17" s="15" t="n"/>
      <c r="L17" s="7" t="str">
        <f>IF(OR(H17="",K17=""),"",ROUND(H17*VLOOKUP(K17,Scales!$A$22:$B$25,2,FALSE),1))</f>
        <v/>
      </c>
      <c r="M17" s="7" t="str">
        <f>IF(L17="","",IF(L17&gt;=17,"Critical",IF(L17&gt;=10,"High",IF(L17&gt;=5,"Medium","Low"))))</f>
        <v/>
      </c>
      <c r="N17" s="7" t="str">
        <f>IF(M17="","",IF(OR(M17="Low",M17="Medium"),"Yes","No"))</f>
        <v/>
      </c>
      <c r="O17" s="15" t="n"/>
      <c r="P17" s="5" t="n"/>
      <c r="Q17" s="15" t="n"/>
      <c r="R17" s="15" t="n"/>
      <c r="S17" s="15" t="n"/>
      <c r="T17" s="5" t="inlineStr">
        <is>
          <t>Accessibility defects open</t>
        </is>
      </c>
      <c r="V17" t="str">
        <f>IF(L17="","",L17+ROW()/100000)</f>
        <v/>
      </c>
    </row>
    <row r="18" ht="44" customHeight="1">
      <c r="A18" s="15" t="n"/>
      <c r="B18" s="12" t="inlineStr">
        <is>
          <t>PRI-01</t>
        </is>
      </c>
      <c r="C18" s="12" t="inlineStr">
        <is>
          <t>Privacy &amp; Data Protection</t>
        </is>
      </c>
      <c r="D18" s="4" t="inlineStr">
        <is>
          <t>Unlawful processing of personal data</t>
        </is>
      </c>
      <c r="E18" s="5" t="inlineStr">
        <is>
          <t>Personal data used for AI without lawful basis, beyond original purpose, or without notice.</t>
        </is>
      </c>
      <c r="F18" s="15" t="n"/>
      <c r="G18" s="15" t="n"/>
      <c r="H18" s="7" t="str">
        <f>IF(OR($A18&lt;&gt;"Yes",F18="",G18=""),"",MATCH(F18,Lists!$B$1:$B$5,0)*MATCH(G18,Lists!$C$1:$C$5,0))</f>
        <v/>
      </c>
      <c r="I18" s="7" t="str">
        <f>IF(H18="","",IF(H18&gt;=17,"Critical",IF(H18&gt;=10,"High",IF(H18&gt;=5,"Medium","Low"))))</f>
        <v/>
      </c>
      <c r="J18" s="5" t="inlineStr">
        <is>
          <t>PR-1, PR-2</t>
        </is>
      </c>
      <c r="K18" s="15" t="n"/>
      <c r="L18" s="7" t="str">
        <f>IF(OR(H18="",K18=""),"",ROUND(H18*VLOOKUP(K18,Scales!$A$22:$B$25,2,FALSE),1))</f>
        <v/>
      </c>
      <c r="M18" s="7" t="str">
        <f>IF(L18="","",IF(L18&gt;=17,"Critical",IF(L18&gt;=10,"High",IF(L18&gt;=5,"Medium","Low"))))</f>
        <v/>
      </c>
      <c r="N18" s="7" t="str">
        <f>IF(M18="","",IF(OR(M18="Low",M18="Medium"),"Yes","No"))</f>
        <v/>
      </c>
      <c r="O18" s="15" t="n"/>
      <c r="P18" s="5" t="n"/>
      <c r="Q18" s="15" t="n"/>
      <c r="R18" s="15" t="n"/>
      <c r="S18" s="15" t="n"/>
      <c r="T18" s="5" t="inlineStr">
        <is>
          <t>AI systems processing personal data without DPIA</t>
        </is>
      </c>
      <c r="V18" t="str">
        <f>IF(L18="","",L18+ROW()/100000)</f>
        <v/>
      </c>
    </row>
    <row r="19" ht="44" customHeight="1">
      <c r="A19" s="15" t="n"/>
      <c r="B19" s="12" t="inlineStr">
        <is>
          <t>PRI-02</t>
        </is>
      </c>
      <c r="C19" s="12" t="inlineStr">
        <is>
          <t>Privacy &amp; Data Protection</t>
        </is>
      </c>
      <c r="D19" s="4" t="inlineStr">
        <is>
          <t>Leakage of confidential / personal data via AI</t>
        </is>
      </c>
      <c r="E19" s="5" t="inlineStr">
        <is>
          <t>Sensitive data entered into prompts, memorised by models or exposed in outputs / logs.</t>
        </is>
      </c>
      <c r="F19" s="15" t="n"/>
      <c r="G19" s="15" t="n"/>
      <c r="H19" s="7" t="str">
        <f>IF(OR($A19&lt;&gt;"Yes",F19="",G19=""),"",MATCH(F19,Lists!$B$1:$B$5,0)*MATCH(G19,Lists!$C$1:$C$5,0))</f>
        <v/>
      </c>
      <c r="I19" s="7" t="str">
        <f>IF(H19="","",IF(H19&gt;=17,"Critical",IF(H19&gt;=10,"High",IF(H19&gt;=5,"Medium","Low"))))</f>
        <v/>
      </c>
      <c r="J19" s="5" t="inlineStr">
        <is>
          <t>GL-5, SE-4, PR-4</t>
        </is>
      </c>
      <c r="K19" s="15" t="n"/>
      <c r="L19" s="7" t="str">
        <f>IF(OR(H19="",K19=""),"",ROUND(H19*VLOOKUP(K19,Scales!$A$22:$B$25,2,FALSE),1))</f>
        <v/>
      </c>
      <c r="M19" s="7" t="str">
        <f>IF(L19="","",IF(L19&gt;=17,"Critical",IF(L19&gt;=10,"High",IF(L19&gt;=5,"Medium","Low"))))</f>
        <v/>
      </c>
      <c r="N19" s="7" t="str">
        <f>IF(M19="","",IF(OR(M19="Low",M19="Medium"),"Yes","No"))</f>
        <v/>
      </c>
      <c r="O19" s="15" t="n"/>
      <c r="P19" s="5" t="n"/>
      <c r="Q19" s="15" t="n"/>
      <c r="R19" s="15" t="n"/>
      <c r="S19" s="15" t="n"/>
      <c r="T19" s="5" t="inlineStr">
        <is>
          <t>DLP events involving AI services</t>
        </is>
      </c>
      <c r="V19" t="str">
        <f>IF(L19="","",L19+ROW()/100000)</f>
        <v/>
      </c>
    </row>
    <row r="20" ht="44" customHeight="1">
      <c r="A20" s="15" t="n"/>
      <c r="B20" s="12" t="inlineStr">
        <is>
          <t>PRI-03</t>
        </is>
      </c>
      <c r="C20" s="12" t="inlineStr">
        <is>
          <t>Privacy &amp; Data Protection</t>
        </is>
      </c>
      <c r="D20" s="4" t="inlineStr">
        <is>
          <t>Unassessed cross-border data transfer</t>
        </is>
      </c>
      <c r="E20" s="5" t="inlineStr">
        <is>
          <t>AI service processes data outside Bahrain without transfer assessment or safeguards.</t>
        </is>
      </c>
      <c r="F20" s="15" t="n"/>
      <c r="G20" s="15" t="n"/>
      <c r="H20" s="7" t="str">
        <f>IF(OR($A20&lt;&gt;"Yes",F20="",G20=""),"",MATCH(F20,Lists!$B$1:$B$5,0)*MATCH(G20,Lists!$C$1:$C$5,0))</f>
        <v/>
      </c>
      <c r="I20" s="7" t="str">
        <f>IF(H20="","",IF(H20&gt;=17,"Critical",IF(H20&gt;=10,"High",IF(H20&gt;=5,"Medium","Low"))))</f>
        <v/>
      </c>
      <c r="J20" s="5" t="inlineStr">
        <is>
          <t>PR-6</t>
        </is>
      </c>
      <c r="K20" s="15" t="n"/>
      <c r="L20" s="7" t="str">
        <f>IF(OR(H20="",K20=""),"",ROUND(H20*VLOOKUP(K20,Scales!$A$22:$B$25,2,FALSE),1))</f>
        <v/>
      </c>
      <c r="M20" s="7" t="str">
        <f>IF(L20="","",IF(L20&gt;=17,"Critical",IF(L20&gt;=10,"High",IF(L20&gt;=5,"Medium","Low"))))</f>
        <v/>
      </c>
      <c r="N20" s="7" t="str">
        <f>IF(M20="","",IF(OR(M20="Low",M20="Medium"),"Yes","No"))</f>
        <v/>
      </c>
      <c r="O20" s="15" t="n"/>
      <c r="P20" s="5" t="n"/>
      <c r="Q20" s="15" t="n"/>
      <c r="R20" s="15" t="n"/>
      <c r="S20" s="15" t="n"/>
      <c r="T20" s="5" t="inlineStr">
        <is>
          <t>AI services hosted outside approved regions</t>
        </is>
      </c>
      <c r="V20" t="str">
        <f>IF(L20="","",L20+ROW()/100000)</f>
        <v/>
      </c>
    </row>
    <row r="21" ht="44" customHeight="1">
      <c r="A21" s="15" t="n"/>
      <c r="B21" s="12" t="inlineStr">
        <is>
          <t>PRI-04</t>
        </is>
      </c>
      <c r="C21" s="12" t="inlineStr">
        <is>
          <t>Privacy &amp; Data Protection</t>
        </is>
      </c>
      <c r="D21" s="4" t="inlineStr">
        <is>
          <t>Inability to honour data-subject rights</t>
        </is>
      </c>
      <c r="E21" s="5" t="inlineStr">
        <is>
          <t>Access, objection, rectification or erasure requests cannot be fulfilled for data embedded in models or vector stores.</t>
        </is>
      </c>
      <c r="F21" s="15" t="n"/>
      <c r="G21" s="15" t="n"/>
      <c r="H21" s="7" t="str">
        <f>IF(OR($A21&lt;&gt;"Yes",F21="",G21=""),"",MATCH(F21,Lists!$B$1:$B$5,0)*MATCH(G21,Lists!$C$1:$C$5,0))</f>
        <v/>
      </c>
      <c r="I21" s="7" t="str">
        <f>IF(H21="","",IF(H21&gt;=17,"Critical",IF(H21&gt;=10,"High",IF(H21&gt;=5,"Medium","Low"))))</f>
        <v/>
      </c>
      <c r="J21" s="5" t="inlineStr">
        <is>
          <t>PR-5</t>
        </is>
      </c>
      <c r="K21" s="15" t="n"/>
      <c r="L21" s="7" t="str">
        <f>IF(OR(H21="",K21=""),"",ROUND(H21*VLOOKUP(K21,Scales!$A$22:$B$25,2,FALSE),1))</f>
        <v/>
      </c>
      <c r="M21" s="7" t="str">
        <f>IF(L21="","",IF(L21&gt;=17,"Critical",IF(L21&gt;=10,"High",IF(L21&gt;=5,"Medium","Low"))))</f>
        <v/>
      </c>
      <c r="N21" s="7" t="str">
        <f>IF(M21="","",IF(OR(M21="Low",M21="Medium"),"Yes","No"))</f>
        <v/>
      </c>
      <c r="O21" s="15" t="n"/>
      <c r="P21" s="5" t="n"/>
      <c r="Q21" s="15" t="n"/>
      <c r="R21" s="15" t="n"/>
      <c r="S21" s="15" t="n"/>
      <c r="T21" s="5" t="inlineStr">
        <is>
          <t>DSRs involving AI exceeding SLA</t>
        </is>
      </c>
      <c r="V21" t="str">
        <f>IF(L21="","",L21+ROW()/100000)</f>
        <v/>
      </c>
    </row>
    <row r="22" ht="44" customHeight="1">
      <c r="A22" s="15" t="n"/>
      <c r="B22" s="12" t="inlineStr">
        <is>
          <t>PRI-05</t>
        </is>
      </c>
      <c r="C22" s="12" t="inlineStr">
        <is>
          <t>Privacy &amp; Data Protection</t>
        </is>
      </c>
      <c r="D22" s="4" t="inlineStr">
        <is>
          <t>Re-identification / inference of sensitive attributes</t>
        </is>
      </c>
      <c r="E22" s="5" t="inlineStr">
        <is>
          <t>Model infers sensitive attributes or re-identifies individuals from anonymised data.</t>
        </is>
      </c>
      <c r="F22" s="15" t="n"/>
      <c r="G22" s="15" t="n"/>
      <c r="H22" s="7" t="str">
        <f>IF(OR($A22&lt;&gt;"Yes",F22="",G22=""),"",MATCH(F22,Lists!$B$1:$B$5,0)*MATCH(G22,Lists!$C$1:$C$5,0))</f>
        <v/>
      </c>
      <c r="I22" s="7" t="str">
        <f>IF(H22="","",IF(H22&gt;=17,"Critical",IF(H22&gt;=10,"High",IF(H22&gt;=5,"Medium","Low"))))</f>
        <v/>
      </c>
      <c r="J22" s="5" t="inlineStr">
        <is>
          <t>PR-4, SE-6</t>
        </is>
      </c>
      <c r="K22" s="15" t="n"/>
      <c r="L22" s="7" t="str">
        <f>IF(OR(H22="",K22=""),"",ROUND(H22*VLOOKUP(K22,Scales!$A$22:$B$25,2,FALSE),1))</f>
        <v/>
      </c>
      <c r="M22" s="7" t="str">
        <f>IF(L22="","",IF(L22&gt;=17,"Critical",IF(L22&gt;=10,"High",IF(L22&gt;=5,"Medium","Low"))))</f>
        <v/>
      </c>
      <c r="N22" s="7" t="str">
        <f>IF(M22="","",IF(OR(M22="Low",M22="Medium"),"Yes","No"))</f>
        <v/>
      </c>
      <c r="O22" s="15" t="n"/>
      <c r="P22" s="5" t="n"/>
      <c r="Q22" s="15" t="n"/>
      <c r="R22" s="15" t="n"/>
      <c r="S22" s="15" t="n"/>
      <c r="T22" s="5" t="inlineStr">
        <is>
          <t>Re-identification test failures</t>
        </is>
      </c>
      <c r="V22" t="str">
        <f>IF(L22="","",L22+ROW()/100000)</f>
        <v/>
      </c>
    </row>
    <row r="23" ht="44" customHeight="1">
      <c r="A23" s="15" t="n"/>
      <c r="B23" s="12" t="inlineStr">
        <is>
          <t>DAT-01</t>
        </is>
      </c>
      <c r="C23" s="12" t="inlineStr">
        <is>
          <t>Data Quality &amp; Integrity</t>
        </is>
      </c>
      <c r="D23" s="4" t="inlineStr">
        <is>
          <t>Poor data quality</t>
        </is>
      </c>
      <c r="E23" s="5" t="inlineStr">
        <is>
          <t>Incomplete, inaccurate, stale or inconsistent data degrades model outputs.</t>
        </is>
      </c>
      <c r="F23" s="15" t="n"/>
      <c r="G23" s="15" t="n"/>
      <c r="H23" s="7" t="str">
        <f>IF(OR($A23&lt;&gt;"Yes",F23="",G23=""),"",MATCH(F23,Lists!$B$1:$B$5,0)*MATCH(G23,Lists!$C$1:$C$5,0))</f>
        <v/>
      </c>
      <c r="I23" s="7" t="str">
        <f>IF(H23="","",IF(H23&gt;=17,"Critical",IF(H23&gt;=10,"High",IF(H23&gt;=5,"Medium","Low"))))</f>
        <v/>
      </c>
      <c r="J23" s="5" t="inlineStr">
        <is>
          <t>LC-1</t>
        </is>
      </c>
      <c r="K23" s="15" t="n"/>
      <c r="L23" s="7" t="str">
        <f>IF(OR(H23="",K23=""),"",ROUND(H23*VLOOKUP(K23,Scales!$A$22:$B$25,2,FALSE),1))</f>
        <v/>
      </c>
      <c r="M23" s="7" t="str">
        <f>IF(L23="","",IF(L23&gt;=17,"Critical",IF(L23&gt;=10,"High",IF(L23&gt;=5,"Medium","Low"))))</f>
        <v/>
      </c>
      <c r="N23" s="7" t="str">
        <f>IF(M23="","",IF(OR(M23="Low",M23="Medium"),"Yes","No"))</f>
        <v/>
      </c>
      <c r="O23" s="15" t="n"/>
      <c r="P23" s="5" t="n"/>
      <c r="Q23" s="15" t="n"/>
      <c r="R23" s="15" t="n"/>
      <c r="S23" s="15" t="n"/>
      <c r="T23" s="5" t="inlineStr">
        <is>
          <t>Data-quality rule failures</t>
        </is>
      </c>
      <c r="V23" t="str">
        <f>IF(L23="","",L23+ROW()/100000)</f>
        <v/>
      </c>
    </row>
    <row r="24" ht="44" customHeight="1">
      <c r="A24" s="15" t="n"/>
      <c r="B24" s="12" t="inlineStr">
        <is>
          <t>DAT-02</t>
        </is>
      </c>
      <c r="C24" s="12" t="inlineStr">
        <is>
          <t>Data Quality &amp; Integrity</t>
        </is>
      </c>
      <c r="D24" s="4" t="inlineStr">
        <is>
          <t>Lack of data provenance and lineage</t>
        </is>
      </c>
      <c r="E24" s="5" t="inlineStr">
        <is>
          <t>Origin, transformations and rights of data cannot be traced, undermining defensibility.</t>
        </is>
      </c>
      <c r="F24" s="15" t="n"/>
      <c r="G24" s="15" t="n"/>
      <c r="H24" s="7" t="str">
        <f>IF(OR($A24&lt;&gt;"Yes",F24="",G24=""),"",MATCH(F24,Lists!$B$1:$B$5,0)*MATCH(G24,Lists!$C$1:$C$5,0))</f>
        <v/>
      </c>
      <c r="I24" s="7" t="str">
        <f>IF(H24="","",IF(H24&gt;=17,"Critical",IF(H24&gt;=10,"High",IF(H24&gt;=5,"Medium","Low"))))</f>
        <v/>
      </c>
      <c r="J24" s="5" t="inlineStr">
        <is>
          <t>LC-1, LC-11</t>
        </is>
      </c>
      <c r="K24" s="15" t="n"/>
      <c r="L24" s="7" t="str">
        <f>IF(OR(H24="",K24=""),"",ROUND(H24*VLOOKUP(K24,Scales!$A$22:$B$25,2,FALSE),1))</f>
        <v/>
      </c>
      <c r="M24" s="7" t="str">
        <f>IF(L24="","",IF(L24&gt;=17,"Critical",IF(L24&gt;=10,"High",IF(L24&gt;=5,"Medium","Low"))))</f>
        <v/>
      </c>
      <c r="N24" s="7" t="str">
        <f>IF(M24="","",IF(OR(M24="Low",M24="Medium"),"Yes","No"))</f>
        <v/>
      </c>
      <c r="O24" s="15" t="n"/>
      <c r="P24" s="5" t="n"/>
      <c r="Q24" s="15" t="n"/>
      <c r="R24" s="15" t="n"/>
      <c r="S24" s="15" t="n"/>
      <c r="T24" s="5" t="inlineStr">
        <is>
          <t>% datasets with documented lineage</t>
        </is>
      </c>
      <c r="V24" t="str">
        <f>IF(L24="","",L24+ROW()/100000)</f>
        <v/>
      </c>
    </row>
    <row r="25" ht="44" customHeight="1">
      <c r="A25" s="15" t="n"/>
      <c r="B25" s="12" t="inlineStr">
        <is>
          <t>DAT-03</t>
        </is>
      </c>
      <c r="C25" s="12" t="inlineStr">
        <is>
          <t>Data Quality &amp; Integrity</t>
        </is>
      </c>
      <c r="D25" s="4" t="inlineStr">
        <is>
          <t>Data / model drift</t>
        </is>
      </c>
      <c r="E25" s="5" t="inlineStr">
        <is>
          <t>Changes in input data distribution or real-world relationships reduce performance over time.</t>
        </is>
      </c>
      <c r="F25" s="15" t="n"/>
      <c r="G25" s="15" t="n"/>
      <c r="H25" s="7" t="str">
        <f>IF(OR($A25&lt;&gt;"Yes",F25="",G25=""),"",MATCH(F25,Lists!$B$1:$B$5,0)*MATCH(G25,Lists!$C$1:$C$5,0))</f>
        <v/>
      </c>
      <c r="I25" s="7" t="str">
        <f>IF(H25="","",IF(H25&gt;=17,"Critical",IF(H25&gt;=10,"High",IF(H25&gt;=5,"Medium","Low"))))</f>
        <v/>
      </c>
      <c r="J25" s="5" t="inlineStr">
        <is>
          <t>OM-1, RM-6</t>
        </is>
      </c>
      <c r="K25" s="15" t="n"/>
      <c r="L25" s="7" t="str">
        <f>IF(OR(H25="",K25=""),"",ROUND(H25*VLOOKUP(K25,Scales!$A$22:$B$25,2,FALSE),1))</f>
        <v/>
      </c>
      <c r="M25" s="7" t="str">
        <f>IF(L25="","",IF(L25&gt;=17,"Critical",IF(L25&gt;=10,"High",IF(L25&gt;=5,"Medium","Low"))))</f>
        <v/>
      </c>
      <c r="N25" s="7" t="str">
        <f>IF(M25="","",IF(OR(M25="Low",M25="Medium"),"Yes","No"))</f>
        <v/>
      </c>
      <c r="O25" s="15" t="n"/>
      <c r="P25" s="5" t="n"/>
      <c r="Q25" s="15" t="n"/>
      <c r="R25" s="15" t="n"/>
      <c r="S25" s="15" t="n"/>
      <c r="T25" s="5" t="inlineStr">
        <is>
          <t>Population stability index / drift score</t>
        </is>
      </c>
      <c r="V25" t="str">
        <f>IF(L25="","",L25+ROW()/100000)</f>
        <v/>
      </c>
    </row>
    <row r="26" ht="44" customHeight="1">
      <c r="A26" s="15" t="n"/>
      <c r="B26" s="12" t="inlineStr">
        <is>
          <t>PER-01</t>
        </is>
      </c>
      <c r="C26" s="12" t="inlineStr">
        <is>
          <t>Model Performance, Reliability &amp; Robustness</t>
        </is>
      </c>
      <c r="D26" s="4" t="inlineStr">
        <is>
          <t>Inaccurate or unreliable outputs</t>
        </is>
      </c>
      <c r="E26" s="5" t="inlineStr">
        <is>
          <t>Model error rates exceed acceptable levels for the intended purpose.</t>
        </is>
      </c>
      <c r="F26" s="15" t="n"/>
      <c r="G26" s="15" t="n"/>
      <c r="H26" s="7" t="str">
        <f>IF(OR($A26&lt;&gt;"Yes",F26="",G26=""),"",MATCH(F26,Lists!$B$1:$B$5,0)*MATCH(G26,Lists!$C$1:$C$5,0))</f>
        <v/>
      </c>
      <c r="I26" s="7" t="str">
        <f>IF(H26="","",IF(H26&gt;=17,"Critical",IF(H26&gt;=10,"High",IF(H26&gt;=5,"Medium","Low"))))</f>
        <v/>
      </c>
      <c r="J26" s="5" t="inlineStr">
        <is>
          <t>RS-6, LC-9</t>
        </is>
      </c>
      <c r="K26" s="15" t="n"/>
      <c r="L26" s="7" t="str">
        <f>IF(OR(H26="",K26=""),"",ROUND(H26*VLOOKUP(K26,Scales!$A$22:$B$25,2,FALSE),1))</f>
        <v/>
      </c>
      <c r="M26" s="7" t="str">
        <f>IF(L26="","",IF(L26&gt;=17,"Critical",IF(L26&gt;=10,"High",IF(L26&gt;=5,"Medium","Low"))))</f>
        <v/>
      </c>
      <c r="N26" s="7" t="str">
        <f>IF(M26="","",IF(OR(M26="Low",M26="Medium"),"Yes","No"))</f>
        <v/>
      </c>
      <c r="O26" s="15" t="n"/>
      <c r="P26" s="5" t="n"/>
      <c r="Q26" s="15" t="n"/>
      <c r="R26" s="15" t="n"/>
      <c r="S26" s="15" t="n"/>
      <c r="T26" s="5" t="inlineStr">
        <is>
          <t>Error rate vs threshold</t>
        </is>
      </c>
      <c r="V26" t="str">
        <f>IF(L26="","",L26+ROW()/100000)</f>
        <v/>
      </c>
    </row>
    <row r="27" ht="44" customHeight="1">
      <c r="A27" s="15" t="n"/>
      <c r="B27" s="12" t="inlineStr">
        <is>
          <t>PER-02</t>
        </is>
      </c>
      <c r="C27" s="12" t="inlineStr">
        <is>
          <t>Model Performance, Reliability &amp; Robustness</t>
        </is>
      </c>
      <c r="D27" s="4" t="inlineStr">
        <is>
          <t>Hallucination / confabulation</t>
        </is>
      </c>
      <c r="E27" s="5" t="inlineStr">
        <is>
          <t>Generative AI produces plausible but false content (facts, citations, calculations).</t>
        </is>
      </c>
      <c r="F27" s="15" t="n"/>
      <c r="G27" s="15" t="n"/>
      <c r="H27" s="7" t="str">
        <f>IF(OR($A27&lt;&gt;"Yes",F27="",G27=""),"",MATCH(F27,Lists!$B$1:$B$5,0)*MATCH(G27,Lists!$C$1:$C$5,0))</f>
        <v/>
      </c>
      <c r="I27" s="7" t="str">
        <f>IF(H27="","",IF(H27&gt;=17,"Critical",IF(H27&gt;=10,"High",IF(H27&gt;=5,"Medium","Low"))))</f>
        <v/>
      </c>
      <c r="J27" s="5" t="inlineStr">
        <is>
          <t>LC-7</t>
        </is>
      </c>
      <c r="K27" s="15" t="n"/>
      <c r="L27" s="7" t="str">
        <f>IF(OR(H27="",K27=""),"",ROUND(H27*VLOOKUP(K27,Scales!$A$22:$B$25,2,FALSE),1))</f>
        <v/>
      </c>
      <c r="M27" s="7" t="str">
        <f>IF(L27="","",IF(L27&gt;=17,"Critical",IF(L27&gt;=10,"High",IF(L27&gt;=5,"Medium","Low"))))</f>
        <v/>
      </c>
      <c r="N27" s="7" t="str">
        <f>IF(M27="","",IF(OR(M27="Low",M27="Medium"),"Yes","No"))</f>
        <v/>
      </c>
      <c r="O27" s="15" t="n"/>
      <c r="P27" s="5" t="n"/>
      <c r="Q27" s="15" t="n"/>
      <c r="R27" s="15" t="n"/>
      <c r="S27" s="15" t="n"/>
      <c r="T27" s="5" t="inlineStr">
        <is>
          <t>Hallucination rate in evaluation / QA sampling</t>
        </is>
      </c>
      <c r="V27" t="str">
        <f>IF(L27="","",L27+ROW()/100000)</f>
        <v/>
      </c>
    </row>
    <row r="28" ht="44" customHeight="1">
      <c r="A28" s="15" t="n"/>
      <c r="B28" s="12" t="inlineStr">
        <is>
          <t>PER-03</t>
        </is>
      </c>
      <c r="C28" s="12" t="inlineStr">
        <is>
          <t>Model Performance, Reliability &amp; Robustness</t>
        </is>
      </c>
      <c r="D28" s="4" t="inlineStr">
        <is>
          <t>Lack of robustness to edge cases</t>
        </is>
      </c>
      <c r="E28" s="5" t="inlineStr">
        <is>
          <t>Performance collapses on unusual inputs, adversarial perturbations or out-of-distribution data.</t>
        </is>
      </c>
      <c r="F28" s="15" t="n"/>
      <c r="G28" s="15" t="n"/>
      <c r="H28" s="7" t="str">
        <f>IF(OR($A28&lt;&gt;"Yes",F28="",G28=""),"",MATCH(F28,Lists!$B$1:$B$5,0)*MATCH(G28,Lists!$C$1:$C$5,0))</f>
        <v/>
      </c>
      <c r="I28" s="7" t="str">
        <f>IF(H28="","",IF(H28&gt;=17,"Critical",IF(H28&gt;=10,"High",IF(H28&gt;=5,"Medium","Low"))))</f>
        <v/>
      </c>
      <c r="J28" s="5" t="inlineStr">
        <is>
          <t>RS-3, AA-3</t>
        </is>
      </c>
      <c r="K28" s="15" t="n"/>
      <c r="L28" s="7" t="str">
        <f>IF(OR(H28="",K28=""),"",ROUND(H28*VLOOKUP(K28,Scales!$A$22:$B$25,2,FALSE),1))</f>
        <v/>
      </c>
      <c r="M28" s="7" t="str">
        <f>IF(L28="","",IF(L28&gt;=17,"Critical",IF(L28&gt;=10,"High",IF(L28&gt;=5,"Medium","Low"))))</f>
        <v/>
      </c>
      <c r="N28" s="7" t="str">
        <f>IF(M28="","",IF(OR(M28="Low",M28="Medium"),"Yes","No"))</f>
        <v/>
      </c>
      <c r="O28" s="15" t="n"/>
      <c r="P28" s="5" t="n"/>
      <c r="Q28" s="15" t="n"/>
      <c r="R28" s="15" t="n"/>
      <c r="S28" s="15" t="n"/>
      <c r="T28" s="5" t="inlineStr">
        <is>
          <t>Robustness test pass rate</t>
        </is>
      </c>
      <c r="V28" t="str">
        <f>IF(L28="","",L28+ROW()/100000)</f>
        <v/>
      </c>
    </row>
    <row r="29" ht="44" customHeight="1">
      <c r="A29" s="15" t="n"/>
      <c r="B29" s="12" t="inlineStr">
        <is>
          <t>PER-04</t>
        </is>
      </c>
      <c r="C29" s="12" t="inlineStr">
        <is>
          <t>Model Performance, Reliability &amp; Robustness</t>
        </is>
      </c>
      <c r="D29" s="4" t="inlineStr">
        <is>
          <t>Uncontrolled model or provider changes</t>
        </is>
      </c>
      <c r="E29" s="5" t="inlineStr">
        <is>
          <t>Provider updates foundation model or system is changed without re-validation, altering behaviour.</t>
        </is>
      </c>
      <c r="F29" s="15" t="n"/>
      <c r="G29" s="15" t="n"/>
      <c r="H29" s="7" t="str">
        <f>IF(OR($A29&lt;&gt;"Yes",F29="",G29=""),"",MATCH(F29,Lists!$B$1:$B$5,0)*MATCH(G29,Lists!$C$1:$C$5,0))</f>
        <v/>
      </c>
      <c r="I29" s="7" t="str">
        <f>IF(H29="","",IF(H29&gt;=17,"Critical",IF(H29&gt;=10,"High",IF(H29&gt;=5,"Medium","Low"))))</f>
        <v/>
      </c>
      <c r="J29" s="5" t="inlineStr">
        <is>
          <t>LC-5, LC-6</t>
        </is>
      </c>
      <c r="K29" s="15" t="n"/>
      <c r="L29" s="7" t="str">
        <f>IF(OR(H29="",K29=""),"",ROUND(H29*VLOOKUP(K29,Scales!$A$22:$B$25,2,FALSE),1))</f>
        <v/>
      </c>
      <c r="M29" s="7" t="str">
        <f>IF(L29="","",IF(L29&gt;=17,"Critical",IF(L29&gt;=10,"High",IF(L29&gt;=5,"Medium","Low"))))</f>
        <v/>
      </c>
      <c r="N29" s="7" t="str">
        <f>IF(M29="","",IF(OR(M29="Low",M29="Medium"),"Yes","No"))</f>
        <v/>
      </c>
      <c r="O29" s="15" t="n"/>
      <c r="P29" s="5" t="n"/>
      <c r="Q29" s="15" t="n"/>
      <c r="R29" s="15" t="n"/>
      <c r="S29" s="15" t="n"/>
      <c r="T29" s="5" t="inlineStr">
        <is>
          <t>Unvalidated model version changes</t>
        </is>
      </c>
      <c r="V29" t="str">
        <f>IF(L29="","",L29+ROW()/100000)</f>
        <v/>
      </c>
    </row>
    <row r="30" ht="44" customHeight="1">
      <c r="A30" s="15" t="n"/>
      <c r="B30" s="12" t="inlineStr">
        <is>
          <t>PER-05</t>
        </is>
      </c>
      <c r="C30" s="12" t="inlineStr">
        <is>
          <t>Model Performance, Reliability &amp; Robustness</t>
        </is>
      </c>
      <c r="D30" s="4" t="inlineStr">
        <is>
          <t>Uncontrolled prompt / configuration changes</t>
        </is>
      </c>
      <c r="E30" s="5" t="inlineStr">
        <is>
          <t>Changes to prompts, guardrails, tool permissions or retrieval sources degrade safety or behaviour without regression testing.</t>
        </is>
      </c>
      <c r="F30" s="15" t="n"/>
      <c r="G30" s="15" t="n"/>
      <c r="H30" s="7" t="str">
        <f>IF(OR($A30&lt;&gt;"Yes",F30="",G30=""),"",MATCH(F30,Lists!$B$1:$B$5,0)*MATCH(G30,Lists!$C$1:$C$5,0))</f>
        <v/>
      </c>
      <c r="I30" s="7" t="str">
        <f>IF(H30="","",IF(H30&gt;=17,"Critical",IF(H30&gt;=10,"High",IF(H30&gt;=5,"Medium","Low"))))</f>
        <v/>
      </c>
      <c r="J30" s="5" t="inlineStr">
        <is>
          <t>LC-12</t>
        </is>
      </c>
      <c r="K30" s="15" t="n"/>
      <c r="L30" s="7" t="str">
        <f>IF(OR(H30="",K30=""),"",ROUND(H30*VLOOKUP(K30,Scales!$A$22:$B$25,2,FALSE),1))</f>
        <v/>
      </c>
      <c r="M30" s="7" t="str">
        <f>IF(L30="","",IF(L30&gt;=17,"Critical",IF(L30&gt;=10,"High",IF(L30&gt;=5,"Medium","Low"))))</f>
        <v/>
      </c>
      <c r="N30" s="7" t="str">
        <f>IF(M30="","",IF(OR(M30="Low",M30="Medium"),"Yes","No"))</f>
        <v/>
      </c>
      <c r="O30" s="15" t="n"/>
      <c r="P30" s="5" t="n"/>
      <c r="Q30" s="15" t="n"/>
      <c r="R30" s="15" t="n"/>
      <c r="S30" s="15" t="n"/>
      <c r="T30" s="5" t="inlineStr">
        <is>
          <t>Releases without passing LLM regression suite</t>
        </is>
      </c>
      <c r="V30" t="str">
        <f>IF(L30="","",L30+ROW()/100000)</f>
        <v/>
      </c>
    </row>
    <row r="31" ht="44" customHeight="1">
      <c r="A31" s="15" t="n"/>
      <c r="B31" s="12" t="inlineStr">
        <is>
          <t>TRA-01</t>
        </is>
      </c>
      <c r="C31" s="12" t="inlineStr">
        <is>
          <t>Transparency, Explainability &amp; Contestability</t>
        </is>
      </c>
      <c r="D31" s="4" t="inlineStr">
        <is>
          <t>Undisclosed AI interaction or content</t>
        </is>
      </c>
      <c r="E31" s="5" t="inlineStr">
        <is>
          <t>Users are unaware they interact with AI or that content is AI-generated.</t>
        </is>
      </c>
      <c r="F31" s="15" t="n"/>
      <c r="G31" s="15" t="n"/>
      <c r="H31" s="7" t="str">
        <f>IF(OR($A31&lt;&gt;"Yes",F31="",G31=""),"",MATCH(F31,Lists!$B$1:$B$5,0)*MATCH(G31,Lists!$C$1:$C$5,0))</f>
        <v/>
      </c>
      <c r="I31" s="7" t="str">
        <f>IF(H31="","",IF(H31&gt;=17,"Critical",IF(H31&gt;=10,"High",IF(H31&gt;=5,"Medium","Low"))))</f>
        <v/>
      </c>
      <c r="J31" s="5" t="inlineStr">
        <is>
          <t>CO-1, LC-7</t>
        </is>
      </c>
      <c r="K31" s="15" t="n"/>
      <c r="L31" s="7" t="str">
        <f>IF(OR(H31="",K31=""),"",ROUND(H31*VLOOKUP(K31,Scales!$A$22:$B$25,2,FALSE),1))</f>
        <v/>
      </c>
      <c r="M31" s="7" t="str">
        <f>IF(L31="","",IF(L31&gt;=17,"Critical",IF(L31&gt;=10,"High",IF(L31&gt;=5,"Medium","Low"))))</f>
        <v/>
      </c>
      <c r="N31" s="7" t="str">
        <f>IF(M31="","",IF(OR(M31="Low",M31="Medium"),"Yes","No"))</f>
        <v/>
      </c>
      <c r="O31" s="15" t="n"/>
      <c r="P31" s="5" t="n"/>
      <c r="Q31" s="15" t="n"/>
      <c r="R31" s="15" t="n"/>
      <c r="S31" s="15" t="n"/>
      <c r="T31" s="5" t="inlineStr">
        <is>
          <t>AI touchpoints lacking disclosure</t>
        </is>
      </c>
      <c r="V31" t="str">
        <f>IF(L31="","",L31+ROW()/100000)</f>
        <v/>
      </c>
    </row>
    <row r="32" ht="44" customHeight="1">
      <c r="A32" s="15" t="n"/>
      <c r="B32" s="12" t="inlineStr">
        <is>
          <t>TRA-02</t>
        </is>
      </c>
      <c r="C32" s="12" t="inlineStr">
        <is>
          <t>Transparency, Explainability &amp; Contestability</t>
        </is>
      </c>
      <c r="D32" s="4" t="inlineStr">
        <is>
          <t>Unexplainable decisions</t>
        </is>
      </c>
      <c r="E32" s="5" t="inlineStr">
        <is>
          <t>Organisation cannot explain AI-supported decisions to affected persons, regulators or auditors.</t>
        </is>
      </c>
      <c r="F32" s="15" t="n"/>
      <c r="G32" s="15" t="n"/>
      <c r="H32" s="7" t="str">
        <f>IF(OR($A32&lt;&gt;"Yes",F32="",G32=""),"",MATCH(F32,Lists!$B$1:$B$5,0)*MATCH(G32,Lists!$C$1:$C$5,0))</f>
        <v/>
      </c>
      <c r="I32" s="7" t="str">
        <f>IF(H32="","",IF(H32&gt;=17,"Critical",IF(H32&gt;=10,"High",IF(H32&gt;=5,"Medium","Low"))))</f>
        <v/>
      </c>
      <c r="J32" s="5" t="inlineStr">
        <is>
          <t>RS-4, LC-4</t>
        </is>
      </c>
      <c r="K32" s="15" t="n"/>
      <c r="L32" s="7" t="str">
        <f>IF(OR(H32="",K32=""),"",ROUND(H32*VLOOKUP(K32,Scales!$A$22:$B$25,2,FALSE),1))</f>
        <v/>
      </c>
      <c r="M32" s="7" t="str">
        <f>IF(L32="","",IF(L32&gt;=17,"Critical",IF(L32&gt;=10,"High",IF(L32&gt;=5,"Medium","Low"))))</f>
        <v/>
      </c>
      <c r="N32" s="7" t="str">
        <f>IF(M32="","",IF(OR(M32="Low",M32="Medium"),"Yes","No"))</f>
        <v/>
      </c>
      <c r="O32" s="15" t="n"/>
      <c r="P32" s="5" t="n"/>
      <c r="Q32" s="15" t="n"/>
      <c r="R32" s="15" t="n"/>
      <c r="S32" s="15" t="n"/>
      <c r="T32" s="5" t="inlineStr">
        <is>
          <t>Explanation requests not satisfied</t>
        </is>
      </c>
      <c r="V32" t="str">
        <f>IF(L32="","",L32+ROW()/100000)</f>
        <v/>
      </c>
    </row>
    <row r="33" ht="44" customHeight="1">
      <c r="A33" s="15" t="n"/>
      <c r="B33" s="12" t="inlineStr">
        <is>
          <t>TRA-03</t>
        </is>
      </c>
      <c r="C33" s="12" t="inlineStr">
        <is>
          <t>Transparency, Explainability &amp; Contestability</t>
        </is>
      </c>
      <c r="D33" s="4" t="inlineStr">
        <is>
          <t>No effective contest or redress route</t>
        </is>
      </c>
      <c r="E33" s="5" t="inlineStr">
        <is>
          <t>Affected persons cannot challenge or obtain human review of AI-supported decisions.</t>
        </is>
      </c>
      <c r="F33" s="15" t="n"/>
      <c r="G33" s="15" t="n"/>
      <c r="H33" s="7" t="str">
        <f>IF(OR($A33&lt;&gt;"Yes",F33="",G33=""),"",MATCH(F33,Lists!$B$1:$B$5,0)*MATCH(G33,Lists!$C$1:$C$5,0))</f>
        <v/>
      </c>
      <c r="I33" s="7" t="str">
        <f>IF(H33="","",IF(H33&gt;=17,"Critical",IF(H33&gt;=10,"High",IF(H33&gt;=5,"Medium","Low"))))</f>
        <v/>
      </c>
      <c r="J33" s="5" t="inlineStr">
        <is>
          <t>CO-3, PR-5</t>
        </is>
      </c>
      <c r="K33" s="15" t="n"/>
      <c r="L33" s="7" t="str">
        <f>IF(OR(H33="",K33=""),"",ROUND(H33*VLOOKUP(K33,Scales!$A$22:$B$25,2,FALSE),1))</f>
        <v/>
      </c>
      <c r="M33" s="7" t="str">
        <f>IF(L33="","",IF(L33&gt;=17,"Critical",IF(L33&gt;=10,"High",IF(L33&gt;=5,"Medium","Low"))))</f>
        <v/>
      </c>
      <c r="N33" s="7" t="str">
        <f>IF(M33="","",IF(OR(M33="Low",M33="Medium"),"Yes","No"))</f>
        <v/>
      </c>
      <c r="O33" s="15" t="n"/>
      <c r="P33" s="5" t="n"/>
      <c r="Q33" s="15" t="n"/>
      <c r="R33" s="15" t="n"/>
      <c r="S33" s="15" t="n"/>
      <c r="T33" s="5" t="inlineStr">
        <is>
          <t>Appeals exceeding SLA</t>
        </is>
      </c>
      <c r="V33" t="str">
        <f>IF(L33="","",L33+ROW()/100000)</f>
        <v/>
      </c>
    </row>
    <row r="34" ht="44" customHeight="1">
      <c r="A34" s="15" t="n"/>
      <c r="B34" s="12" t="inlineStr">
        <is>
          <t>TRA-04</t>
        </is>
      </c>
      <c r="C34" s="12" t="inlineStr">
        <is>
          <t>Transparency, Explainability &amp; Contestability</t>
        </is>
      </c>
      <c r="D34" s="4" t="inlineStr">
        <is>
          <t>Inadequate documentation and records</t>
        </is>
      </c>
      <c r="E34" s="5" t="inlineStr">
        <is>
          <t>Technical documentation, logs or decisions are insufficient for audit or regulatory inspection.</t>
        </is>
      </c>
      <c r="F34" s="15" t="n"/>
      <c r="G34" s="15" t="n"/>
      <c r="H34" s="7" t="str">
        <f>IF(OR($A34&lt;&gt;"Yes",F34="",G34=""),"",MATCH(F34,Lists!$B$1:$B$5,0)*MATCH(G34,Lists!$C$1:$C$5,0))</f>
        <v/>
      </c>
      <c r="I34" s="7" t="str">
        <f>IF(H34="","",IF(H34&gt;=17,"Critical",IF(H34&gt;=10,"High",IF(H34&gt;=5,"Medium","Low"))))</f>
        <v/>
      </c>
      <c r="J34" s="5" t="inlineStr">
        <is>
          <t>LC-4, OM-2, RO-3</t>
        </is>
      </c>
      <c r="K34" s="15" t="n"/>
      <c r="L34" s="7" t="str">
        <f>IF(OR(H34="",K34=""),"",ROUND(H34*VLOOKUP(K34,Scales!$A$22:$B$25,2,FALSE),1))</f>
        <v/>
      </c>
      <c r="M34" s="7" t="str">
        <f>IF(L34="","",IF(L34&gt;=17,"Critical",IF(L34&gt;=10,"High",IF(L34&gt;=5,"Medium","Low"))))</f>
        <v/>
      </c>
      <c r="N34" s="7" t="str">
        <f>IF(M34="","",IF(OR(M34="Low",M34="Medium"),"Yes","No"))</f>
        <v/>
      </c>
      <c r="O34" s="15" t="n"/>
      <c r="P34" s="5" t="n"/>
      <c r="Q34" s="15" t="n"/>
      <c r="R34" s="15" t="n"/>
      <c r="S34" s="15" t="n"/>
      <c r="T34" s="5" t="inlineStr">
        <is>
          <t>Systems with incomplete documentation pack</t>
        </is>
      </c>
      <c r="V34" t="str">
        <f>IF(L34="","",L34+ROW()/100000)</f>
        <v/>
      </c>
    </row>
    <row r="35" ht="44" customHeight="1">
      <c r="A35" s="15" t="n"/>
      <c r="B35" s="12" t="inlineStr">
        <is>
          <t>SEC-01</t>
        </is>
      </c>
      <c r="C35" s="12" t="inlineStr">
        <is>
          <t>Security of AI Systems</t>
        </is>
      </c>
      <c r="D35" s="4" t="inlineStr">
        <is>
          <t>Prompt injection and jailbreak</t>
        </is>
      </c>
      <c r="E35" s="5" t="inlineStr">
        <is>
          <t>Attacker manipulates model behaviour via direct or indirect (embedded content) instructions.</t>
        </is>
      </c>
      <c r="F35" s="15" t="n"/>
      <c r="G35" s="15" t="n"/>
      <c r="H35" s="7" t="str">
        <f>IF(OR($A35&lt;&gt;"Yes",F35="",G35=""),"",MATCH(F35,Lists!$B$1:$B$5,0)*MATCH(G35,Lists!$C$1:$C$5,0))</f>
        <v/>
      </c>
      <c r="I35" s="7" t="str">
        <f>IF(H35="","",IF(H35&gt;=17,"Critical",IF(H35&gt;=10,"High",IF(H35&gt;=5,"Medium","Low"))))</f>
        <v/>
      </c>
      <c r="J35" s="5" t="inlineStr">
        <is>
          <t>SE-6</t>
        </is>
      </c>
      <c r="K35" s="15" t="n"/>
      <c r="L35" s="7" t="str">
        <f>IF(OR(H35="",K35=""),"",ROUND(H35*VLOOKUP(K35,Scales!$A$22:$B$25,2,FALSE),1))</f>
        <v/>
      </c>
      <c r="M35" s="7" t="str">
        <f>IF(L35="","",IF(L35&gt;=17,"Critical",IF(L35&gt;=10,"High",IF(L35&gt;=5,"Medium","Low"))))</f>
        <v/>
      </c>
      <c r="N35" s="7" t="str">
        <f>IF(M35="","",IF(OR(M35="Low",M35="Medium"),"Yes","No"))</f>
        <v/>
      </c>
      <c r="O35" s="15" t="n"/>
      <c r="P35" s="5" t="n"/>
      <c r="Q35" s="15" t="n"/>
      <c r="R35" s="15" t="n"/>
      <c r="S35" s="15" t="n"/>
      <c r="T35" s="5" t="inlineStr">
        <is>
          <t>Blocked injection attempts / bypasses in testing</t>
        </is>
      </c>
      <c r="V35" t="str">
        <f>IF(L35="","",L35+ROW()/100000)</f>
        <v/>
      </c>
    </row>
    <row r="36" ht="44" customHeight="1">
      <c r="A36" s="15" t="n"/>
      <c r="B36" s="12" t="inlineStr">
        <is>
          <t>SEC-02</t>
        </is>
      </c>
      <c r="C36" s="12" t="inlineStr">
        <is>
          <t>Security of AI Systems</t>
        </is>
      </c>
      <c r="D36" s="4" t="inlineStr">
        <is>
          <t>Data or model poisoning</t>
        </is>
      </c>
      <c r="E36" s="5" t="inlineStr">
        <is>
          <t>Training, fine-tuning or retrieval data is manipulated to corrupt outputs or insert backdoors.</t>
        </is>
      </c>
      <c r="F36" s="15" t="n"/>
      <c r="G36" s="15" t="n"/>
      <c r="H36" s="7" t="str">
        <f>IF(OR($A36&lt;&gt;"Yes",F36="",G36=""),"",MATCH(F36,Lists!$B$1:$B$5,0)*MATCH(G36,Lists!$C$1:$C$5,0))</f>
        <v/>
      </c>
      <c r="I36" s="7" t="str">
        <f>IF(H36="","",IF(H36&gt;=17,"Critical",IF(H36&gt;=10,"High",IF(H36&gt;=5,"Medium","Low"))))</f>
        <v/>
      </c>
      <c r="J36" s="5" t="inlineStr">
        <is>
          <t>SE-6, LC-1, SE-7</t>
        </is>
      </c>
      <c r="K36" s="15" t="n"/>
      <c r="L36" s="7" t="str">
        <f>IF(OR(H36="",K36=""),"",ROUND(H36*VLOOKUP(K36,Scales!$A$22:$B$25,2,FALSE),1))</f>
        <v/>
      </c>
      <c r="M36" s="7" t="str">
        <f>IF(L36="","",IF(L36&gt;=17,"Critical",IF(L36&gt;=10,"High",IF(L36&gt;=5,"Medium","Low"))))</f>
        <v/>
      </c>
      <c r="N36" s="7" t="str">
        <f>IF(M36="","",IF(OR(M36="Low",M36="Medium"),"Yes","No"))</f>
        <v/>
      </c>
      <c r="O36" s="15" t="n"/>
      <c r="P36" s="5" t="n"/>
      <c r="Q36" s="15" t="n"/>
      <c r="R36" s="15" t="n"/>
      <c r="S36" s="15" t="n"/>
      <c r="T36" s="5" t="inlineStr">
        <is>
          <t>Integrity check failures</t>
        </is>
      </c>
      <c r="V36" t="str">
        <f>IF(L36="","",L36+ROW()/100000)</f>
        <v/>
      </c>
    </row>
    <row r="37" ht="44" customHeight="1">
      <c r="A37" s="15" t="n"/>
      <c r="B37" s="12" t="inlineStr">
        <is>
          <t>SEC-03</t>
        </is>
      </c>
      <c r="C37" s="12" t="inlineStr">
        <is>
          <t>Security of AI Systems</t>
        </is>
      </c>
      <c r="D37" s="4" t="inlineStr">
        <is>
          <t>Model theft, extraction or inversion</t>
        </is>
      </c>
      <c r="E37" s="5" t="inlineStr">
        <is>
          <t>Model weights, system prompts or training data are extracted.</t>
        </is>
      </c>
      <c r="F37" s="15" t="n"/>
      <c r="G37" s="15" t="n"/>
      <c r="H37" s="7" t="str">
        <f>IF(OR($A37&lt;&gt;"Yes",F37="",G37=""),"",MATCH(F37,Lists!$B$1:$B$5,0)*MATCH(G37,Lists!$C$1:$C$5,0))</f>
        <v/>
      </c>
      <c r="I37" s="7" t="str">
        <f>IF(H37="","",IF(H37&gt;=17,"Critical",IF(H37&gt;=10,"High",IF(H37&gt;=5,"Medium","Low"))))</f>
        <v/>
      </c>
      <c r="J37" s="5" t="inlineStr">
        <is>
          <t>SE-4, SE-6</t>
        </is>
      </c>
      <c r="K37" s="15" t="n"/>
      <c r="L37" s="7" t="str">
        <f>IF(OR(H37="",K37=""),"",ROUND(H37*VLOOKUP(K37,Scales!$A$22:$B$25,2,FALSE),1))</f>
        <v/>
      </c>
      <c r="M37" s="7" t="str">
        <f>IF(L37="","",IF(L37&gt;=17,"Critical",IF(L37&gt;=10,"High",IF(L37&gt;=5,"Medium","Low"))))</f>
        <v/>
      </c>
      <c r="N37" s="7" t="str">
        <f>IF(M37="","",IF(OR(M37="Low",M37="Medium"),"Yes","No"))</f>
        <v/>
      </c>
      <c r="O37" s="15" t="n"/>
      <c r="P37" s="5" t="n"/>
      <c r="Q37" s="15" t="n"/>
      <c r="R37" s="15" t="n"/>
      <c r="S37" s="15" t="n"/>
      <c r="T37" s="5" t="inlineStr">
        <is>
          <t>Anomalous query volumes</t>
        </is>
      </c>
      <c r="V37" t="str">
        <f>IF(L37="","",L37+ROW()/100000)</f>
        <v/>
      </c>
    </row>
    <row r="38" ht="44" customHeight="1">
      <c r="A38" s="15" t="n"/>
      <c r="B38" s="12" t="inlineStr">
        <is>
          <t>SEC-04</t>
        </is>
      </c>
      <c r="C38" s="12" t="inlineStr">
        <is>
          <t>Security of AI Systems</t>
        </is>
      </c>
      <c r="D38" s="4" t="inlineStr">
        <is>
          <t>Insecure integration and excessive privilege</t>
        </is>
      </c>
      <c r="E38" s="5" t="inlineStr">
        <is>
          <t>AI components have excessive permissions or insecure APIs/plugins, enabling unauthorised actions.</t>
        </is>
      </c>
      <c r="F38" s="15" t="n"/>
      <c r="G38" s="15" t="n"/>
      <c r="H38" s="7" t="str">
        <f>IF(OR($A38&lt;&gt;"Yes",F38="",G38=""),"",MATCH(F38,Lists!$B$1:$B$5,0)*MATCH(G38,Lists!$C$1:$C$5,0))</f>
        <v/>
      </c>
      <c r="I38" s="7" t="str">
        <f>IF(H38="","",IF(H38&gt;=17,"Critical",IF(H38&gt;=10,"High",IF(H38&gt;=5,"Medium","Low"))))</f>
        <v/>
      </c>
      <c r="J38" s="5" t="inlineStr">
        <is>
          <t>SE-2, LC-8</t>
        </is>
      </c>
      <c r="K38" s="15" t="n"/>
      <c r="L38" s="7" t="str">
        <f>IF(OR(H38="",K38=""),"",ROUND(H38*VLOOKUP(K38,Scales!$A$22:$B$25,2,FALSE),1))</f>
        <v/>
      </c>
      <c r="M38" s="7" t="str">
        <f>IF(L38="","",IF(L38&gt;=17,"Critical",IF(L38&gt;=10,"High",IF(L38&gt;=5,"Medium","Low"))))</f>
        <v/>
      </c>
      <c r="N38" s="7" t="str">
        <f>IF(M38="","",IF(OR(M38="Low",M38="Medium"),"Yes","No"))</f>
        <v/>
      </c>
      <c r="O38" s="15" t="n"/>
      <c r="P38" s="5" t="n"/>
      <c r="Q38" s="15" t="n"/>
      <c r="R38" s="15" t="n"/>
      <c r="S38" s="15" t="n"/>
      <c r="T38" s="5" t="inlineStr">
        <is>
          <t>Agents / integrations with privileged standing access</t>
        </is>
      </c>
      <c r="V38" t="str">
        <f>IF(L38="","",L38+ROW()/100000)</f>
        <v/>
      </c>
    </row>
    <row r="39" ht="44" customHeight="1">
      <c r="A39" s="15" t="n"/>
      <c r="B39" s="12" t="inlineStr">
        <is>
          <t>SEC-06</t>
        </is>
      </c>
      <c r="C39" s="12" t="inlineStr">
        <is>
          <t>Security of AI Systems</t>
        </is>
      </c>
      <c r="D39" s="4" t="inlineStr">
        <is>
          <t>Agent memory poisoning &amp; cross-session leakage</t>
        </is>
      </c>
      <c r="E39" s="5" t="inlineStr">
        <is>
          <t>Poisoned or unauthorised content persists in agent memory / vector stores, or context leaks across users, sessions or tenants.</t>
        </is>
      </c>
      <c r="F39" s="15" t="n"/>
      <c r="G39" s="15" t="n"/>
      <c r="H39" s="7" t="str">
        <f>IF(OR($A39&lt;&gt;"Yes",F39="",G39=""),"",MATCH(F39,Lists!$B$1:$B$5,0)*MATCH(G39,Lists!$C$1:$C$5,0))</f>
        <v/>
      </c>
      <c r="I39" s="7" t="str">
        <f>IF(H39="","",IF(H39&gt;=17,"Critical",IF(H39&gt;=10,"High",IF(H39&gt;=5,"Medium","Low"))))</f>
        <v/>
      </c>
      <c r="J39" s="5" t="inlineStr">
        <is>
          <t>SE-8</t>
        </is>
      </c>
      <c r="K39" s="15" t="n"/>
      <c r="L39" s="7" t="str">
        <f>IF(OR(H39="",K39=""),"",ROUND(H39*VLOOKUP(K39,Scales!$A$22:$B$25,2,FALSE),1))</f>
        <v/>
      </c>
      <c r="M39" s="7" t="str">
        <f>IF(L39="","",IF(L39&gt;=17,"Critical",IF(L39&gt;=10,"High",IF(L39&gt;=5,"Medium","Low"))))</f>
        <v/>
      </c>
      <c r="N39" s="7" t="str">
        <f>IF(M39="","",IF(OR(M39="Low",M39="Medium"),"Yes","No"))</f>
        <v/>
      </c>
      <c r="O39" s="15" t="n"/>
      <c r="P39" s="5" t="n"/>
      <c r="Q39" s="15" t="n"/>
      <c r="R39" s="15" t="n"/>
      <c r="S39" s="15" t="n"/>
      <c r="T39" s="5" t="inlineStr">
        <is>
          <t>Cross-tenant retrieval test failures</t>
        </is>
      </c>
      <c r="V39" t="str">
        <f>IF(L39="","",L39+ROW()/100000)</f>
        <v/>
      </c>
    </row>
    <row r="40" ht="44" customHeight="1">
      <c r="A40" s="15" t="n"/>
      <c r="B40" s="12" t="inlineStr">
        <is>
          <t>SEC-07</t>
        </is>
      </c>
      <c r="C40" s="12" t="inlineStr">
        <is>
          <t>Security of AI Systems</t>
        </is>
      </c>
      <c r="D40" s="4" t="inlineStr">
        <is>
          <t>Unsafe code execution, SSRF &amp; sandbox escape</t>
        </is>
      </c>
      <c r="E40" s="5" t="inlineStr">
        <is>
          <t>Agent-generated code or tool calls reach internal networks, cloud metadata services or production secrets.</t>
        </is>
      </c>
      <c r="F40" s="15" t="n"/>
      <c r="G40" s="15" t="n"/>
      <c r="H40" s="7" t="str">
        <f>IF(OR($A40&lt;&gt;"Yes",F40="",G40=""),"",MATCH(F40,Lists!$B$1:$B$5,0)*MATCH(G40,Lists!$C$1:$C$5,0))</f>
        <v/>
      </c>
      <c r="I40" s="7" t="str">
        <f>IF(H40="","",IF(H40&gt;=17,"Critical",IF(H40&gt;=10,"High",IF(H40&gt;=5,"Medium","Low"))))</f>
        <v/>
      </c>
      <c r="J40" s="5" t="inlineStr">
        <is>
          <t>SE-9, SE-10</t>
        </is>
      </c>
      <c r="K40" s="15" t="n"/>
      <c r="L40" s="7" t="str">
        <f>IF(OR(H40="",K40=""),"",ROUND(H40*VLOOKUP(K40,Scales!$A$22:$B$25,2,FALSE),1))</f>
        <v/>
      </c>
      <c r="M40" s="7" t="str">
        <f>IF(L40="","",IF(L40&gt;=17,"Critical",IF(L40&gt;=10,"High",IF(L40&gt;=5,"Medium","Low"))))</f>
        <v/>
      </c>
      <c r="N40" s="7" t="str">
        <f>IF(M40="","",IF(OR(M40="Low",M40="Medium"),"Yes","No"))</f>
        <v/>
      </c>
      <c r="O40" s="15" t="n"/>
      <c r="P40" s="5" t="n"/>
      <c r="Q40" s="15" t="n"/>
      <c r="R40" s="15" t="n"/>
      <c r="S40" s="15" t="n"/>
      <c r="T40" s="5" t="inlineStr">
        <is>
          <t>Blocked egress / SSRF attempts</t>
        </is>
      </c>
      <c r="V40" t="str">
        <f>IF(L40="","",L40+ROW()/100000)</f>
        <v/>
      </c>
    </row>
    <row r="41" ht="44" customHeight="1">
      <c r="A41" s="15" t="n"/>
      <c r="B41" s="12" t="inlineStr">
        <is>
          <t>SEC-05</t>
        </is>
      </c>
      <c r="C41" s="12" t="inlineStr">
        <is>
          <t>Security of AI Systems</t>
        </is>
      </c>
      <c r="D41" s="4" t="inlineStr">
        <is>
          <t>Compromised AI supply chain</t>
        </is>
      </c>
      <c r="E41" s="5" t="inlineStr">
        <is>
          <t>Malicious or vulnerable third-party models, libraries, plugins or MCP servers.</t>
        </is>
      </c>
      <c r="F41" s="15" t="n"/>
      <c r="G41" s="15" t="n"/>
      <c r="H41" s="7" t="str">
        <f>IF(OR($A41&lt;&gt;"Yes",F41="",G41=""),"",MATCH(F41,Lists!$B$1:$B$5,0)*MATCH(G41,Lists!$C$1:$C$5,0))</f>
        <v/>
      </c>
      <c r="I41" s="7" t="str">
        <f>IF(H41="","",IF(H41&gt;=17,"Critical",IF(H41&gt;=10,"High",IF(H41&gt;=5,"Medium","Low"))))</f>
        <v/>
      </c>
      <c r="J41" s="5" t="inlineStr">
        <is>
          <t>SE-7</t>
        </is>
      </c>
      <c r="K41" s="15" t="n"/>
      <c r="L41" s="7" t="str">
        <f>IF(OR(H41="",K41=""),"",ROUND(H41*VLOOKUP(K41,Scales!$A$22:$B$25,2,FALSE),1))</f>
        <v/>
      </c>
      <c r="M41" s="7" t="str">
        <f>IF(L41="","",IF(L41&gt;=17,"Critical",IF(L41&gt;=10,"High",IF(L41&gt;=5,"Medium","Low"))))</f>
        <v/>
      </c>
      <c r="N41" s="7" t="str">
        <f>IF(M41="","",IF(OR(M41="Low",M41="Medium"),"Yes","No"))</f>
        <v/>
      </c>
      <c r="O41" s="15" t="n"/>
      <c r="P41" s="5" t="n"/>
      <c r="Q41" s="15" t="n"/>
      <c r="R41" s="15" t="n"/>
      <c r="S41" s="15" t="n"/>
      <c r="T41" s="5" t="inlineStr">
        <is>
          <t>Unscanned model artefacts</t>
        </is>
      </c>
      <c r="V41" t="str">
        <f>IF(L41="","",L41+ROW()/100000)</f>
        <v/>
      </c>
    </row>
    <row r="42" ht="44" customHeight="1">
      <c r="A42" s="15" t="n"/>
      <c r="B42" s="12" t="inlineStr">
        <is>
          <t>HUM-01</t>
        </is>
      </c>
      <c r="C42" s="12" t="inlineStr">
        <is>
          <t>Human Oversight &amp; Autonomy</t>
        </is>
      </c>
      <c r="D42" s="4" t="inlineStr">
        <is>
          <t>Automation bias and over-reliance</t>
        </is>
      </c>
      <c r="E42" s="5" t="inlineStr">
        <is>
          <t>Users accept AI outputs without adequate scrutiny, eroding professional judgement.</t>
        </is>
      </c>
      <c r="F42" s="15" t="n"/>
      <c r="G42" s="15" t="n"/>
      <c r="H42" s="7" t="str">
        <f>IF(OR($A42&lt;&gt;"Yes",F42="",G42=""),"",MATCH(F42,Lists!$B$1:$B$5,0)*MATCH(G42,Lists!$C$1:$C$5,0))</f>
        <v/>
      </c>
      <c r="I42" s="7" t="str">
        <f>IF(H42="","",IF(H42&gt;=17,"Critical",IF(H42&gt;=10,"High",IF(H42&gt;=5,"Medium","Low"))))</f>
        <v/>
      </c>
      <c r="J42" s="5" t="inlineStr">
        <is>
          <t>RS-1, GL-4, LC-7</t>
        </is>
      </c>
      <c r="K42" s="15" t="n"/>
      <c r="L42" s="7" t="str">
        <f>IF(OR(H42="",K42=""),"",ROUND(H42*VLOOKUP(K42,Scales!$A$22:$B$25,2,FALSE),1))</f>
        <v/>
      </c>
      <c r="M42" s="7" t="str">
        <f>IF(L42="","",IF(L42&gt;=17,"Critical",IF(L42&gt;=10,"High",IF(L42&gt;=5,"Medium","Low"))))</f>
        <v/>
      </c>
      <c r="N42" s="7" t="str">
        <f>IF(M42="","",IF(OR(M42="Low",M42="Medium"),"Yes","No"))</f>
        <v/>
      </c>
      <c r="O42" s="15" t="n"/>
      <c r="P42" s="5" t="n"/>
      <c r="Q42" s="15" t="n"/>
      <c r="R42" s="15" t="n"/>
      <c r="S42" s="15" t="n"/>
      <c r="T42" s="5" t="inlineStr">
        <is>
          <t>Override / challenge rate</t>
        </is>
      </c>
      <c r="V42" t="str">
        <f>IF(L42="","",L42+ROW()/100000)</f>
        <v/>
      </c>
    </row>
    <row r="43" ht="44" customHeight="1">
      <c r="A43" s="15" t="n"/>
      <c r="B43" s="12" t="inlineStr">
        <is>
          <t>HUM-02</t>
        </is>
      </c>
      <c r="C43" s="12" t="inlineStr">
        <is>
          <t>Human Oversight &amp; Autonomy</t>
        </is>
      </c>
      <c r="D43" s="4" t="inlineStr">
        <is>
          <t>Ineffective human oversight</t>
        </is>
      </c>
      <c r="E43" s="5" t="inlineStr">
        <is>
          <t>Oversight persons lack competence, authority, time or information to intervene.</t>
        </is>
      </c>
      <c r="F43" s="15" t="n"/>
      <c r="G43" s="15" t="n"/>
      <c r="H43" s="7" t="str">
        <f>IF(OR($A43&lt;&gt;"Yes",F43="",G43=""),"",MATCH(F43,Lists!$B$1:$B$5,0)*MATCH(G43,Lists!$C$1:$C$5,0))</f>
        <v/>
      </c>
      <c r="I43" s="7" t="str">
        <f>IF(H43="","",IF(H43&gt;=17,"Critical",IF(H43&gt;=10,"High",IF(H43&gt;=5,"Medium","Low"))))</f>
        <v/>
      </c>
      <c r="J43" s="5" t="inlineStr">
        <is>
          <t>RS-1, GL-4</t>
        </is>
      </c>
      <c r="K43" s="15" t="n"/>
      <c r="L43" s="7" t="str">
        <f>IF(OR(H43="",K43=""),"",ROUND(H43*VLOOKUP(K43,Scales!$A$22:$B$25,2,FALSE),1))</f>
        <v/>
      </c>
      <c r="M43" s="7" t="str">
        <f>IF(L43="","",IF(L43&gt;=17,"Critical",IF(L43&gt;=10,"High",IF(L43&gt;=5,"Medium","Low"))))</f>
        <v/>
      </c>
      <c r="N43" s="7" t="str">
        <f>IF(M43="","",IF(OR(M43="Low",M43="Medium"),"Yes","No"))</f>
        <v/>
      </c>
      <c r="O43" s="15" t="n"/>
      <c r="P43" s="5" t="n"/>
      <c r="Q43" s="15" t="n"/>
      <c r="R43" s="15" t="n"/>
      <c r="S43" s="15" t="n"/>
      <c r="T43" s="5" t="inlineStr">
        <is>
          <t>Oversight roles without training</t>
        </is>
      </c>
      <c r="V43" t="str">
        <f>IF(L43="","",L43+ROW()/100000)</f>
        <v/>
      </c>
    </row>
    <row r="44" ht="44" customHeight="1">
      <c r="A44" s="15" t="n"/>
      <c r="B44" s="12" t="inlineStr">
        <is>
          <t>HUM-03</t>
        </is>
      </c>
      <c r="C44" s="12" t="inlineStr">
        <is>
          <t>Human Oversight &amp; Autonomy</t>
        </is>
      </c>
      <c r="D44" s="4" t="inlineStr">
        <is>
          <t>Unbounded autonomous agent actions</t>
        </is>
      </c>
      <c r="E44" s="5" t="inlineStr">
        <is>
          <t>AI agents take high-impact actions (payments, communications, code execution) without adequate limits or approval.</t>
        </is>
      </c>
      <c r="F44" s="15" t="n"/>
      <c r="G44" s="15" t="n"/>
      <c r="H44" s="7" t="str">
        <f>IF(OR($A44&lt;&gt;"Yes",F44="",G44=""),"",MATCH(F44,Lists!$B$1:$B$5,0)*MATCH(G44,Lists!$C$1:$C$5,0))</f>
        <v/>
      </c>
      <c r="I44" s="7" t="str">
        <f>IF(H44="","",IF(H44&gt;=17,"Critical",IF(H44&gt;=10,"High",IF(H44&gt;=5,"Medium","Low"))))</f>
        <v/>
      </c>
      <c r="J44" s="5" t="inlineStr">
        <is>
          <t>LC-8</t>
        </is>
      </c>
      <c r="K44" s="15" t="n"/>
      <c r="L44" s="7" t="str">
        <f>IF(OR(H44="",K44=""),"",ROUND(H44*VLOOKUP(K44,Scales!$A$22:$B$25,2,FALSE),1))</f>
        <v/>
      </c>
      <c r="M44" s="7" t="str">
        <f>IF(L44="","",IF(L44&gt;=17,"Critical",IF(L44&gt;=10,"High",IF(L44&gt;=5,"Medium","Low"))))</f>
        <v/>
      </c>
      <c r="N44" s="7" t="str">
        <f>IF(M44="","",IF(OR(M44="Low",M44="Medium"),"Yes","No"))</f>
        <v/>
      </c>
      <c r="O44" s="15" t="n"/>
      <c r="P44" s="5" t="n"/>
      <c r="Q44" s="15" t="n"/>
      <c r="R44" s="15" t="n"/>
      <c r="S44" s="15" t="n"/>
      <c r="T44" s="5" t="inlineStr">
        <is>
          <t>High-impact agent actions without approval</t>
        </is>
      </c>
      <c r="V44" t="str">
        <f>IF(L44="","",L44+ROW()/100000)</f>
        <v/>
      </c>
    </row>
    <row r="45" ht="44" customHeight="1">
      <c r="A45" s="15" t="n"/>
      <c r="B45" s="12" t="inlineStr">
        <is>
          <t>HUM-04</t>
        </is>
      </c>
      <c r="C45" s="12" t="inlineStr">
        <is>
          <t>Human Oversight &amp; Autonomy</t>
        </is>
      </c>
      <c r="D45" s="4" t="inlineStr">
        <is>
          <t>Adverse workforce impact</t>
        </is>
      </c>
      <c r="E45" s="5" t="inlineStr">
        <is>
          <t>AI adoption causes skills erosion, job anxiety or unconsulted changes to working conditions.</t>
        </is>
      </c>
      <c r="F45" s="15" t="n"/>
      <c r="G45" s="15" t="n"/>
      <c r="H45" s="7" t="str">
        <f>IF(OR($A45&lt;&gt;"Yes",F45="",G45=""),"",MATCH(F45,Lists!$B$1:$B$5,0)*MATCH(G45,Lists!$C$1:$C$5,0))</f>
        <v/>
      </c>
      <c r="I45" s="7" t="str">
        <f>IF(H45="","",IF(H45&gt;=17,"Critical",IF(H45&gt;=10,"High",IF(H45&gt;=5,"Medium","Low"))))</f>
        <v/>
      </c>
      <c r="J45" s="5" t="inlineStr">
        <is>
          <t>RS-9, GL-4</t>
        </is>
      </c>
      <c r="K45" s="15" t="n"/>
      <c r="L45" s="7" t="str">
        <f>IF(OR(H45="",K45=""),"",ROUND(H45*VLOOKUP(K45,Scales!$A$22:$B$25,2,FALSE),1))</f>
        <v/>
      </c>
      <c r="M45" s="7" t="str">
        <f>IF(L45="","",IF(L45&gt;=17,"Critical",IF(L45&gt;=10,"High",IF(L45&gt;=5,"Medium","Low"))))</f>
        <v/>
      </c>
      <c r="N45" s="7" t="str">
        <f>IF(M45="","",IF(OR(M45="Low",M45="Medium"),"Yes","No"))</f>
        <v/>
      </c>
      <c r="O45" s="15" t="n"/>
      <c r="P45" s="5" t="n"/>
      <c r="Q45" s="15" t="n"/>
      <c r="R45" s="15" t="n"/>
      <c r="S45" s="15" t="n"/>
      <c r="T45" s="5" t="inlineStr">
        <is>
          <t>Staff sentiment / attrition in affected roles</t>
        </is>
      </c>
      <c r="V45" t="str">
        <f>IF(L45="","",L45+ROW()/100000)</f>
        <v/>
      </c>
    </row>
    <row r="46" ht="44" customHeight="1">
      <c r="A46" s="15" t="n"/>
      <c r="B46" s="12" t="inlineStr">
        <is>
          <t>TPR-01</t>
        </is>
      </c>
      <c r="C46" s="12" t="inlineStr">
        <is>
          <t>Third-Party &amp; Supply Chain</t>
        </is>
      </c>
      <c r="D46" s="4" t="inlineStr">
        <is>
          <t>Vendor lock-in and concentration</t>
        </is>
      </c>
      <c r="E46" s="5" t="inlineStr">
        <is>
          <t>Critical dependence on a single AI provider or cloud creates resilience and bargaining risk.</t>
        </is>
      </c>
      <c r="F46" s="15" t="n"/>
      <c r="G46" s="15" t="n"/>
      <c r="H46" s="7" t="str">
        <f>IF(OR($A46&lt;&gt;"Yes",F46="",G46=""),"",MATCH(F46,Lists!$B$1:$B$5,0)*MATCH(G46,Lists!$C$1:$C$5,0))</f>
        <v/>
      </c>
      <c r="I46" s="7" t="str">
        <f>IF(H46="","",IF(H46&gt;=17,"Critical",IF(H46&gt;=10,"High",IF(H46&gt;=5,"Medium","Low"))))</f>
        <v/>
      </c>
      <c r="J46" s="5" t="inlineStr">
        <is>
          <t>TP-2, TP-3</t>
        </is>
      </c>
      <c r="K46" s="15" t="n"/>
      <c r="L46" s="7" t="str">
        <f>IF(OR(H46="",K46=""),"",ROUND(H46*VLOOKUP(K46,Scales!$A$22:$B$25,2,FALSE),1))</f>
        <v/>
      </c>
      <c r="M46" s="7" t="str">
        <f>IF(L46="","",IF(L46&gt;=17,"Critical",IF(L46&gt;=10,"High",IF(L46&gt;=5,"Medium","Low"))))</f>
        <v/>
      </c>
      <c r="N46" s="7" t="str">
        <f>IF(M46="","",IF(OR(M46="Low",M46="Medium"),"Yes","No"))</f>
        <v/>
      </c>
      <c r="O46" s="15" t="n"/>
      <c r="P46" s="5" t="n"/>
      <c r="Q46" s="15" t="n"/>
      <c r="R46" s="15" t="n"/>
      <c r="S46" s="15" t="n"/>
      <c r="T46" s="5" t="inlineStr">
        <is>
          <t>% critical AI workloads on single provider</t>
        </is>
      </c>
      <c r="V46" t="str">
        <f>IF(L46="","",L46+ROW()/100000)</f>
        <v/>
      </c>
    </row>
    <row r="47" ht="44" customHeight="1">
      <c r="A47" s="15" t="n"/>
      <c r="B47" s="12" t="inlineStr">
        <is>
          <t>TPR-02</t>
        </is>
      </c>
      <c r="C47" s="12" t="inlineStr">
        <is>
          <t>Third-Party &amp; Supply Chain</t>
        </is>
      </c>
      <c r="D47" s="4" t="inlineStr">
        <is>
          <t>Inadequate vendor transparency and assurance</t>
        </is>
      </c>
      <c r="E47" s="5" t="inlineStr">
        <is>
          <t>Vendor cannot provide documentation, testing evidence or incident information needed for compliance.</t>
        </is>
      </c>
      <c r="F47" s="15" t="n"/>
      <c r="G47" s="15" t="n"/>
      <c r="H47" s="7" t="str">
        <f>IF(OR($A47&lt;&gt;"Yes",F47="",G47=""),"",MATCH(F47,Lists!$B$1:$B$5,0)*MATCH(G47,Lists!$C$1:$C$5,0))</f>
        <v/>
      </c>
      <c r="I47" s="7" t="str">
        <f>IF(H47="","",IF(H47&gt;=17,"Critical",IF(H47&gt;=10,"High",IF(H47&gt;=5,"Medium","Low"))))</f>
        <v/>
      </c>
      <c r="J47" s="5" t="inlineStr">
        <is>
          <t>TP-1, TP-3, LC-6</t>
        </is>
      </c>
      <c r="K47" s="15" t="n"/>
      <c r="L47" s="7" t="str">
        <f>IF(OR(H47="",K47=""),"",ROUND(H47*VLOOKUP(K47,Scales!$A$22:$B$25,2,FALSE),1))</f>
        <v/>
      </c>
      <c r="M47" s="7" t="str">
        <f>IF(L47="","",IF(L47&gt;=17,"Critical",IF(L47&gt;=10,"High",IF(L47&gt;=5,"Medium","Low"))))</f>
        <v/>
      </c>
      <c r="N47" s="7" t="str">
        <f>IF(M47="","",IF(OR(M47="Low",M47="Medium"),"Yes","No"))</f>
        <v/>
      </c>
      <c r="O47" s="15" t="n"/>
      <c r="P47" s="5" t="n"/>
      <c r="Q47" s="15" t="n"/>
      <c r="R47" s="15" t="n"/>
      <c r="S47" s="15" t="n"/>
      <c r="T47" s="5" t="inlineStr">
        <is>
          <t>Vendors without current assurance evidence</t>
        </is>
      </c>
      <c r="V47" t="str">
        <f>IF(L47="","",L47+ROW()/100000)</f>
        <v/>
      </c>
    </row>
    <row r="48" ht="44" customHeight="1">
      <c r="A48" s="15" t="n"/>
      <c r="B48" s="12" t="inlineStr">
        <is>
          <t>TPR-03</t>
        </is>
      </c>
      <c r="C48" s="12" t="inlineStr">
        <is>
          <t>Third-Party &amp; Supply Chain</t>
        </is>
      </c>
      <c r="D48" s="4" t="inlineStr">
        <is>
          <t>Vendor use of organisation data</t>
        </is>
      </c>
      <c r="E48" s="5" t="inlineStr">
        <is>
          <t>Provider uses prompts, outputs or client data to train models or retains data beyond agreed terms.</t>
        </is>
      </c>
      <c r="F48" s="15" t="n"/>
      <c r="G48" s="15" t="n"/>
      <c r="H48" s="7" t="str">
        <f>IF(OR($A48&lt;&gt;"Yes",F48="",G48=""),"",MATCH(F48,Lists!$B$1:$B$5,0)*MATCH(G48,Lists!$C$1:$C$5,0))</f>
        <v/>
      </c>
      <c r="I48" s="7" t="str">
        <f>IF(H48="","",IF(H48&gt;=17,"Critical",IF(H48&gt;=10,"High",IF(H48&gt;=5,"Medium","Low"))))</f>
        <v/>
      </c>
      <c r="J48" s="5" t="inlineStr">
        <is>
          <t>TP-3, PR-6</t>
        </is>
      </c>
      <c r="K48" s="15" t="n"/>
      <c r="L48" s="7" t="str">
        <f>IF(OR(H48="",K48=""),"",ROUND(H48*VLOOKUP(K48,Scales!$A$22:$B$25,2,FALSE),1))</f>
        <v/>
      </c>
      <c r="M48" s="7" t="str">
        <f>IF(L48="","",IF(L48&gt;=17,"Critical",IF(L48&gt;=10,"High",IF(L48&gt;=5,"Medium","Low"))))</f>
        <v/>
      </c>
      <c r="N48" s="7" t="str">
        <f>IF(M48="","",IF(OR(M48="Low",M48="Medium"),"Yes","No"))</f>
        <v/>
      </c>
      <c r="O48" s="15" t="n"/>
      <c r="P48" s="5" t="n"/>
      <c r="Q48" s="15" t="n"/>
      <c r="R48" s="15" t="n"/>
      <c r="S48" s="15" t="n"/>
      <c r="T48" s="5" t="inlineStr">
        <is>
          <t>Contracts lacking no-training clause</t>
        </is>
      </c>
      <c r="V48" t="str">
        <f>IF(L48="","",L48+ROW()/100000)</f>
        <v/>
      </c>
    </row>
    <row r="49" ht="44" customHeight="1">
      <c r="A49" s="15" t="n"/>
      <c r="B49" s="12" t="inlineStr">
        <is>
          <t>OPS-01</t>
        </is>
      </c>
      <c r="C49" s="12" t="inlineStr">
        <is>
          <t>Operational, Financial &amp; Sustainability</t>
        </is>
      </c>
      <c r="D49" s="4" t="inlineStr">
        <is>
          <t>AI service outage or degradation</t>
        </is>
      </c>
      <c r="E49" s="5" t="inlineStr">
        <is>
          <t>Business processes dependent on AI are disrupted by service unavailability or latency.</t>
        </is>
      </c>
      <c r="F49" s="15" t="n"/>
      <c r="G49" s="15" t="n"/>
      <c r="H49" s="7" t="str">
        <f>IF(OR($A49&lt;&gt;"Yes",F49="",G49=""),"",MATCH(F49,Lists!$B$1:$B$5,0)*MATCH(G49,Lists!$C$1:$C$5,0))</f>
        <v/>
      </c>
      <c r="I49" s="7" t="str">
        <f>IF(H49="","",IF(H49&gt;=17,"Critical",IF(H49&gt;=10,"High",IF(H49&gt;=5,"Medium","Low"))))</f>
        <v/>
      </c>
      <c r="J49" s="5" t="inlineStr">
        <is>
          <t>OM-1, SE-1</t>
        </is>
      </c>
      <c r="K49" s="15" t="n"/>
      <c r="L49" s="7" t="str">
        <f>IF(OR(H49="",K49=""),"",ROUND(H49*VLOOKUP(K49,Scales!$A$22:$B$25,2,FALSE),1))</f>
        <v/>
      </c>
      <c r="M49" s="7" t="str">
        <f>IF(L49="","",IF(L49&gt;=17,"Critical",IF(L49&gt;=10,"High",IF(L49&gt;=5,"Medium","Low"))))</f>
        <v/>
      </c>
      <c r="N49" s="7" t="str">
        <f>IF(M49="","",IF(OR(M49="Low",M49="Medium"),"Yes","No"))</f>
        <v/>
      </c>
      <c r="O49" s="15" t="n"/>
      <c r="P49" s="5" t="n"/>
      <c r="Q49" s="15" t="n"/>
      <c r="R49" s="15" t="n"/>
      <c r="S49" s="15" t="n"/>
      <c r="T49" s="5" t="inlineStr">
        <is>
          <t>AI service availability vs SLA</t>
        </is>
      </c>
      <c r="V49" t="str">
        <f>IF(L49="","",L49+ROW()/100000)</f>
        <v/>
      </c>
    </row>
    <row r="50" ht="44" customHeight="1">
      <c r="A50" s="15" t="n"/>
      <c r="B50" s="12" t="inlineStr">
        <is>
          <t>OPS-02</t>
        </is>
      </c>
      <c r="C50" s="12" t="inlineStr">
        <is>
          <t>Operational, Financial &amp; Sustainability</t>
        </is>
      </c>
      <c r="D50" s="4" t="inlineStr">
        <is>
          <t>Uncontrolled AI cost and consumption</t>
        </is>
      </c>
      <c r="E50" s="5" t="inlineStr">
        <is>
          <t>Compute and API spend escalate without governance (incl. denial-of-wallet attacks).</t>
        </is>
      </c>
      <c r="F50" s="15" t="n"/>
      <c r="G50" s="15" t="n"/>
      <c r="H50" s="7" t="str">
        <f>IF(OR($A50&lt;&gt;"Yes",F50="",G50=""),"",MATCH(F50,Lists!$B$1:$B$5,0)*MATCH(G50,Lists!$C$1:$C$5,0))</f>
        <v/>
      </c>
      <c r="I50" s="7" t="str">
        <f>IF(H50="","",IF(H50&gt;=17,"Critical",IF(H50&gt;=10,"High",IF(H50&gt;=5,"Medium","Low"))))</f>
        <v/>
      </c>
      <c r="J50" s="5" t="inlineStr">
        <is>
          <t>GL-6, SE-6</t>
        </is>
      </c>
      <c r="K50" s="15" t="n"/>
      <c r="L50" s="7" t="str">
        <f>IF(OR(H50="",K50=""),"",ROUND(H50*VLOOKUP(K50,Scales!$A$22:$B$25,2,FALSE),1))</f>
        <v/>
      </c>
      <c r="M50" s="7" t="str">
        <f>IF(L50="","",IF(L50&gt;=17,"Critical",IF(L50&gt;=10,"High",IF(L50&gt;=5,"Medium","Low"))))</f>
        <v/>
      </c>
      <c r="N50" s="7" t="str">
        <f>IF(M50="","",IF(OR(M50="Low",M50="Medium"),"Yes","No"))</f>
        <v/>
      </c>
      <c r="O50" s="15" t="n"/>
      <c r="P50" s="5" t="n"/>
      <c r="Q50" s="15" t="n"/>
      <c r="R50" s="15" t="n"/>
      <c r="S50" s="15" t="n"/>
      <c r="T50" s="5" t="inlineStr">
        <is>
          <t>AI spend vs budget</t>
        </is>
      </c>
      <c r="V50" t="str">
        <f>IF(L50="","",L50+ROW()/100000)</f>
        <v/>
      </c>
    </row>
    <row r="51" ht="44" customHeight="1">
      <c r="A51" s="15" t="n"/>
      <c r="B51" s="12" t="inlineStr">
        <is>
          <t>OPS-04</t>
        </is>
      </c>
      <c r="C51" s="12" t="inlineStr">
        <is>
          <t>Operational, Financial &amp; Sustainability</t>
        </is>
      </c>
      <c r="D51" s="4" t="inlineStr">
        <is>
          <t>No safe degradation or kill switch</t>
        </is>
      </c>
      <c r="E51" s="5" t="inlineStr">
        <is>
          <t>A failing or compromised AI system cannot be stopped quickly or the business process cannot revert to manual operation.</t>
        </is>
      </c>
      <c r="F51" s="15" t="n"/>
      <c r="G51" s="15" t="n"/>
      <c r="H51" s="7" t="str">
        <f>IF(OR($A51&lt;&gt;"Yes",F51="",G51=""),"",MATCH(F51,Lists!$B$1:$B$5,0)*MATCH(G51,Lists!$C$1:$C$5,0))</f>
        <v/>
      </c>
      <c r="I51" s="7" t="str">
        <f>IF(H51="","",IF(H51&gt;=17,"Critical",IF(H51&gt;=10,"High",IF(H51&gt;=5,"Medium","Low"))))</f>
        <v/>
      </c>
      <c r="J51" s="5" t="inlineStr">
        <is>
          <t>OM-4</t>
        </is>
      </c>
      <c r="K51" s="15" t="n"/>
      <c r="L51" s="7" t="str">
        <f>IF(OR(H51="",K51=""),"",ROUND(H51*VLOOKUP(K51,Scales!$A$22:$B$25,2,FALSE),1))</f>
        <v/>
      </c>
      <c r="M51" s="7" t="str">
        <f>IF(L51="","",IF(L51&gt;=17,"Critical",IF(L51&gt;=10,"High",IF(L51&gt;=5,"Medium","Low"))))</f>
        <v/>
      </c>
      <c r="N51" s="7" t="str">
        <f>IF(M51="","",IF(OR(M51="Low",M51="Medium"),"Yes","No"))</f>
        <v/>
      </c>
      <c r="O51" s="15" t="n"/>
      <c r="P51" s="5" t="n"/>
      <c r="Q51" s="15" t="n"/>
      <c r="R51" s="15" t="n"/>
      <c r="S51" s="15" t="n"/>
      <c r="T51" s="5" t="inlineStr">
        <is>
          <t>Kill-switch test age (days)</t>
        </is>
      </c>
      <c r="V51" t="str">
        <f>IF(L51="","",L51+ROW()/100000)</f>
        <v/>
      </c>
    </row>
    <row r="52" ht="44" customHeight="1">
      <c r="A52" s="15" t="n"/>
      <c r="B52" s="12" t="inlineStr">
        <is>
          <t>OPS-03</t>
        </is>
      </c>
      <c r="C52" s="12" t="inlineStr">
        <is>
          <t>Operational, Financial &amp; Sustainability</t>
        </is>
      </c>
      <c r="D52" s="4" t="inlineStr">
        <is>
          <t>Environmental impact of AI</t>
        </is>
      </c>
      <c r="E52" s="5" t="inlineStr">
        <is>
          <t>Energy, water and carbon footprint of AI workloads conflicts with sustainability commitments.</t>
        </is>
      </c>
      <c r="F52" s="15" t="n"/>
      <c r="G52" s="15" t="n"/>
      <c r="H52" s="7" t="str">
        <f>IF(OR($A52&lt;&gt;"Yes",F52="",G52=""),"",MATCH(F52,Lists!$B$1:$B$5,0)*MATCH(G52,Lists!$C$1:$C$5,0))</f>
        <v/>
      </c>
      <c r="I52" s="7" t="str">
        <f>IF(H52="","",IF(H52&gt;=17,"Critical",IF(H52&gt;=10,"High",IF(H52&gt;=5,"Medium","Low"))))</f>
        <v/>
      </c>
      <c r="J52" s="5" t="inlineStr">
        <is>
          <t>RS-8</t>
        </is>
      </c>
      <c r="K52" s="15" t="n"/>
      <c r="L52" s="7" t="str">
        <f>IF(OR(H52="",K52=""),"",ROUND(H52*VLOOKUP(K52,Scales!$A$22:$B$25,2,FALSE),1))</f>
        <v/>
      </c>
      <c r="M52" s="7" t="str">
        <f>IF(L52="","",IF(L52&gt;=17,"Critical",IF(L52&gt;=10,"High",IF(L52&gt;=5,"Medium","Low"))))</f>
        <v/>
      </c>
      <c r="N52" s="7" t="str">
        <f>IF(M52="","",IF(OR(M52="Low",M52="Medium"),"Yes","No"))</f>
        <v/>
      </c>
      <c r="O52" s="15" t="n"/>
      <c r="P52" s="5" t="n"/>
      <c r="Q52" s="15" t="n"/>
      <c r="R52" s="15" t="n"/>
      <c r="S52" s="15" t="n"/>
      <c r="T52" s="5" t="inlineStr">
        <is>
          <t>kgCO2e per 1,000 inferences</t>
        </is>
      </c>
      <c r="V52" t="str">
        <f>IF(L52="","",L52+ROW()/100000)</f>
        <v/>
      </c>
    </row>
    <row r="53" ht="44" customHeight="1">
      <c r="A53" s="15" t="n"/>
      <c r="B53" s="12" t="inlineStr">
        <is>
          <t>SOC-01</t>
        </is>
      </c>
      <c r="C53" s="12" t="inlineStr">
        <is>
          <t>Societal, Reputational &amp; AI-Enabled Threats</t>
        </is>
      </c>
      <c r="D53" s="4" t="inlineStr">
        <is>
          <t>Harmful, toxic or unsafe content</t>
        </is>
      </c>
      <c r="E53" s="5" t="inlineStr">
        <is>
          <t>AI generates offensive, dangerous or culturally inappropriate content.</t>
        </is>
      </c>
      <c r="F53" s="15" t="n"/>
      <c r="G53" s="15" t="n"/>
      <c r="H53" s="7" t="str">
        <f>IF(OR($A53&lt;&gt;"Yes",F53="",G53=""),"",MATCH(F53,Lists!$B$1:$B$5,0)*MATCH(G53,Lists!$C$1:$C$5,0))</f>
        <v/>
      </c>
      <c r="I53" s="7" t="str">
        <f>IF(H53="","",IF(H53&gt;=17,"Critical",IF(H53&gt;=10,"High",IF(H53&gt;=5,"Medium","Low"))))</f>
        <v/>
      </c>
      <c r="J53" s="5" t="inlineStr">
        <is>
          <t>RS-2, SE-6</t>
        </is>
      </c>
      <c r="K53" s="15" t="n"/>
      <c r="L53" s="7" t="str">
        <f>IF(OR(H53="",K53=""),"",ROUND(H53*VLOOKUP(K53,Scales!$A$22:$B$25,2,FALSE),1))</f>
        <v/>
      </c>
      <c r="M53" s="7" t="str">
        <f>IF(L53="","",IF(L53&gt;=17,"Critical",IF(L53&gt;=10,"High",IF(L53&gt;=5,"Medium","Low"))))</f>
        <v/>
      </c>
      <c r="N53" s="7" t="str">
        <f>IF(M53="","",IF(OR(M53="Low",M53="Medium"),"Yes","No"))</f>
        <v/>
      </c>
      <c r="O53" s="15" t="n"/>
      <c r="P53" s="5" t="n"/>
      <c r="Q53" s="15" t="n"/>
      <c r="R53" s="15" t="n"/>
      <c r="S53" s="15" t="n"/>
      <c r="T53" s="5" t="inlineStr">
        <is>
          <t>Content-policy violations per 1,000 outputs</t>
        </is>
      </c>
      <c r="V53" t="str">
        <f>IF(L53="","",L53+ROW()/100000)</f>
        <v/>
      </c>
    </row>
    <row r="54" ht="44" customHeight="1">
      <c r="A54" s="15" t="n"/>
      <c r="B54" s="12" t="inlineStr">
        <is>
          <t>SOC-02</t>
        </is>
      </c>
      <c r="C54" s="12" t="inlineStr">
        <is>
          <t>Societal, Reputational &amp; AI-Enabled Threats</t>
        </is>
      </c>
      <c r="D54" s="4" t="inlineStr">
        <is>
          <t>Misinformation and loss of stakeholder trust</t>
        </is>
      </c>
      <c r="E54" s="5" t="inlineStr">
        <is>
          <t>AI-generated errors or undisclosed AI use damage client, regulator or public trust.</t>
        </is>
      </c>
      <c r="F54" s="15" t="n"/>
      <c r="G54" s="15" t="n"/>
      <c r="H54" s="7" t="str">
        <f>IF(OR($A54&lt;&gt;"Yes",F54="",G54=""),"",MATCH(F54,Lists!$B$1:$B$5,0)*MATCH(G54,Lists!$C$1:$C$5,0))</f>
        <v/>
      </c>
      <c r="I54" s="7" t="str">
        <f>IF(H54="","",IF(H54&gt;=17,"Critical",IF(H54&gt;=10,"High",IF(H54&gt;=5,"Medium","Low"))))</f>
        <v/>
      </c>
      <c r="J54" s="5" t="inlineStr">
        <is>
          <t>LC-7, CO-1, CO-2</t>
        </is>
      </c>
      <c r="K54" s="15" t="n"/>
      <c r="L54" s="7" t="str">
        <f>IF(OR(H54="",K54=""),"",ROUND(H54*VLOOKUP(K54,Scales!$A$22:$B$25,2,FALSE),1))</f>
        <v/>
      </c>
      <c r="M54" s="7" t="str">
        <f>IF(L54="","",IF(L54&gt;=17,"Critical",IF(L54&gt;=10,"High",IF(L54&gt;=5,"Medium","Low"))))</f>
        <v/>
      </c>
      <c r="N54" s="7" t="str">
        <f>IF(M54="","",IF(OR(M54="Low",M54="Medium"),"Yes","No"))</f>
        <v/>
      </c>
      <c r="O54" s="15" t="n"/>
      <c r="P54" s="5" t="n"/>
      <c r="Q54" s="15" t="n"/>
      <c r="R54" s="15" t="n"/>
      <c r="S54" s="15" t="n"/>
      <c r="T54" s="5" t="inlineStr">
        <is>
          <t>Client complaints linked to AI</t>
        </is>
      </c>
      <c r="V54" t="str">
        <f>IF(L54="","",L54+ROW()/100000)</f>
        <v/>
      </c>
    </row>
    <row r="55" ht="44" customHeight="1">
      <c r="A55" s="15" t="n"/>
      <c r="B55" s="12" t="inlineStr">
        <is>
          <t>SOC-03</t>
        </is>
      </c>
      <c r="C55" s="12" t="inlineStr">
        <is>
          <t>Societal, Reputational &amp; AI-Enabled Threats</t>
        </is>
      </c>
      <c r="D55" s="4" t="inlineStr">
        <is>
          <t>Deepfake and AI-enabled fraud against the organisation</t>
        </is>
      </c>
      <c r="E55" s="5" t="inlineStr">
        <is>
          <t>Voice/video impersonation or AI-crafted phishing leads to fraudulent payments or data release.</t>
        </is>
      </c>
      <c r="F55" s="15" t="n"/>
      <c r="G55" s="15" t="n"/>
      <c r="H55" s="7" t="str">
        <f>IF(OR($A55&lt;&gt;"Yes",F55="",G55=""),"",MATCH(F55,Lists!$B$1:$B$5,0)*MATCH(G55,Lists!$C$1:$C$5,0))</f>
        <v/>
      </c>
      <c r="I55" s="7" t="str">
        <f>IF(H55="","",IF(H55&gt;=17,"Critical",IF(H55&gt;=10,"High",IF(H55&gt;=5,"Medium","Low"))))</f>
        <v/>
      </c>
      <c r="J55" s="5" t="inlineStr">
        <is>
          <t>AT-3, GL-4</t>
        </is>
      </c>
      <c r="K55" s="15" t="n"/>
      <c r="L55" s="7" t="str">
        <f>IF(OR(H55="",K55=""),"",ROUND(H55*VLOOKUP(K55,Scales!$A$22:$B$25,2,FALSE),1))</f>
        <v/>
      </c>
      <c r="M55" s="7" t="str">
        <f>IF(L55="","",IF(L55&gt;=17,"Critical",IF(L55&gt;=10,"High",IF(L55&gt;=5,"Medium","Low"))))</f>
        <v/>
      </c>
      <c r="N55" s="7" t="str">
        <f>IF(M55="","",IF(OR(M55="Low",M55="Medium"),"Yes","No"))</f>
        <v/>
      </c>
      <c r="O55" s="15" t="n"/>
      <c r="P55" s="5" t="n"/>
      <c r="Q55" s="15" t="n"/>
      <c r="R55" s="15" t="n"/>
      <c r="S55" s="15" t="n"/>
      <c r="T55" s="5" t="inlineStr">
        <is>
          <t>Deepfake / BEC attempts detected</t>
        </is>
      </c>
      <c r="V55" t="str">
        <f>IF(L55="","",L55+ROW()/100000)</f>
        <v/>
      </c>
    </row>
    <row r="56" ht="44" customHeight="1">
      <c r="A56" s="15" t="n"/>
      <c r="B56" s="12" t="inlineStr">
        <is>
          <t>SOC-04</t>
        </is>
      </c>
      <c r="C56" s="12" t="inlineStr">
        <is>
          <t>Societal, Reputational &amp; AI-Enabled Threats</t>
        </is>
      </c>
      <c r="D56" s="4" t="inlineStr">
        <is>
          <t>AI-accelerated cyber attacks</t>
        </is>
      </c>
      <c r="E56" s="5" t="inlineStr">
        <is>
          <t>Adversaries use AI for automated discovery, exploit chaining and scaled social engineering, outpacing defences.</t>
        </is>
      </c>
      <c r="F56" s="15" t="n"/>
      <c r="G56" s="15" t="n"/>
      <c r="H56" s="7" t="str">
        <f>IF(OR($A56&lt;&gt;"Yes",F56="",G56=""),"",MATCH(F56,Lists!$B$1:$B$5,0)*MATCH(G56,Lists!$C$1:$C$5,0))</f>
        <v/>
      </c>
      <c r="I56" s="7" t="str">
        <f>IF(H56="","",IF(H56&gt;=17,"Critical",IF(H56&gt;=10,"High",IF(H56&gt;=5,"Medium","Low"))))</f>
        <v/>
      </c>
      <c r="J56" s="5" t="inlineStr">
        <is>
          <t>AT-1, AT-2, AT-4</t>
        </is>
      </c>
      <c r="K56" s="15" t="n"/>
      <c r="L56" s="7" t="str">
        <f>IF(OR(H56="",K56=""),"",ROUND(H56*VLOOKUP(K56,Scales!$A$22:$B$25,2,FALSE),1))</f>
        <v/>
      </c>
      <c r="M56" s="7" t="str">
        <f>IF(L56="","",IF(L56&gt;=17,"Critical",IF(L56&gt;=10,"High",IF(L56&gt;=5,"Medium","Low"))))</f>
        <v/>
      </c>
      <c r="N56" s="7" t="str">
        <f>IF(M56="","",IF(OR(M56="Low",M56="Medium"),"Yes","No"))</f>
        <v/>
      </c>
      <c r="O56" s="15" t="n"/>
      <c r="P56" s="5" t="n"/>
      <c r="Q56" s="15" t="n"/>
      <c r="R56" s="15" t="n"/>
      <c r="S56" s="15" t="n"/>
      <c r="T56" s="5" t="inlineStr">
        <is>
          <t>Mean time to remediate critical vulnerabilities</t>
        </is>
      </c>
      <c r="V56" t="str">
        <f>IF(L56="","",L56+ROW()/100000)</f>
        <v/>
      </c>
    </row>
    <row r="57" ht="44" customHeight="1">
      <c r="A57" s="15" t="n"/>
      <c r="B57" s="12" t="inlineStr">
        <is>
          <t>BSP-01</t>
        </is>
      </c>
      <c r="C57" s="12" t="n"/>
      <c r="D57" s="4" t="n"/>
      <c r="E57" s="5" t="n"/>
      <c r="F57" s="15" t="n"/>
      <c r="G57" s="15" t="n"/>
      <c r="H57" s="7" t="str">
        <f>IF(OR($A57&lt;&gt;"Yes",F57="",G57=""),"",MATCH(F57,Lists!$B$1:$B$5,0)*MATCH(G57,Lists!$C$1:$C$5,0))</f>
        <v/>
      </c>
      <c r="I57" s="7" t="str">
        <f>IF(H57="","",IF(H57&gt;=17,"Critical",IF(H57&gt;=10,"High",IF(H57&gt;=5,"Medium","Low"))))</f>
        <v/>
      </c>
      <c r="J57" s="5" t="n"/>
      <c r="K57" s="15" t="n"/>
      <c r="L57" s="7" t="str">
        <f>IF(OR(H57="",K57=""),"",ROUND(H57*VLOOKUP(K57,Scales!$A$22:$B$25,2,FALSE),1))</f>
        <v/>
      </c>
      <c r="M57" s="7" t="str">
        <f>IF(L57="","",IF(L57&gt;=17,"Critical",IF(L57&gt;=10,"High",IF(L57&gt;=5,"Medium","Low"))))</f>
        <v/>
      </c>
      <c r="N57" s="7" t="str">
        <f>IF(M57="","",IF(OR(M57="Low",M57="Medium"),"Yes","No"))</f>
        <v/>
      </c>
      <c r="O57" s="15" t="n"/>
      <c r="P57" s="5" t="n"/>
      <c r="Q57" s="15" t="n"/>
      <c r="R57" s="15" t="n"/>
      <c r="S57" s="15" t="n"/>
      <c r="T57" s="5" t="n"/>
      <c r="V57" t="str">
        <f>IF(L57="","",L57+ROW()/100000)</f>
        <v/>
      </c>
    </row>
    <row r="58" ht="44" customHeight="1">
      <c r="A58" s="15" t="n"/>
      <c r="B58" s="12" t="inlineStr">
        <is>
          <t>BSP-02</t>
        </is>
      </c>
      <c r="C58" s="12" t="n"/>
      <c r="D58" s="4" t="n"/>
      <c r="E58" s="5" t="n"/>
      <c r="F58" s="15" t="n"/>
      <c r="G58" s="15" t="n"/>
      <c r="H58" s="7" t="str">
        <f>IF(OR($A58&lt;&gt;"Yes",F58="",G58=""),"",MATCH(F58,Lists!$B$1:$B$5,0)*MATCH(G58,Lists!$C$1:$C$5,0))</f>
        <v/>
      </c>
      <c r="I58" s="7" t="str">
        <f>IF(H58="","",IF(H58&gt;=17,"Critical",IF(H58&gt;=10,"High",IF(H58&gt;=5,"Medium","Low"))))</f>
        <v/>
      </c>
      <c r="J58" s="5" t="n"/>
      <c r="K58" s="15" t="n"/>
      <c r="L58" s="7" t="str">
        <f>IF(OR(H58="",K58=""),"",ROUND(H58*VLOOKUP(K58,Scales!$A$22:$B$25,2,FALSE),1))</f>
        <v/>
      </c>
      <c r="M58" s="7" t="str">
        <f>IF(L58="","",IF(L58&gt;=17,"Critical",IF(L58&gt;=10,"High",IF(L58&gt;=5,"Medium","Low"))))</f>
        <v/>
      </c>
      <c r="N58" s="7" t="str">
        <f>IF(M58="","",IF(OR(M58="Low",M58="Medium"),"Yes","No"))</f>
        <v/>
      </c>
      <c r="O58" s="15" t="n"/>
      <c r="P58" s="5" t="n"/>
      <c r="Q58" s="15" t="n"/>
      <c r="R58" s="15" t="n"/>
      <c r="S58" s="15" t="n"/>
      <c r="T58" s="5" t="n"/>
      <c r="V58" t="str">
        <f>IF(L58="","",L58+ROW()/100000)</f>
        <v/>
      </c>
    </row>
    <row r="59" ht="44" customHeight="1">
      <c r="A59" s="15" t="n"/>
      <c r="B59" s="12" t="inlineStr">
        <is>
          <t>BSP-03</t>
        </is>
      </c>
      <c r="C59" s="12" t="n"/>
      <c r="D59" s="4" t="n"/>
      <c r="E59" s="5" t="n"/>
      <c r="F59" s="15" t="n"/>
      <c r="G59" s="15" t="n"/>
      <c r="H59" s="7" t="str">
        <f>IF(OR($A59&lt;&gt;"Yes",F59="",G59=""),"",MATCH(F59,Lists!$B$1:$B$5,0)*MATCH(G59,Lists!$C$1:$C$5,0))</f>
        <v/>
      </c>
      <c r="I59" s="7" t="str">
        <f>IF(H59="","",IF(H59&gt;=17,"Critical",IF(H59&gt;=10,"High",IF(H59&gt;=5,"Medium","Low"))))</f>
        <v/>
      </c>
      <c r="J59" s="5" t="n"/>
      <c r="K59" s="15" t="n"/>
      <c r="L59" s="7" t="str">
        <f>IF(OR(H59="",K59=""),"",ROUND(H59*VLOOKUP(K59,Scales!$A$22:$B$25,2,FALSE),1))</f>
        <v/>
      </c>
      <c r="M59" s="7" t="str">
        <f>IF(L59="","",IF(L59&gt;=17,"Critical",IF(L59&gt;=10,"High",IF(L59&gt;=5,"Medium","Low"))))</f>
        <v/>
      </c>
      <c r="N59" s="7" t="str">
        <f>IF(M59="","",IF(OR(M59="Low",M59="Medium"),"Yes","No"))</f>
        <v/>
      </c>
      <c r="O59" s="15" t="n"/>
      <c r="P59" s="5" t="n"/>
      <c r="Q59" s="15" t="n"/>
      <c r="R59" s="15" t="n"/>
      <c r="S59" s="15" t="n"/>
      <c r="T59" s="5" t="n"/>
      <c r="V59" t="str">
        <f>IF(L59="","",L59+ROW()/100000)</f>
        <v/>
      </c>
    </row>
    <row r="60" ht="44" customHeight="1">
      <c r="A60" s="15" t="n"/>
      <c r="B60" s="12" t="inlineStr">
        <is>
          <t>BSP-04</t>
        </is>
      </c>
      <c r="C60" s="12" t="n"/>
      <c r="D60" s="4" t="n"/>
      <c r="E60" s="5" t="n"/>
      <c r="F60" s="15" t="n"/>
      <c r="G60" s="15" t="n"/>
      <c r="H60" s="7" t="str">
        <f>IF(OR($A60&lt;&gt;"Yes",F60="",G60=""),"",MATCH(F60,Lists!$B$1:$B$5,0)*MATCH(G60,Lists!$C$1:$C$5,0))</f>
        <v/>
      </c>
      <c r="I60" s="7" t="str">
        <f>IF(H60="","",IF(H60&gt;=17,"Critical",IF(H60&gt;=10,"High",IF(H60&gt;=5,"Medium","Low"))))</f>
        <v/>
      </c>
      <c r="J60" s="5" t="n"/>
      <c r="K60" s="15" t="n"/>
      <c r="L60" s="7" t="str">
        <f>IF(OR(H60="",K60=""),"",ROUND(H60*VLOOKUP(K60,Scales!$A$22:$B$25,2,FALSE),1))</f>
        <v/>
      </c>
      <c r="M60" s="7" t="str">
        <f>IF(L60="","",IF(L60&gt;=17,"Critical",IF(L60&gt;=10,"High",IF(L60&gt;=5,"Medium","Low"))))</f>
        <v/>
      </c>
      <c r="N60" s="7" t="str">
        <f>IF(M60="","",IF(OR(M60="Low",M60="Medium"),"Yes","No"))</f>
        <v/>
      </c>
      <c r="O60" s="15" t="n"/>
      <c r="P60" s="5" t="n"/>
      <c r="Q60" s="15" t="n"/>
      <c r="R60" s="15" t="n"/>
      <c r="S60" s="15" t="n"/>
      <c r="T60" s="5" t="n"/>
      <c r="V60" t="str">
        <f>IF(L60="","",L60+ROW()/100000)</f>
        <v/>
      </c>
    </row>
    <row r="61" ht="44" customHeight="1">
      <c r="A61" s="15" t="n"/>
      <c r="B61" s="12" t="inlineStr">
        <is>
          <t>BSP-05</t>
        </is>
      </c>
      <c r="C61" s="12" t="n"/>
      <c r="D61" s="4" t="n"/>
      <c r="E61" s="5" t="n"/>
      <c r="F61" s="15" t="n"/>
      <c r="G61" s="15" t="n"/>
      <c r="H61" s="7" t="str">
        <f>IF(OR($A61&lt;&gt;"Yes",F61="",G61=""),"",MATCH(F61,Lists!$B$1:$B$5,0)*MATCH(G61,Lists!$C$1:$C$5,0))</f>
        <v/>
      </c>
      <c r="I61" s="7" t="str">
        <f>IF(H61="","",IF(H61&gt;=17,"Critical",IF(H61&gt;=10,"High",IF(H61&gt;=5,"Medium","Low"))))</f>
        <v/>
      </c>
      <c r="J61" s="5" t="n"/>
      <c r="K61" s="15" t="n"/>
      <c r="L61" s="7" t="str">
        <f>IF(OR(H61="",K61=""),"",ROUND(H61*VLOOKUP(K61,Scales!$A$22:$B$25,2,FALSE),1))</f>
        <v/>
      </c>
      <c r="M61" s="7" t="str">
        <f>IF(L61="","",IF(L61&gt;=17,"Critical",IF(L61&gt;=10,"High",IF(L61&gt;=5,"Medium","Low"))))</f>
        <v/>
      </c>
      <c r="N61" s="7" t="str">
        <f>IF(M61="","",IF(OR(M61="Low",M61="Medium"),"Yes","No"))</f>
        <v/>
      </c>
      <c r="O61" s="15" t="n"/>
      <c r="P61" s="5" t="n"/>
      <c r="Q61" s="15" t="n"/>
      <c r="R61" s="15" t="n"/>
      <c r="S61" s="15" t="n"/>
      <c r="T61" s="5" t="n"/>
      <c r="V61" t="str">
        <f>IF(L61="","",L61+ROW()/100000)</f>
        <v/>
      </c>
    </row>
    <row r="62" ht="44" customHeight="1">
      <c r="A62" s="15" t="n"/>
      <c r="B62" s="12" t="inlineStr">
        <is>
          <t>BSP-06</t>
        </is>
      </c>
      <c r="C62" s="12" t="n"/>
      <c r="D62" s="4" t="n"/>
      <c r="E62" s="5" t="n"/>
      <c r="F62" s="15" t="n"/>
      <c r="G62" s="15" t="n"/>
      <c r="H62" s="7" t="str">
        <f>IF(OR($A62&lt;&gt;"Yes",F62="",G62=""),"",MATCH(F62,Lists!$B$1:$B$5,0)*MATCH(G62,Lists!$C$1:$C$5,0))</f>
        <v/>
      </c>
      <c r="I62" s="7" t="str">
        <f>IF(H62="","",IF(H62&gt;=17,"Critical",IF(H62&gt;=10,"High",IF(H62&gt;=5,"Medium","Low"))))</f>
        <v/>
      </c>
      <c r="J62" s="5" t="n"/>
      <c r="K62" s="15" t="n"/>
      <c r="L62" s="7" t="str">
        <f>IF(OR(H62="",K62=""),"",ROUND(H62*VLOOKUP(K62,Scales!$A$22:$B$25,2,FALSE),1))</f>
        <v/>
      </c>
      <c r="M62" s="7" t="str">
        <f>IF(L62="","",IF(L62&gt;=17,"Critical",IF(L62&gt;=10,"High",IF(L62&gt;=5,"Medium","Low"))))</f>
        <v/>
      </c>
      <c r="N62" s="7" t="str">
        <f>IF(M62="","",IF(OR(M62="Low",M62="Medium"),"Yes","No"))</f>
        <v/>
      </c>
      <c r="O62" s="15" t="n"/>
      <c r="P62" s="5" t="n"/>
      <c r="Q62" s="15" t="n"/>
      <c r="R62" s="15" t="n"/>
      <c r="S62" s="15" t="n"/>
      <c r="T62" s="5" t="n"/>
      <c r="V62" t="str">
        <f>IF(L62="","",L62+ROW()/100000)</f>
        <v/>
      </c>
    </row>
    <row r="63" ht="44" customHeight="1">
      <c r="A63" s="15" t="n"/>
      <c r="B63" s="12" t="inlineStr">
        <is>
          <t>BSP-07</t>
        </is>
      </c>
      <c r="C63" s="12" t="n"/>
      <c r="D63" s="4" t="n"/>
      <c r="E63" s="5" t="n"/>
      <c r="F63" s="15" t="n"/>
      <c r="G63" s="15" t="n"/>
      <c r="H63" s="7" t="str">
        <f>IF(OR($A63&lt;&gt;"Yes",F63="",G63=""),"",MATCH(F63,Lists!$B$1:$B$5,0)*MATCH(G63,Lists!$C$1:$C$5,0))</f>
        <v/>
      </c>
      <c r="I63" s="7" t="str">
        <f>IF(H63="","",IF(H63&gt;=17,"Critical",IF(H63&gt;=10,"High",IF(H63&gt;=5,"Medium","Low"))))</f>
        <v/>
      </c>
      <c r="J63" s="5" t="n"/>
      <c r="K63" s="15" t="n"/>
      <c r="L63" s="7" t="str">
        <f>IF(OR(H63="",K63=""),"",ROUND(H63*VLOOKUP(K63,Scales!$A$22:$B$25,2,FALSE),1))</f>
        <v/>
      </c>
      <c r="M63" s="7" t="str">
        <f>IF(L63="","",IF(L63&gt;=17,"Critical",IF(L63&gt;=10,"High",IF(L63&gt;=5,"Medium","Low"))))</f>
        <v/>
      </c>
      <c r="N63" s="7" t="str">
        <f>IF(M63="","",IF(OR(M63="Low",M63="Medium"),"Yes","No"))</f>
        <v/>
      </c>
      <c r="O63" s="15" t="n"/>
      <c r="P63" s="5" t="n"/>
      <c r="Q63" s="15" t="n"/>
      <c r="R63" s="15" t="n"/>
      <c r="S63" s="15" t="n"/>
      <c r="T63" s="5" t="n"/>
      <c r="V63" t="str">
        <f>IF(L63="","",L63+ROW()/100000)</f>
        <v/>
      </c>
    </row>
    <row r="64" ht="44" customHeight="1">
      <c r="A64" s="15" t="n"/>
      <c r="B64" s="12" t="inlineStr">
        <is>
          <t>BSP-08</t>
        </is>
      </c>
      <c r="C64" s="12" t="n"/>
      <c r="D64" s="4" t="n"/>
      <c r="E64" s="5" t="n"/>
      <c r="F64" s="15" t="n"/>
      <c r="G64" s="15" t="n"/>
      <c r="H64" s="7" t="str">
        <f>IF(OR($A64&lt;&gt;"Yes",F64="",G64=""),"",MATCH(F64,Lists!$B$1:$B$5,0)*MATCH(G64,Lists!$C$1:$C$5,0))</f>
        <v/>
      </c>
      <c r="I64" s="7" t="str">
        <f>IF(H64="","",IF(H64&gt;=17,"Critical",IF(H64&gt;=10,"High",IF(H64&gt;=5,"Medium","Low"))))</f>
        <v/>
      </c>
      <c r="J64" s="5" t="n"/>
      <c r="K64" s="15" t="n"/>
      <c r="L64" s="7" t="str">
        <f>IF(OR(H64="",K64=""),"",ROUND(H64*VLOOKUP(K64,Scales!$A$22:$B$25,2,FALSE),1))</f>
        <v/>
      </c>
      <c r="M64" s="7" t="str">
        <f>IF(L64="","",IF(L64&gt;=17,"Critical",IF(L64&gt;=10,"High",IF(L64&gt;=5,"Medium","Low"))))</f>
        <v/>
      </c>
      <c r="N64" s="7" t="str">
        <f>IF(M64="","",IF(OR(M64="Low",M64="Medium"),"Yes","No"))</f>
        <v/>
      </c>
      <c r="O64" s="15" t="n"/>
      <c r="P64" s="5" t="n"/>
      <c r="Q64" s="15" t="n"/>
      <c r="R64" s="15" t="n"/>
      <c r="S64" s="15" t="n"/>
      <c r="T64" s="5" t="n"/>
      <c r="V64" t="str">
        <f>IF(L64="","",L64+ROW()/100000)</f>
        <v/>
      </c>
    </row>
    <row r="65" ht="44" customHeight="1">
      <c r="A65" s="15" t="n"/>
      <c r="B65" s="12" t="inlineStr">
        <is>
          <t>BSP-09</t>
        </is>
      </c>
      <c r="C65" s="12" t="n"/>
      <c r="D65" s="4" t="n"/>
      <c r="E65" s="5" t="n"/>
      <c r="F65" s="15" t="n"/>
      <c r="G65" s="15" t="n"/>
      <c r="H65" s="7" t="str">
        <f>IF(OR($A65&lt;&gt;"Yes",F65="",G65=""),"",MATCH(F65,Lists!$B$1:$B$5,0)*MATCH(G65,Lists!$C$1:$C$5,0))</f>
        <v/>
      </c>
      <c r="I65" s="7" t="str">
        <f>IF(H65="","",IF(H65&gt;=17,"Critical",IF(H65&gt;=10,"High",IF(H65&gt;=5,"Medium","Low"))))</f>
        <v/>
      </c>
      <c r="J65" s="5" t="n"/>
      <c r="K65" s="15" t="n"/>
      <c r="L65" s="7" t="str">
        <f>IF(OR(H65="",K65=""),"",ROUND(H65*VLOOKUP(K65,Scales!$A$22:$B$25,2,FALSE),1))</f>
        <v/>
      </c>
      <c r="M65" s="7" t="str">
        <f>IF(L65="","",IF(L65&gt;=17,"Critical",IF(L65&gt;=10,"High",IF(L65&gt;=5,"Medium","Low"))))</f>
        <v/>
      </c>
      <c r="N65" s="7" t="str">
        <f>IF(M65="","",IF(OR(M65="Low",M65="Medium"),"Yes","No"))</f>
        <v/>
      </c>
      <c r="O65" s="15" t="n"/>
      <c r="P65" s="5" t="n"/>
      <c r="Q65" s="15" t="n"/>
      <c r="R65" s="15" t="n"/>
      <c r="S65" s="15" t="n"/>
      <c r="T65" s="5" t="n"/>
      <c r="V65" t="str">
        <f>IF(L65="","",L65+ROW()/100000)</f>
        <v/>
      </c>
    </row>
    <row r="66" ht="44" customHeight="1">
      <c r="A66" s="15" t="n"/>
      <c r="B66" s="12" t="inlineStr">
        <is>
          <t>BSP-10</t>
        </is>
      </c>
      <c r="C66" s="12" t="n"/>
      <c r="D66" s="4" t="n"/>
      <c r="E66" s="5" t="n"/>
      <c r="F66" s="15" t="n"/>
      <c r="G66" s="15" t="n"/>
      <c r="H66" s="7" t="str">
        <f>IF(OR($A66&lt;&gt;"Yes",F66="",G66=""),"",MATCH(F66,Lists!$B$1:$B$5,0)*MATCH(G66,Lists!$C$1:$C$5,0))</f>
        <v/>
      </c>
      <c r="I66" s="7" t="str">
        <f>IF(H66="","",IF(H66&gt;=17,"Critical",IF(H66&gt;=10,"High",IF(H66&gt;=5,"Medium","Low"))))</f>
        <v/>
      </c>
      <c r="J66" s="5" t="n"/>
      <c r="K66" s="15" t="n"/>
      <c r="L66" s="7" t="str">
        <f>IF(OR(H66="",K66=""),"",ROUND(H66*VLOOKUP(K66,Scales!$A$22:$B$25,2,FALSE),1))</f>
        <v/>
      </c>
      <c r="M66" s="7" t="str">
        <f>IF(L66="","",IF(L66&gt;=17,"Critical",IF(L66&gt;=10,"High",IF(L66&gt;=5,"Medium","Low"))))</f>
        <v/>
      </c>
      <c r="N66" s="7" t="str">
        <f>IF(M66="","",IF(OR(M66="Low",M66="Medium"),"Yes","No"))</f>
        <v/>
      </c>
      <c r="O66" s="15" t="n"/>
      <c r="P66" s="5" t="n"/>
      <c r="Q66" s="15" t="n"/>
      <c r="R66" s="15" t="n"/>
      <c r="S66" s="15" t="n"/>
      <c r="T66" s="5" t="n"/>
      <c r="V66" t="str">
        <f>IF(L66="","",L66+ROW()/100000)</f>
        <v/>
      </c>
    </row>
  </sheetData>
  <autoFilter ref="A4:T66"/>
  <mergeCells count="2">
    <mergeCell ref="A1:T1"/>
    <mergeCell ref="A2:T2"/>
  </mergeCells>
  <conditionalFormatting sqref="I5:I66">
    <cfRule type="cellIs" priority="1" operator="equal" dxfId="2">
      <formula>"Low"</formula>
    </cfRule>
    <cfRule type="cellIs" priority="2" operator="equal" dxfId="3">
      <formula>"Medium"</formula>
    </cfRule>
    <cfRule type="cellIs" priority="3" operator="equal" dxfId="4">
      <formula>"High"</formula>
    </cfRule>
    <cfRule type="cellIs" priority="4" operator="equal" dxfId="5">
      <formula>"Critical"</formula>
    </cfRule>
    <cfRule type="cellIs" priority="5" operator="equal" dxfId="0">
      <formula>"Prohibited"</formula>
    </cfRule>
  </conditionalFormatting>
  <conditionalFormatting sqref="M5:M66">
    <cfRule type="cellIs" priority="6" operator="equal" dxfId="2">
      <formula>"Low"</formula>
    </cfRule>
    <cfRule type="cellIs" priority="7" operator="equal" dxfId="3">
      <formula>"Medium"</formula>
    </cfRule>
    <cfRule type="cellIs" priority="8" operator="equal" dxfId="4">
      <formula>"High"</formula>
    </cfRule>
    <cfRule type="cellIs" priority="9" operator="equal" dxfId="5">
      <formula>"Critical"</formula>
    </cfRule>
    <cfRule type="cellIs" priority="10" operator="equal" dxfId="0">
      <formula>"Prohibited"</formula>
    </cfRule>
  </conditionalFormatting>
  <conditionalFormatting sqref="N5:N66">
    <cfRule type="cellIs" priority="11" operator="equal" dxfId="6">
      <formula>"No"</formula>
    </cfRule>
  </conditionalFormatting>
  <conditionalFormatting sqref="A5:T66">
    <cfRule type="expression" priority="12" dxfId="7">
      <formula>$A5="No"</formula>
    </cfRule>
  </conditionalFormatting>
  <dataValidations count="6">
    <dataValidation sqref="A5:A66" showDropDown="0" showInputMessage="0" showErrorMessage="0" allowBlank="1" type="list">
      <formula1>=Lists!$A$1:$A$2</formula1>
    </dataValidation>
    <dataValidation sqref="F5:F66" showDropDown="0" showInputMessage="0" showErrorMessage="0" allowBlank="1" type="list">
      <formula1>=Lists!$B$1:$B$5</formula1>
    </dataValidation>
    <dataValidation sqref="G5:G66" showDropDown="0" showInputMessage="0" showErrorMessage="0" allowBlank="1" type="list">
      <formula1>=Lists!$C$1:$C$5</formula1>
    </dataValidation>
    <dataValidation sqref="K5:K66" showDropDown="0" showInputMessage="0" showErrorMessage="0" allowBlank="1" type="list">
      <formula1>=Lists!$D$1:$D$4</formula1>
    </dataValidation>
    <dataValidation sqref="O5:O66" showDropDown="0" showInputMessage="0" showErrorMessage="0" allowBlank="1" type="list">
      <formula1>=Lists!$E$1:$E$4</formula1>
    </dataValidation>
    <dataValidation sqref="S5:S66" showDropDown="0" showInputMessage="0" showErrorMessage="0" allowBlank="1" type="list">
      <formula1>=Lists!$F$1:$F$5</formula1>
    </dataValidation>
  </dataValidations>
  <printOptions gridLines="0"/>
  <pageMargins left="0.5" right="0.5" top="0.75" bottom="0.75" header="0.25" footer="0.2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4F2D7F"/>
    <outlinePr summaryBelow="1" summaryRight="1"/>
    <pageSetUpPr fitToPage="1"/>
  </sheetPr>
  <dimension ref="A1:N4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34" customHeight="1">
      <c r="A1" s="1" t="inlineStr">
        <is>
          <t>5. Risk Profile - Heat Map &amp; Summary</t>
        </is>
      </c>
    </row>
    <row r="2">
      <c r="A2" s="16" t="str">
        <f>"Use case: "&amp;IF('1. Use Case Profile'!$C$5="","(not specified)",'1. Use Case Profile'!$C$5)&amp;"   |   Inherent tier: "&amp;'3. Risk Tiering'!$C$21&amp;"   |   Tiering score: "&amp;'3. Risk Tiering'!$C$17</f>
        <v>Use case: (not specified)   |   Inherent tier: Incomplete   |   Tiering score: </v>
      </c>
    </row>
    <row r="4">
      <c r="A4" s="17" t="inlineStr">
        <is>
          <t>Inherent risk heat map (number of applicable risks)</t>
        </is>
      </c>
      <c r="H4" s="17" t="inlineStr">
        <is>
          <t>Risk count by rating</t>
        </is>
      </c>
    </row>
    <row r="5">
      <c r="B5" s="6" t="inlineStr">
        <is>
          <t>Insignificant</t>
        </is>
      </c>
      <c r="C5" s="6" t="inlineStr">
        <is>
          <t>Minor</t>
        </is>
      </c>
      <c r="D5" s="6" t="inlineStr">
        <is>
          <t>Moderate</t>
        </is>
      </c>
      <c r="E5" s="6" t="inlineStr">
        <is>
          <t>Major</t>
        </is>
      </c>
      <c r="F5" s="6" t="inlineStr">
        <is>
          <t>Severe</t>
        </is>
      </c>
      <c r="H5" s="6" t="inlineStr">
        <is>
          <t>Rating</t>
        </is>
      </c>
      <c r="I5" s="6" t="inlineStr">
        <is>
          <t>Inherent</t>
        </is>
      </c>
      <c r="J5" s="6" t="inlineStr">
        <is>
          <t>Residual</t>
        </is>
      </c>
    </row>
    <row r="6" ht="34" customHeight="1">
      <c r="A6" s="6" t="inlineStr">
        <is>
          <t>Almost certain</t>
        </is>
      </c>
      <c r="B6" s="18">
        <f>COUNTIFS('4. Risk Register'!$A$5:$A$66,"Yes",'4. Risk Register'!$F$5:$F$66,"Almost certain",'4. Risk Register'!$G$5:$G$66,"Insignificant")</f>
        <v>0</v>
      </c>
      <c r="C6" s="19">
        <f>COUNTIFS('4. Risk Register'!$A$5:$A$66,"Yes",'4. Risk Register'!$F$5:$F$66,"Almost certain",'4. Risk Register'!$G$5:$G$66,"Minor")</f>
        <v>0</v>
      </c>
      <c r="D6" s="19">
        <f>COUNTIFS('4. Risk Register'!$A$5:$A$66,"Yes",'4. Risk Register'!$F$5:$F$66,"Almost certain",'4. Risk Register'!$G$5:$G$66,"Moderate")</f>
        <v>0</v>
      </c>
      <c r="E6" s="20">
        <f>COUNTIFS('4. Risk Register'!$A$5:$A$66,"Yes",'4. Risk Register'!$F$5:$F$66,"Almost certain",'4. Risk Register'!$G$5:$G$66,"Major")</f>
        <v>0</v>
      </c>
      <c r="F6" s="20">
        <f>COUNTIFS('4. Risk Register'!$A$5:$A$66,"Yes",'4. Risk Register'!$F$5:$F$66,"Almost certain",'4. Risk Register'!$G$5:$G$66,"Severe")</f>
        <v>0</v>
      </c>
      <c r="H6" s="21" t="inlineStr">
        <is>
          <t>Critical</t>
        </is>
      </c>
      <c r="I6" s="7">
        <f>COUNTIF('4. Risk Register'!$I$5:$I$66,"Critical")</f>
        <v>0</v>
      </c>
      <c r="J6" s="7">
        <f>COUNTIF('4. Risk Register'!$M$5:$M$66,"Critical")</f>
        <v>0</v>
      </c>
    </row>
    <row r="7" ht="34" customHeight="1">
      <c r="A7" s="6" t="inlineStr">
        <is>
          <t>Likely</t>
        </is>
      </c>
      <c r="B7" s="22">
        <f>COUNTIFS('4. Risk Register'!$A$5:$A$66,"Yes",'4. Risk Register'!$F$5:$F$66,"Likely",'4. Risk Register'!$G$5:$G$66,"Insignificant")</f>
        <v>0</v>
      </c>
      <c r="C7" s="18">
        <f>COUNTIFS('4. Risk Register'!$A$5:$A$66,"Yes",'4. Risk Register'!$F$5:$F$66,"Likely",'4. Risk Register'!$G$5:$G$66,"Minor")</f>
        <v>0</v>
      </c>
      <c r="D7" s="19">
        <f>COUNTIFS('4. Risk Register'!$A$5:$A$66,"Yes",'4. Risk Register'!$F$5:$F$66,"Likely",'4. Risk Register'!$G$5:$G$66,"Moderate")</f>
        <v>0</v>
      </c>
      <c r="E7" s="19">
        <f>COUNTIFS('4. Risk Register'!$A$5:$A$66,"Yes",'4. Risk Register'!$F$5:$F$66,"Likely",'4. Risk Register'!$G$5:$G$66,"Major")</f>
        <v>0</v>
      </c>
      <c r="F7" s="20">
        <f>COUNTIFS('4. Risk Register'!$A$5:$A$66,"Yes",'4. Risk Register'!$F$5:$F$66,"Likely",'4. Risk Register'!$G$5:$G$66,"Severe")</f>
        <v>0</v>
      </c>
      <c r="H7" s="23" t="inlineStr">
        <is>
          <t>High</t>
        </is>
      </c>
      <c r="I7" s="7">
        <f>COUNTIF('4. Risk Register'!$I$5:$I$66,"High")</f>
        <v>0</v>
      </c>
      <c r="J7" s="7">
        <f>COUNTIF('4. Risk Register'!$M$5:$M$66,"High")</f>
        <v>0</v>
      </c>
    </row>
    <row r="8" ht="34" customHeight="1">
      <c r="A8" s="6" t="inlineStr">
        <is>
          <t>Possible</t>
        </is>
      </c>
      <c r="B8" s="22">
        <f>COUNTIFS('4. Risk Register'!$A$5:$A$66,"Yes",'4. Risk Register'!$F$5:$F$66,"Possible",'4. Risk Register'!$G$5:$G$66,"Insignificant")</f>
        <v>0</v>
      </c>
      <c r="C8" s="18">
        <f>COUNTIFS('4. Risk Register'!$A$5:$A$66,"Yes",'4. Risk Register'!$F$5:$F$66,"Possible",'4. Risk Register'!$G$5:$G$66,"Minor")</f>
        <v>0</v>
      </c>
      <c r="D8" s="18">
        <f>COUNTIFS('4. Risk Register'!$A$5:$A$66,"Yes",'4. Risk Register'!$F$5:$F$66,"Possible",'4. Risk Register'!$G$5:$G$66,"Moderate")</f>
        <v>0</v>
      </c>
      <c r="E8" s="19">
        <f>COUNTIFS('4. Risk Register'!$A$5:$A$66,"Yes",'4. Risk Register'!$F$5:$F$66,"Possible",'4. Risk Register'!$G$5:$G$66,"Major")</f>
        <v>0</v>
      </c>
      <c r="F8" s="19">
        <f>COUNTIFS('4. Risk Register'!$A$5:$A$66,"Yes",'4. Risk Register'!$F$5:$F$66,"Possible",'4. Risk Register'!$G$5:$G$66,"Severe")</f>
        <v>0</v>
      </c>
      <c r="H8" s="24" t="inlineStr">
        <is>
          <t>Medium</t>
        </is>
      </c>
      <c r="I8" s="7">
        <f>COUNTIF('4. Risk Register'!$I$5:$I$66,"Medium")</f>
        <v>0</v>
      </c>
      <c r="J8" s="7">
        <f>COUNTIF('4. Risk Register'!$M$5:$M$66,"Medium")</f>
        <v>0</v>
      </c>
    </row>
    <row r="9" ht="34" customHeight="1">
      <c r="A9" s="6" t="inlineStr">
        <is>
          <t>Unlikely</t>
        </is>
      </c>
      <c r="B9" s="22">
        <f>COUNTIFS('4. Risk Register'!$A$5:$A$66,"Yes",'4. Risk Register'!$F$5:$F$66,"Unlikely",'4. Risk Register'!$G$5:$G$66,"Insignificant")</f>
        <v>0</v>
      </c>
      <c r="C9" s="22">
        <f>COUNTIFS('4. Risk Register'!$A$5:$A$66,"Yes",'4. Risk Register'!$F$5:$F$66,"Unlikely",'4. Risk Register'!$G$5:$G$66,"Minor")</f>
        <v>0</v>
      </c>
      <c r="D9" s="18">
        <f>COUNTIFS('4. Risk Register'!$A$5:$A$66,"Yes",'4. Risk Register'!$F$5:$F$66,"Unlikely",'4. Risk Register'!$G$5:$G$66,"Moderate")</f>
        <v>0</v>
      </c>
      <c r="E9" s="18">
        <f>COUNTIFS('4. Risk Register'!$A$5:$A$66,"Yes",'4. Risk Register'!$F$5:$F$66,"Unlikely",'4. Risk Register'!$G$5:$G$66,"Major")</f>
        <v>0</v>
      </c>
      <c r="F9" s="19">
        <f>COUNTIFS('4. Risk Register'!$A$5:$A$66,"Yes",'4. Risk Register'!$F$5:$F$66,"Unlikely",'4. Risk Register'!$G$5:$G$66,"Severe")</f>
        <v>0</v>
      </c>
      <c r="H9" s="25" t="inlineStr">
        <is>
          <t>Low</t>
        </is>
      </c>
      <c r="I9" s="7">
        <f>COUNTIF('4. Risk Register'!$I$5:$I$66,"Low")</f>
        <v>0</v>
      </c>
      <c r="J9" s="7">
        <f>COUNTIF('4. Risk Register'!$M$5:$M$66,"Low")</f>
        <v>0</v>
      </c>
    </row>
    <row r="10" ht="34" customHeight="1">
      <c r="A10" s="6" t="inlineStr">
        <is>
          <t>Rare</t>
        </is>
      </c>
      <c r="B10" s="22">
        <f>COUNTIFS('4. Risk Register'!$A$5:$A$66,"Yes",'4. Risk Register'!$F$5:$F$66,"Rare",'4. Risk Register'!$G$5:$G$66,"Insignificant")</f>
        <v>0</v>
      </c>
      <c r="C10" s="22">
        <f>COUNTIFS('4. Risk Register'!$A$5:$A$66,"Yes",'4. Risk Register'!$F$5:$F$66,"Rare",'4. Risk Register'!$G$5:$G$66,"Minor")</f>
        <v>0</v>
      </c>
      <c r="D10" s="22">
        <f>COUNTIFS('4. Risk Register'!$A$5:$A$66,"Yes",'4. Risk Register'!$F$5:$F$66,"Rare",'4. Risk Register'!$G$5:$G$66,"Moderate")</f>
        <v>0</v>
      </c>
      <c r="E10" s="22">
        <f>COUNTIFS('4. Risk Register'!$A$5:$A$66,"Yes",'4. Risk Register'!$F$5:$F$66,"Rare",'4. Risk Register'!$G$5:$G$66,"Major")</f>
        <v>0</v>
      </c>
      <c r="F10" s="18">
        <f>COUNTIFS('4. Risk Register'!$A$5:$A$66,"Yes",'4. Risk Register'!$F$5:$F$66,"Rare",'4. Risk Register'!$G$5:$G$66,"Severe")</f>
        <v>0</v>
      </c>
      <c r="H10" s="11" t="inlineStr">
        <is>
          <t>Total rated</t>
        </is>
      </c>
      <c r="I10" s="9">
        <f>SUM(I6:I9)</f>
        <v>0</v>
      </c>
      <c r="J10" s="9">
        <f>SUM(J6:J9)</f>
        <v>0</v>
      </c>
    </row>
    <row r="11">
      <c r="A11" s="26" t="inlineStr">
        <is>
          <t>Likelihood / Impact</t>
        </is>
      </c>
      <c r="H11" s="11" t="inlineStr">
        <is>
          <t>Outside appetite (residual High/Critical)</t>
        </is>
      </c>
      <c r="I11" s="10" t="n"/>
      <c r="J11" s="9">
        <f>J6+J7</f>
        <v>0</v>
      </c>
    </row>
    <row r="14">
      <c r="A14" s="17" t="inlineStr">
        <is>
          <t>Residual risk by category</t>
        </is>
      </c>
    </row>
    <row r="15">
      <c r="A15" s="6" t="inlineStr">
        <is>
          <t>Category</t>
        </is>
      </c>
      <c r="B15" s="13" t="n"/>
      <c r="C15" s="10" t="n"/>
      <c r="D15" s="6" t="inlineStr">
        <is>
          <t>Applicable</t>
        </is>
      </c>
      <c r="E15" s="6" t="inlineStr">
        <is>
          <t>Critical</t>
        </is>
      </c>
      <c r="F15" s="6" t="inlineStr">
        <is>
          <t>High</t>
        </is>
      </c>
      <c r="G15" s="6" t="inlineStr">
        <is>
          <t>Medium</t>
        </is>
      </c>
      <c r="H15" s="6" t="inlineStr">
        <is>
          <t>Low</t>
        </is>
      </c>
      <c r="I15" s="6" t="inlineStr">
        <is>
          <t>Avg residual</t>
        </is>
      </c>
    </row>
    <row r="16">
      <c r="A16" s="4" t="inlineStr">
        <is>
          <t>Governance &amp; Accountability</t>
        </is>
      </c>
      <c r="D16" s="7">
        <f>COUNTIFS('4. Risk Register'!$C$5:$C$66,"Governance &amp; Accountability",'4. Risk Register'!$A$5:$A$66,"Yes")</f>
        <v>0</v>
      </c>
      <c r="E16" s="7">
        <f>COUNTIFS('4. Risk Register'!$C$5:$C$66,"Governance &amp; Accountability",'4. Risk Register'!$M$5:$M$66,"Critical")</f>
        <v>0</v>
      </c>
      <c r="F16" s="7">
        <f>COUNTIFS('4. Risk Register'!$C$5:$C$66,"Governance &amp; Accountability",'4. Risk Register'!$M$5:$M$66,"High")</f>
        <v>0</v>
      </c>
      <c r="G16" s="7">
        <f>COUNTIFS('4. Risk Register'!$C$5:$C$66,"Governance &amp; Accountability",'4. Risk Register'!$M$5:$M$66,"Medium")</f>
        <v>0</v>
      </c>
      <c r="H16" s="7">
        <f>COUNTIFS('4. Risk Register'!$C$5:$C$66,"Governance &amp; Accountability",'4. Risk Register'!$M$5:$M$66,"Low")</f>
        <v>0</v>
      </c>
      <c r="I16" s="7" t="str">
        <f>IFERROR(ROUND(AVERAGEIFS('4. Risk Register'!$L$5:$L$66,'4. Risk Register'!$C$5:$C$66,"Governance &amp; Accountability",'4. Risk Register'!$A$5:$A$66,"Yes"),1),"-")</f>
        <v>-</v>
      </c>
    </row>
    <row r="17">
      <c r="A17" s="4" t="inlineStr">
        <is>
          <t>Legal, Regulatory &amp; Compliance</t>
        </is>
      </c>
      <c r="D17" s="7">
        <f>COUNTIFS('4. Risk Register'!$C$5:$C$66,"Legal, Regulatory &amp; Compliance",'4. Risk Register'!$A$5:$A$66,"Yes")</f>
        <v>0</v>
      </c>
      <c r="E17" s="7">
        <f>COUNTIFS('4. Risk Register'!$C$5:$C$66,"Legal, Regulatory &amp; Compliance",'4. Risk Register'!$M$5:$M$66,"Critical")</f>
        <v>0</v>
      </c>
      <c r="F17" s="7">
        <f>COUNTIFS('4. Risk Register'!$C$5:$C$66,"Legal, Regulatory &amp; Compliance",'4. Risk Register'!$M$5:$M$66,"High")</f>
        <v>0</v>
      </c>
      <c r="G17" s="7">
        <f>COUNTIFS('4. Risk Register'!$C$5:$C$66,"Legal, Regulatory &amp; Compliance",'4. Risk Register'!$M$5:$M$66,"Medium")</f>
        <v>0</v>
      </c>
      <c r="H17" s="7">
        <f>COUNTIFS('4. Risk Register'!$C$5:$C$66,"Legal, Regulatory &amp; Compliance",'4. Risk Register'!$M$5:$M$66,"Low")</f>
        <v>0</v>
      </c>
      <c r="I17" s="7" t="str">
        <f>IFERROR(ROUND(AVERAGEIFS('4. Risk Register'!$L$5:$L$66,'4. Risk Register'!$C$5:$C$66,"Legal, Regulatory &amp; Compliance",'4. Risk Register'!$A$5:$A$66,"Yes"),1),"-")</f>
        <v>-</v>
      </c>
    </row>
    <row r="18">
      <c r="A18" s="4" t="inlineStr">
        <is>
          <t>Fairness, Bias &amp; Human Rights</t>
        </is>
      </c>
      <c r="D18" s="7">
        <f>COUNTIFS('4. Risk Register'!$C$5:$C$66,"Fairness, Bias &amp; Human Rights",'4. Risk Register'!$A$5:$A$66,"Yes")</f>
        <v>0</v>
      </c>
      <c r="E18" s="7">
        <f>COUNTIFS('4. Risk Register'!$C$5:$C$66,"Fairness, Bias &amp; Human Rights",'4. Risk Register'!$M$5:$M$66,"Critical")</f>
        <v>0</v>
      </c>
      <c r="F18" s="7">
        <f>COUNTIFS('4. Risk Register'!$C$5:$C$66,"Fairness, Bias &amp; Human Rights",'4. Risk Register'!$M$5:$M$66,"High")</f>
        <v>0</v>
      </c>
      <c r="G18" s="7">
        <f>COUNTIFS('4. Risk Register'!$C$5:$C$66,"Fairness, Bias &amp; Human Rights",'4. Risk Register'!$M$5:$M$66,"Medium")</f>
        <v>0</v>
      </c>
      <c r="H18" s="7">
        <f>COUNTIFS('4. Risk Register'!$C$5:$C$66,"Fairness, Bias &amp; Human Rights",'4. Risk Register'!$M$5:$M$66,"Low")</f>
        <v>0</v>
      </c>
      <c r="I18" s="7" t="str">
        <f>IFERROR(ROUND(AVERAGEIFS('4. Risk Register'!$L$5:$L$66,'4. Risk Register'!$C$5:$C$66,"Fairness, Bias &amp; Human Rights",'4. Risk Register'!$A$5:$A$66,"Yes"),1),"-")</f>
        <v>-</v>
      </c>
    </row>
    <row r="19">
      <c r="A19" s="4" t="inlineStr">
        <is>
          <t>Privacy &amp; Data Protection</t>
        </is>
      </c>
      <c r="D19" s="7">
        <f>COUNTIFS('4. Risk Register'!$C$5:$C$66,"Privacy &amp; Data Protection",'4. Risk Register'!$A$5:$A$66,"Yes")</f>
        <v>0</v>
      </c>
      <c r="E19" s="7">
        <f>COUNTIFS('4. Risk Register'!$C$5:$C$66,"Privacy &amp; Data Protection",'4. Risk Register'!$M$5:$M$66,"Critical")</f>
        <v>0</v>
      </c>
      <c r="F19" s="7">
        <f>COUNTIFS('4. Risk Register'!$C$5:$C$66,"Privacy &amp; Data Protection",'4. Risk Register'!$M$5:$M$66,"High")</f>
        <v>0</v>
      </c>
      <c r="G19" s="7">
        <f>COUNTIFS('4. Risk Register'!$C$5:$C$66,"Privacy &amp; Data Protection",'4. Risk Register'!$M$5:$M$66,"Medium")</f>
        <v>0</v>
      </c>
      <c r="H19" s="7">
        <f>COUNTIFS('4. Risk Register'!$C$5:$C$66,"Privacy &amp; Data Protection",'4. Risk Register'!$M$5:$M$66,"Low")</f>
        <v>0</v>
      </c>
      <c r="I19" s="7" t="str">
        <f>IFERROR(ROUND(AVERAGEIFS('4. Risk Register'!$L$5:$L$66,'4. Risk Register'!$C$5:$C$66,"Privacy &amp; Data Protection",'4. Risk Register'!$A$5:$A$66,"Yes"),1),"-")</f>
        <v>-</v>
      </c>
    </row>
    <row r="20">
      <c r="A20" s="4" t="inlineStr">
        <is>
          <t>Data Quality &amp; Integrity</t>
        </is>
      </c>
      <c r="D20" s="7">
        <f>COUNTIFS('4. Risk Register'!$C$5:$C$66,"Data Quality &amp; Integrity",'4. Risk Register'!$A$5:$A$66,"Yes")</f>
        <v>0</v>
      </c>
      <c r="E20" s="7">
        <f>COUNTIFS('4. Risk Register'!$C$5:$C$66,"Data Quality &amp; Integrity",'4. Risk Register'!$M$5:$M$66,"Critical")</f>
        <v>0</v>
      </c>
      <c r="F20" s="7">
        <f>COUNTIFS('4. Risk Register'!$C$5:$C$66,"Data Quality &amp; Integrity",'4. Risk Register'!$M$5:$M$66,"High")</f>
        <v>0</v>
      </c>
      <c r="G20" s="7">
        <f>COUNTIFS('4. Risk Register'!$C$5:$C$66,"Data Quality &amp; Integrity",'4. Risk Register'!$M$5:$M$66,"Medium")</f>
        <v>0</v>
      </c>
      <c r="H20" s="7">
        <f>COUNTIFS('4. Risk Register'!$C$5:$C$66,"Data Quality &amp; Integrity",'4. Risk Register'!$M$5:$M$66,"Low")</f>
        <v>0</v>
      </c>
      <c r="I20" s="7" t="str">
        <f>IFERROR(ROUND(AVERAGEIFS('4. Risk Register'!$L$5:$L$66,'4. Risk Register'!$C$5:$C$66,"Data Quality &amp; Integrity",'4. Risk Register'!$A$5:$A$66,"Yes"),1),"-")</f>
        <v>-</v>
      </c>
    </row>
    <row r="21">
      <c r="A21" s="4" t="inlineStr">
        <is>
          <t>Model Performance, Reliability &amp; Robustness</t>
        </is>
      </c>
      <c r="D21" s="7">
        <f>COUNTIFS('4. Risk Register'!$C$5:$C$66,"Model Performance, Reliability &amp; Robustness",'4. Risk Register'!$A$5:$A$66,"Yes")</f>
        <v>0</v>
      </c>
      <c r="E21" s="7">
        <f>COUNTIFS('4. Risk Register'!$C$5:$C$66,"Model Performance, Reliability &amp; Robustness",'4. Risk Register'!$M$5:$M$66,"Critical")</f>
        <v>0</v>
      </c>
      <c r="F21" s="7">
        <f>COUNTIFS('4. Risk Register'!$C$5:$C$66,"Model Performance, Reliability &amp; Robustness",'4. Risk Register'!$M$5:$M$66,"High")</f>
        <v>0</v>
      </c>
      <c r="G21" s="7">
        <f>COUNTIFS('4. Risk Register'!$C$5:$C$66,"Model Performance, Reliability &amp; Robustness",'4. Risk Register'!$M$5:$M$66,"Medium")</f>
        <v>0</v>
      </c>
      <c r="H21" s="7">
        <f>COUNTIFS('4. Risk Register'!$C$5:$C$66,"Model Performance, Reliability &amp; Robustness",'4. Risk Register'!$M$5:$M$66,"Low")</f>
        <v>0</v>
      </c>
      <c r="I21" s="7" t="str">
        <f>IFERROR(ROUND(AVERAGEIFS('4. Risk Register'!$L$5:$L$66,'4. Risk Register'!$C$5:$C$66,"Model Performance, Reliability &amp; Robustness",'4. Risk Register'!$A$5:$A$66,"Yes"),1),"-")</f>
        <v>-</v>
      </c>
    </row>
    <row r="22">
      <c r="A22" s="4" t="inlineStr">
        <is>
          <t>Transparency, Explainability &amp; Contestability</t>
        </is>
      </c>
      <c r="D22" s="7">
        <f>COUNTIFS('4. Risk Register'!$C$5:$C$66,"Transparency, Explainability &amp; Contestability",'4. Risk Register'!$A$5:$A$66,"Yes")</f>
        <v>0</v>
      </c>
      <c r="E22" s="7">
        <f>COUNTIFS('4. Risk Register'!$C$5:$C$66,"Transparency, Explainability &amp; Contestability",'4. Risk Register'!$M$5:$M$66,"Critical")</f>
        <v>0</v>
      </c>
      <c r="F22" s="7">
        <f>COUNTIFS('4. Risk Register'!$C$5:$C$66,"Transparency, Explainability &amp; Contestability",'4. Risk Register'!$M$5:$M$66,"High")</f>
        <v>0</v>
      </c>
      <c r="G22" s="7">
        <f>COUNTIFS('4. Risk Register'!$C$5:$C$66,"Transparency, Explainability &amp; Contestability",'4. Risk Register'!$M$5:$M$66,"Medium")</f>
        <v>0</v>
      </c>
      <c r="H22" s="7">
        <f>COUNTIFS('4. Risk Register'!$C$5:$C$66,"Transparency, Explainability &amp; Contestability",'4. Risk Register'!$M$5:$M$66,"Low")</f>
        <v>0</v>
      </c>
      <c r="I22" s="7" t="str">
        <f>IFERROR(ROUND(AVERAGEIFS('4. Risk Register'!$L$5:$L$66,'4. Risk Register'!$C$5:$C$66,"Transparency, Explainability &amp; Contestability",'4. Risk Register'!$A$5:$A$66,"Yes"),1),"-")</f>
        <v>-</v>
      </c>
    </row>
    <row r="23">
      <c r="A23" s="4" t="inlineStr">
        <is>
          <t>Security of AI Systems</t>
        </is>
      </c>
      <c r="D23" s="7">
        <f>COUNTIFS('4. Risk Register'!$C$5:$C$66,"Security of AI Systems",'4. Risk Register'!$A$5:$A$66,"Yes")</f>
        <v>0</v>
      </c>
      <c r="E23" s="7">
        <f>COUNTIFS('4. Risk Register'!$C$5:$C$66,"Security of AI Systems",'4. Risk Register'!$M$5:$M$66,"Critical")</f>
        <v>0</v>
      </c>
      <c r="F23" s="7">
        <f>COUNTIFS('4. Risk Register'!$C$5:$C$66,"Security of AI Systems",'4. Risk Register'!$M$5:$M$66,"High")</f>
        <v>0</v>
      </c>
      <c r="G23" s="7">
        <f>COUNTIFS('4. Risk Register'!$C$5:$C$66,"Security of AI Systems",'4. Risk Register'!$M$5:$M$66,"Medium")</f>
        <v>0</v>
      </c>
      <c r="H23" s="7">
        <f>COUNTIFS('4. Risk Register'!$C$5:$C$66,"Security of AI Systems",'4. Risk Register'!$M$5:$M$66,"Low")</f>
        <v>0</v>
      </c>
      <c r="I23" s="7" t="str">
        <f>IFERROR(ROUND(AVERAGEIFS('4. Risk Register'!$L$5:$L$66,'4. Risk Register'!$C$5:$C$66,"Security of AI Systems",'4. Risk Register'!$A$5:$A$66,"Yes"),1),"-")</f>
        <v>-</v>
      </c>
    </row>
    <row r="24">
      <c r="A24" s="4" t="inlineStr">
        <is>
          <t>Human Oversight &amp; Autonomy</t>
        </is>
      </c>
      <c r="D24" s="7">
        <f>COUNTIFS('4. Risk Register'!$C$5:$C$66,"Human Oversight &amp; Autonomy",'4. Risk Register'!$A$5:$A$66,"Yes")</f>
        <v>0</v>
      </c>
      <c r="E24" s="7">
        <f>COUNTIFS('4. Risk Register'!$C$5:$C$66,"Human Oversight &amp; Autonomy",'4. Risk Register'!$M$5:$M$66,"Critical")</f>
        <v>0</v>
      </c>
      <c r="F24" s="7">
        <f>COUNTIFS('4. Risk Register'!$C$5:$C$66,"Human Oversight &amp; Autonomy",'4. Risk Register'!$M$5:$M$66,"High")</f>
        <v>0</v>
      </c>
      <c r="G24" s="7">
        <f>COUNTIFS('4. Risk Register'!$C$5:$C$66,"Human Oversight &amp; Autonomy",'4. Risk Register'!$M$5:$M$66,"Medium")</f>
        <v>0</v>
      </c>
      <c r="H24" s="7">
        <f>COUNTIFS('4. Risk Register'!$C$5:$C$66,"Human Oversight &amp; Autonomy",'4. Risk Register'!$M$5:$M$66,"Low")</f>
        <v>0</v>
      </c>
      <c r="I24" s="7" t="str">
        <f>IFERROR(ROUND(AVERAGEIFS('4. Risk Register'!$L$5:$L$66,'4. Risk Register'!$C$5:$C$66,"Human Oversight &amp; Autonomy",'4. Risk Register'!$A$5:$A$66,"Yes"),1),"-")</f>
        <v>-</v>
      </c>
    </row>
    <row r="25">
      <c r="A25" s="4" t="inlineStr">
        <is>
          <t>Third-Party &amp; Supply Chain</t>
        </is>
      </c>
      <c r="D25" s="7">
        <f>COUNTIFS('4. Risk Register'!$C$5:$C$66,"Third-Party &amp; Supply Chain",'4. Risk Register'!$A$5:$A$66,"Yes")</f>
        <v>0</v>
      </c>
      <c r="E25" s="7">
        <f>COUNTIFS('4. Risk Register'!$C$5:$C$66,"Third-Party &amp; Supply Chain",'4. Risk Register'!$M$5:$M$66,"Critical")</f>
        <v>0</v>
      </c>
      <c r="F25" s="7">
        <f>COUNTIFS('4. Risk Register'!$C$5:$C$66,"Third-Party &amp; Supply Chain",'4. Risk Register'!$M$5:$M$66,"High")</f>
        <v>0</v>
      </c>
      <c r="G25" s="7">
        <f>COUNTIFS('4. Risk Register'!$C$5:$C$66,"Third-Party &amp; Supply Chain",'4. Risk Register'!$M$5:$M$66,"Medium")</f>
        <v>0</v>
      </c>
      <c r="H25" s="7">
        <f>COUNTIFS('4. Risk Register'!$C$5:$C$66,"Third-Party &amp; Supply Chain",'4. Risk Register'!$M$5:$M$66,"Low")</f>
        <v>0</v>
      </c>
      <c r="I25" s="7" t="str">
        <f>IFERROR(ROUND(AVERAGEIFS('4. Risk Register'!$L$5:$L$66,'4. Risk Register'!$C$5:$C$66,"Third-Party &amp; Supply Chain",'4. Risk Register'!$A$5:$A$66,"Yes"),1),"-")</f>
        <v>-</v>
      </c>
    </row>
    <row r="26">
      <c r="A26" s="4" t="inlineStr">
        <is>
          <t>Operational, Financial &amp; Sustainability</t>
        </is>
      </c>
      <c r="D26" s="7">
        <f>COUNTIFS('4. Risk Register'!$C$5:$C$66,"Operational, Financial &amp; Sustainability",'4. Risk Register'!$A$5:$A$66,"Yes")</f>
        <v>0</v>
      </c>
      <c r="E26" s="7">
        <f>COUNTIFS('4. Risk Register'!$C$5:$C$66,"Operational, Financial &amp; Sustainability",'4. Risk Register'!$M$5:$M$66,"Critical")</f>
        <v>0</v>
      </c>
      <c r="F26" s="7">
        <f>COUNTIFS('4. Risk Register'!$C$5:$C$66,"Operational, Financial &amp; Sustainability",'4. Risk Register'!$M$5:$M$66,"High")</f>
        <v>0</v>
      </c>
      <c r="G26" s="7">
        <f>COUNTIFS('4. Risk Register'!$C$5:$C$66,"Operational, Financial &amp; Sustainability",'4. Risk Register'!$M$5:$M$66,"Medium")</f>
        <v>0</v>
      </c>
      <c r="H26" s="7">
        <f>COUNTIFS('4. Risk Register'!$C$5:$C$66,"Operational, Financial &amp; Sustainability",'4. Risk Register'!$M$5:$M$66,"Low")</f>
        <v>0</v>
      </c>
      <c r="I26" s="7" t="str">
        <f>IFERROR(ROUND(AVERAGEIFS('4. Risk Register'!$L$5:$L$66,'4. Risk Register'!$C$5:$C$66,"Operational, Financial &amp; Sustainability",'4. Risk Register'!$A$5:$A$66,"Yes"),1),"-")</f>
        <v>-</v>
      </c>
    </row>
    <row r="27">
      <c r="A27" s="4" t="inlineStr">
        <is>
          <t>Societal, Reputational &amp; AI-Enabled Threats</t>
        </is>
      </c>
      <c r="D27" s="7">
        <f>COUNTIFS('4. Risk Register'!$C$5:$C$66,"Societal, Reputational &amp; AI-Enabled Threats",'4. Risk Register'!$A$5:$A$66,"Yes")</f>
        <v>0</v>
      </c>
      <c r="E27" s="7">
        <f>COUNTIFS('4. Risk Register'!$C$5:$C$66,"Societal, Reputational &amp; AI-Enabled Threats",'4. Risk Register'!$M$5:$M$66,"Critical")</f>
        <v>0</v>
      </c>
      <c r="F27" s="7">
        <f>COUNTIFS('4. Risk Register'!$C$5:$C$66,"Societal, Reputational &amp; AI-Enabled Threats",'4. Risk Register'!$M$5:$M$66,"High")</f>
        <v>0</v>
      </c>
      <c r="G27" s="7">
        <f>COUNTIFS('4. Risk Register'!$C$5:$C$66,"Societal, Reputational &amp; AI-Enabled Threats",'4. Risk Register'!$M$5:$M$66,"Medium")</f>
        <v>0</v>
      </c>
      <c r="H27" s="7">
        <f>COUNTIFS('4. Risk Register'!$C$5:$C$66,"Societal, Reputational &amp; AI-Enabled Threats",'4. Risk Register'!$M$5:$M$66,"Low")</f>
        <v>0</v>
      </c>
      <c r="I27" s="7" t="str">
        <f>IFERROR(ROUND(AVERAGEIFS('4. Risk Register'!$L$5:$L$66,'4. Risk Register'!$C$5:$C$66,"Societal, Reputational &amp; AI-Enabled Threats",'4. Risk Register'!$A$5:$A$66,"Yes"),1),"-")</f>
        <v>-</v>
      </c>
    </row>
    <row r="30">
      <c r="A30" s="17" t="inlineStr">
        <is>
          <t>Top 10 residual risks (highest residual score)</t>
        </is>
      </c>
    </row>
    <row r="31">
      <c r="A31" s="6" t="inlineStr">
        <is>
          <t>Rank</t>
        </is>
      </c>
      <c r="B31" s="6" t="inlineStr">
        <is>
          <t>Risk ID</t>
        </is>
      </c>
      <c r="C31" s="6" t="inlineStr">
        <is>
          <t>Risk</t>
        </is>
      </c>
      <c r="D31" s="13" t="n"/>
      <c r="E31" s="13" t="n"/>
      <c r="F31" s="10" t="n"/>
      <c r="G31" s="6" t="inlineStr">
        <is>
          <t>Residual score</t>
        </is>
      </c>
      <c r="H31" s="6" t="inlineStr">
        <is>
          <t>Residual rating</t>
        </is>
      </c>
      <c r="I31" s="6" t="inlineStr">
        <is>
          <t>Treatment</t>
        </is>
      </c>
      <c r="J31" s="6" t="inlineStr">
        <is>
          <t>Owner</t>
        </is>
      </c>
      <c r="K31" s="6" t="inlineStr">
        <is>
          <t>Status</t>
        </is>
      </c>
    </row>
    <row r="32" ht="22" customHeight="1">
      <c r="A32" s="7" t="n">
        <v>1</v>
      </c>
      <c r="B32" s="7" t="str">
        <f>IFERROR(INDEX('4. Risk Register'!$B$5:$B$66,MATCH(LARGE('4. Risk Register'!$V$5:$V$66,1),'4. Risk Register'!$V$5:$V$66,0)),"")</f>
        <v/>
      </c>
      <c r="C32" s="12" t="str">
        <f>IFERROR(INDEX('4. Risk Register'!$D$5:$D$66,MATCH(LARGE('4. Risk Register'!$V$5:$V$66,1),'4. Risk Register'!$V$5:$V$66,0)),"")</f>
        <v/>
      </c>
      <c r="D32" s="12" t="n"/>
      <c r="E32" s="12" t="n"/>
      <c r="F32" s="12" t="n"/>
      <c r="G32" s="7" t="str">
        <f>IFERROR(INDEX('4. Risk Register'!$L$5:$L$66,MATCH(LARGE('4. Risk Register'!$V$5:$V$66,1),'4. Risk Register'!$V$5:$V$66,0)),"")</f>
        <v/>
      </c>
      <c r="H32" s="7" t="str">
        <f>IFERROR(INDEX('4. Risk Register'!$M$5:$M$66,MATCH(LARGE('4. Risk Register'!$V$5:$V$66,1),'4. Risk Register'!$V$5:$V$66,0)),"")</f>
        <v/>
      </c>
      <c r="I32" s="7" t="str">
        <f>IFERROR(INDEX('4. Risk Register'!$O$5:$O$66,MATCH(LARGE('4. Risk Register'!$V$5:$V$66,1),'4. Risk Register'!$V$5:$V$66,0)),"")</f>
        <v/>
      </c>
      <c r="J32" s="12" t="str">
        <f>IFERROR(INDEX('4. Risk Register'!$Q$5:$Q$66,MATCH(LARGE('4. Risk Register'!$V$5:$V$66,1),'4. Risk Register'!$V$5:$V$66,0)),"")</f>
        <v/>
      </c>
      <c r="K32" s="7" t="str">
        <f>IFERROR(INDEX('4. Risk Register'!$S$5:$S$66,MATCH(LARGE('4. Risk Register'!$V$5:$V$66,1),'4. Risk Register'!$V$5:$V$66,0)),"")</f>
        <v/>
      </c>
    </row>
    <row r="33" ht="22" customHeight="1">
      <c r="A33" s="7" t="n">
        <v>2</v>
      </c>
      <c r="B33" s="7" t="str">
        <f>IFERROR(INDEX('4. Risk Register'!$B$5:$B$66,MATCH(LARGE('4. Risk Register'!$V$5:$V$66,2),'4. Risk Register'!$V$5:$V$66,0)),"")</f>
        <v/>
      </c>
      <c r="C33" s="12" t="str">
        <f>IFERROR(INDEX('4. Risk Register'!$D$5:$D$66,MATCH(LARGE('4. Risk Register'!$V$5:$V$66,2),'4. Risk Register'!$V$5:$V$66,0)),"")</f>
        <v/>
      </c>
      <c r="D33" s="12" t="n"/>
      <c r="E33" s="12" t="n"/>
      <c r="F33" s="12" t="n"/>
      <c r="G33" s="7" t="str">
        <f>IFERROR(INDEX('4. Risk Register'!$L$5:$L$66,MATCH(LARGE('4. Risk Register'!$V$5:$V$66,2),'4. Risk Register'!$V$5:$V$66,0)),"")</f>
        <v/>
      </c>
      <c r="H33" s="7" t="str">
        <f>IFERROR(INDEX('4. Risk Register'!$M$5:$M$66,MATCH(LARGE('4. Risk Register'!$V$5:$V$66,2),'4. Risk Register'!$V$5:$V$66,0)),"")</f>
        <v/>
      </c>
      <c r="I33" s="7" t="str">
        <f>IFERROR(INDEX('4. Risk Register'!$O$5:$O$66,MATCH(LARGE('4. Risk Register'!$V$5:$V$66,2),'4. Risk Register'!$V$5:$V$66,0)),"")</f>
        <v/>
      </c>
      <c r="J33" s="12" t="str">
        <f>IFERROR(INDEX('4. Risk Register'!$Q$5:$Q$66,MATCH(LARGE('4. Risk Register'!$V$5:$V$66,2),'4. Risk Register'!$V$5:$V$66,0)),"")</f>
        <v/>
      </c>
      <c r="K33" s="7" t="str">
        <f>IFERROR(INDEX('4. Risk Register'!$S$5:$S$66,MATCH(LARGE('4. Risk Register'!$V$5:$V$66,2),'4. Risk Register'!$V$5:$V$66,0)),"")</f>
        <v/>
      </c>
    </row>
    <row r="34" ht="22" customHeight="1">
      <c r="A34" s="7" t="n">
        <v>3</v>
      </c>
      <c r="B34" s="7" t="str">
        <f>IFERROR(INDEX('4. Risk Register'!$B$5:$B$66,MATCH(LARGE('4. Risk Register'!$V$5:$V$66,3),'4. Risk Register'!$V$5:$V$66,0)),"")</f>
        <v/>
      </c>
      <c r="C34" s="12" t="str">
        <f>IFERROR(INDEX('4. Risk Register'!$D$5:$D$66,MATCH(LARGE('4. Risk Register'!$V$5:$V$66,3),'4. Risk Register'!$V$5:$V$66,0)),"")</f>
        <v/>
      </c>
      <c r="D34" s="12" t="n"/>
      <c r="E34" s="12" t="n"/>
      <c r="F34" s="12" t="n"/>
      <c r="G34" s="7" t="str">
        <f>IFERROR(INDEX('4. Risk Register'!$L$5:$L$66,MATCH(LARGE('4. Risk Register'!$V$5:$V$66,3),'4. Risk Register'!$V$5:$V$66,0)),"")</f>
        <v/>
      </c>
      <c r="H34" s="7" t="str">
        <f>IFERROR(INDEX('4. Risk Register'!$M$5:$M$66,MATCH(LARGE('4. Risk Register'!$V$5:$V$66,3),'4. Risk Register'!$V$5:$V$66,0)),"")</f>
        <v/>
      </c>
      <c r="I34" s="7" t="str">
        <f>IFERROR(INDEX('4. Risk Register'!$O$5:$O$66,MATCH(LARGE('4. Risk Register'!$V$5:$V$66,3),'4. Risk Register'!$V$5:$V$66,0)),"")</f>
        <v/>
      </c>
      <c r="J34" s="12" t="str">
        <f>IFERROR(INDEX('4. Risk Register'!$Q$5:$Q$66,MATCH(LARGE('4. Risk Register'!$V$5:$V$66,3),'4. Risk Register'!$V$5:$V$66,0)),"")</f>
        <v/>
      </c>
      <c r="K34" s="7" t="str">
        <f>IFERROR(INDEX('4. Risk Register'!$S$5:$S$66,MATCH(LARGE('4. Risk Register'!$V$5:$V$66,3),'4. Risk Register'!$V$5:$V$66,0)),"")</f>
        <v/>
      </c>
    </row>
    <row r="35" ht="22" customHeight="1">
      <c r="A35" s="7" t="n">
        <v>4</v>
      </c>
      <c r="B35" s="7" t="str">
        <f>IFERROR(INDEX('4. Risk Register'!$B$5:$B$66,MATCH(LARGE('4. Risk Register'!$V$5:$V$66,4),'4. Risk Register'!$V$5:$V$66,0)),"")</f>
        <v/>
      </c>
      <c r="C35" s="12" t="str">
        <f>IFERROR(INDEX('4. Risk Register'!$D$5:$D$66,MATCH(LARGE('4. Risk Register'!$V$5:$V$66,4),'4. Risk Register'!$V$5:$V$66,0)),"")</f>
        <v/>
      </c>
      <c r="D35" s="12" t="n"/>
      <c r="E35" s="12" t="n"/>
      <c r="F35" s="12" t="n"/>
      <c r="G35" s="7" t="str">
        <f>IFERROR(INDEX('4. Risk Register'!$L$5:$L$66,MATCH(LARGE('4. Risk Register'!$V$5:$V$66,4),'4. Risk Register'!$V$5:$V$66,0)),"")</f>
        <v/>
      </c>
      <c r="H35" s="7" t="str">
        <f>IFERROR(INDEX('4. Risk Register'!$M$5:$M$66,MATCH(LARGE('4. Risk Register'!$V$5:$V$66,4),'4. Risk Register'!$V$5:$V$66,0)),"")</f>
        <v/>
      </c>
      <c r="I35" s="7" t="str">
        <f>IFERROR(INDEX('4. Risk Register'!$O$5:$O$66,MATCH(LARGE('4. Risk Register'!$V$5:$V$66,4),'4. Risk Register'!$V$5:$V$66,0)),"")</f>
        <v/>
      </c>
      <c r="J35" s="12" t="str">
        <f>IFERROR(INDEX('4. Risk Register'!$Q$5:$Q$66,MATCH(LARGE('4. Risk Register'!$V$5:$V$66,4),'4. Risk Register'!$V$5:$V$66,0)),"")</f>
        <v/>
      </c>
      <c r="K35" s="7" t="str">
        <f>IFERROR(INDEX('4. Risk Register'!$S$5:$S$66,MATCH(LARGE('4. Risk Register'!$V$5:$V$66,4),'4. Risk Register'!$V$5:$V$66,0)),"")</f>
        <v/>
      </c>
    </row>
    <row r="36" ht="22" customHeight="1">
      <c r="A36" s="7" t="n">
        <v>5</v>
      </c>
      <c r="B36" s="7" t="str">
        <f>IFERROR(INDEX('4. Risk Register'!$B$5:$B$66,MATCH(LARGE('4. Risk Register'!$V$5:$V$66,5),'4. Risk Register'!$V$5:$V$66,0)),"")</f>
        <v/>
      </c>
      <c r="C36" s="12" t="str">
        <f>IFERROR(INDEX('4. Risk Register'!$D$5:$D$66,MATCH(LARGE('4. Risk Register'!$V$5:$V$66,5),'4. Risk Register'!$V$5:$V$66,0)),"")</f>
        <v/>
      </c>
      <c r="D36" s="12" t="n"/>
      <c r="E36" s="12" t="n"/>
      <c r="F36" s="12" t="n"/>
      <c r="G36" s="7" t="str">
        <f>IFERROR(INDEX('4. Risk Register'!$L$5:$L$66,MATCH(LARGE('4. Risk Register'!$V$5:$V$66,5),'4. Risk Register'!$V$5:$V$66,0)),"")</f>
        <v/>
      </c>
      <c r="H36" s="7" t="str">
        <f>IFERROR(INDEX('4. Risk Register'!$M$5:$M$66,MATCH(LARGE('4. Risk Register'!$V$5:$V$66,5),'4. Risk Register'!$V$5:$V$66,0)),"")</f>
        <v/>
      </c>
      <c r="I36" s="7" t="str">
        <f>IFERROR(INDEX('4. Risk Register'!$O$5:$O$66,MATCH(LARGE('4. Risk Register'!$V$5:$V$66,5),'4. Risk Register'!$V$5:$V$66,0)),"")</f>
        <v/>
      </c>
      <c r="J36" s="12" t="str">
        <f>IFERROR(INDEX('4. Risk Register'!$Q$5:$Q$66,MATCH(LARGE('4. Risk Register'!$V$5:$V$66,5),'4. Risk Register'!$V$5:$V$66,0)),"")</f>
        <v/>
      </c>
      <c r="K36" s="7" t="str">
        <f>IFERROR(INDEX('4. Risk Register'!$S$5:$S$66,MATCH(LARGE('4. Risk Register'!$V$5:$V$66,5),'4. Risk Register'!$V$5:$V$66,0)),"")</f>
        <v/>
      </c>
    </row>
    <row r="37" ht="22" customHeight="1">
      <c r="A37" s="7" t="n">
        <v>6</v>
      </c>
      <c r="B37" s="7" t="str">
        <f>IFERROR(INDEX('4. Risk Register'!$B$5:$B$66,MATCH(LARGE('4. Risk Register'!$V$5:$V$66,6),'4. Risk Register'!$V$5:$V$66,0)),"")</f>
        <v/>
      </c>
      <c r="C37" s="12" t="str">
        <f>IFERROR(INDEX('4. Risk Register'!$D$5:$D$66,MATCH(LARGE('4. Risk Register'!$V$5:$V$66,6),'4. Risk Register'!$V$5:$V$66,0)),"")</f>
        <v/>
      </c>
      <c r="D37" s="12" t="n"/>
      <c r="E37" s="12" t="n"/>
      <c r="F37" s="12" t="n"/>
      <c r="G37" s="7" t="str">
        <f>IFERROR(INDEX('4. Risk Register'!$L$5:$L$66,MATCH(LARGE('4. Risk Register'!$V$5:$V$66,6),'4. Risk Register'!$V$5:$V$66,0)),"")</f>
        <v/>
      </c>
      <c r="H37" s="7" t="str">
        <f>IFERROR(INDEX('4. Risk Register'!$M$5:$M$66,MATCH(LARGE('4. Risk Register'!$V$5:$V$66,6),'4. Risk Register'!$V$5:$V$66,0)),"")</f>
        <v/>
      </c>
      <c r="I37" s="7" t="str">
        <f>IFERROR(INDEX('4. Risk Register'!$O$5:$O$66,MATCH(LARGE('4. Risk Register'!$V$5:$V$66,6),'4. Risk Register'!$V$5:$V$66,0)),"")</f>
        <v/>
      </c>
      <c r="J37" s="12" t="str">
        <f>IFERROR(INDEX('4. Risk Register'!$Q$5:$Q$66,MATCH(LARGE('4. Risk Register'!$V$5:$V$66,6),'4. Risk Register'!$V$5:$V$66,0)),"")</f>
        <v/>
      </c>
      <c r="K37" s="7" t="str">
        <f>IFERROR(INDEX('4. Risk Register'!$S$5:$S$66,MATCH(LARGE('4. Risk Register'!$V$5:$V$66,6),'4. Risk Register'!$V$5:$V$66,0)),"")</f>
        <v/>
      </c>
    </row>
    <row r="38" ht="22" customHeight="1">
      <c r="A38" s="7" t="n">
        <v>7</v>
      </c>
      <c r="B38" s="7" t="str">
        <f>IFERROR(INDEX('4. Risk Register'!$B$5:$B$66,MATCH(LARGE('4. Risk Register'!$V$5:$V$66,7),'4. Risk Register'!$V$5:$V$66,0)),"")</f>
        <v/>
      </c>
      <c r="C38" s="12" t="str">
        <f>IFERROR(INDEX('4. Risk Register'!$D$5:$D$66,MATCH(LARGE('4. Risk Register'!$V$5:$V$66,7),'4. Risk Register'!$V$5:$V$66,0)),"")</f>
        <v/>
      </c>
      <c r="D38" s="12" t="n"/>
      <c r="E38" s="12" t="n"/>
      <c r="F38" s="12" t="n"/>
      <c r="G38" s="7" t="str">
        <f>IFERROR(INDEX('4. Risk Register'!$L$5:$L$66,MATCH(LARGE('4. Risk Register'!$V$5:$V$66,7),'4. Risk Register'!$V$5:$V$66,0)),"")</f>
        <v/>
      </c>
      <c r="H38" s="7" t="str">
        <f>IFERROR(INDEX('4. Risk Register'!$M$5:$M$66,MATCH(LARGE('4. Risk Register'!$V$5:$V$66,7),'4. Risk Register'!$V$5:$V$66,0)),"")</f>
        <v/>
      </c>
      <c r="I38" s="7" t="str">
        <f>IFERROR(INDEX('4. Risk Register'!$O$5:$O$66,MATCH(LARGE('4. Risk Register'!$V$5:$V$66,7),'4. Risk Register'!$V$5:$V$66,0)),"")</f>
        <v/>
      </c>
      <c r="J38" s="12" t="str">
        <f>IFERROR(INDEX('4. Risk Register'!$Q$5:$Q$66,MATCH(LARGE('4. Risk Register'!$V$5:$V$66,7),'4. Risk Register'!$V$5:$V$66,0)),"")</f>
        <v/>
      </c>
      <c r="K38" s="7" t="str">
        <f>IFERROR(INDEX('4. Risk Register'!$S$5:$S$66,MATCH(LARGE('4. Risk Register'!$V$5:$V$66,7),'4. Risk Register'!$V$5:$V$66,0)),"")</f>
        <v/>
      </c>
    </row>
    <row r="39" ht="22" customHeight="1">
      <c r="A39" s="7" t="n">
        <v>8</v>
      </c>
      <c r="B39" s="7" t="str">
        <f>IFERROR(INDEX('4. Risk Register'!$B$5:$B$66,MATCH(LARGE('4. Risk Register'!$V$5:$V$66,8),'4. Risk Register'!$V$5:$V$66,0)),"")</f>
        <v/>
      </c>
      <c r="C39" s="12" t="str">
        <f>IFERROR(INDEX('4. Risk Register'!$D$5:$D$66,MATCH(LARGE('4. Risk Register'!$V$5:$V$66,8),'4. Risk Register'!$V$5:$V$66,0)),"")</f>
        <v/>
      </c>
      <c r="D39" s="12" t="n"/>
      <c r="E39" s="12" t="n"/>
      <c r="F39" s="12" t="n"/>
      <c r="G39" s="7" t="str">
        <f>IFERROR(INDEX('4. Risk Register'!$L$5:$L$66,MATCH(LARGE('4. Risk Register'!$V$5:$V$66,8),'4. Risk Register'!$V$5:$V$66,0)),"")</f>
        <v/>
      </c>
      <c r="H39" s="7" t="str">
        <f>IFERROR(INDEX('4. Risk Register'!$M$5:$M$66,MATCH(LARGE('4. Risk Register'!$V$5:$V$66,8),'4. Risk Register'!$V$5:$V$66,0)),"")</f>
        <v/>
      </c>
      <c r="I39" s="7" t="str">
        <f>IFERROR(INDEX('4. Risk Register'!$O$5:$O$66,MATCH(LARGE('4. Risk Register'!$V$5:$V$66,8),'4. Risk Register'!$V$5:$V$66,0)),"")</f>
        <v/>
      </c>
      <c r="J39" s="12" t="str">
        <f>IFERROR(INDEX('4. Risk Register'!$Q$5:$Q$66,MATCH(LARGE('4. Risk Register'!$V$5:$V$66,8),'4. Risk Register'!$V$5:$V$66,0)),"")</f>
        <v/>
      </c>
      <c r="K39" s="7" t="str">
        <f>IFERROR(INDEX('4. Risk Register'!$S$5:$S$66,MATCH(LARGE('4. Risk Register'!$V$5:$V$66,8),'4. Risk Register'!$V$5:$V$66,0)),"")</f>
        <v/>
      </c>
    </row>
    <row r="40" ht="22" customHeight="1">
      <c r="A40" s="7" t="n">
        <v>9</v>
      </c>
      <c r="B40" s="7" t="str">
        <f>IFERROR(INDEX('4. Risk Register'!$B$5:$B$66,MATCH(LARGE('4. Risk Register'!$V$5:$V$66,9),'4. Risk Register'!$V$5:$V$66,0)),"")</f>
        <v/>
      </c>
      <c r="C40" s="12" t="str">
        <f>IFERROR(INDEX('4. Risk Register'!$D$5:$D$66,MATCH(LARGE('4. Risk Register'!$V$5:$V$66,9),'4. Risk Register'!$V$5:$V$66,0)),"")</f>
        <v/>
      </c>
      <c r="D40" s="12" t="n"/>
      <c r="E40" s="12" t="n"/>
      <c r="F40" s="12" t="n"/>
      <c r="G40" s="7" t="str">
        <f>IFERROR(INDEX('4. Risk Register'!$L$5:$L$66,MATCH(LARGE('4. Risk Register'!$V$5:$V$66,9),'4. Risk Register'!$V$5:$V$66,0)),"")</f>
        <v/>
      </c>
      <c r="H40" s="7" t="str">
        <f>IFERROR(INDEX('4. Risk Register'!$M$5:$M$66,MATCH(LARGE('4. Risk Register'!$V$5:$V$66,9),'4. Risk Register'!$V$5:$V$66,0)),"")</f>
        <v/>
      </c>
      <c r="I40" s="7" t="str">
        <f>IFERROR(INDEX('4. Risk Register'!$O$5:$O$66,MATCH(LARGE('4. Risk Register'!$V$5:$V$66,9),'4. Risk Register'!$V$5:$V$66,0)),"")</f>
        <v/>
      </c>
      <c r="J40" s="12" t="str">
        <f>IFERROR(INDEX('4. Risk Register'!$Q$5:$Q$66,MATCH(LARGE('4. Risk Register'!$V$5:$V$66,9),'4. Risk Register'!$V$5:$V$66,0)),"")</f>
        <v/>
      </c>
      <c r="K40" s="7" t="str">
        <f>IFERROR(INDEX('4. Risk Register'!$S$5:$S$66,MATCH(LARGE('4. Risk Register'!$V$5:$V$66,9),'4. Risk Register'!$V$5:$V$66,0)),"")</f>
        <v/>
      </c>
    </row>
    <row r="41" ht="22" customHeight="1">
      <c r="A41" s="7" t="n">
        <v>10</v>
      </c>
      <c r="B41" s="7" t="str">
        <f>IFERROR(INDEX('4. Risk Register'!$B$5:$B$66,MATCH(LARGE('4. Risk Register'!$V$5:$V$66,10),'4. Risk Register'!$V$5:$V$66,0)),"")</f>
        <v/>
      </c>
      <c r="C41" s="12" t="str">
        <f>IFERROR(INDEX('4. Risk Register'!$D$5:$D$66,MATCH(LARGE('4. Risk Register'!$V$5:$V$66,10),'4. Risk Register'!$V$5:$V$66,0)),"")</f>
        <v/>
      </c>
      <c r="D41" s="12" t="n"/>
      <c r="E41" s="12" t="n"/>
      <c r="F41" s="12" t="n"/>
      <c r="G41" s="7" t="str">
        <f>IFERROR(INDEX('4. Risk Register'!$L$5:$L$66,MATCH(LARGE('4. Risk Register'!$V$5:$V$66,10),'4. Risk Register'!$V$5:$V$66,0)),"")</f>
        <v/>
      </c>
      <c r="H41" s="7" t="str">
        <f>IFERROR(INDEX('4. Risk Register'!$M$5:$M$66,MATCH(LARGE('4. Risk Register'!$V$5:$V$66,10),'4. Risk Register'!$V$5:$V$66,0)),"")</f>
        <v/>
      </c>
      <c r="I41" s="7" t="str">
        <f>IFERROR(INDEX('4. Risk Register'!$O$5:$O$66,MATCH(LARGE('4. Risk Register'!$V$5:$V$66,10),'4. Risk Register'!$V$5:$V$66,0)),"")</f>
        <v/>
      </c>
      <c r="J41" s="12" t="str">
        <f>IFERROR(INDEX('4. Risk Register'!$Q$5:$Q$66,MATCH(LARGE('4. Risk Register'!$V$5:$V$66,10),'4. Risk Register'!$V$5:$V$66,0)),"")</f>
        <v/>
      </c>
      <c r="K41" s="7" t="str">
        <f>IFERROR(INDEX('4. Risk Register'!$S$5:$S$66,MATCH(LARGE('4. Risk Register'!$V$5:$V$66,10),'4. Risk Register'!$V$5:$V$66,0)),"")</f>
        <v/>
      </c>
    </row>
    <row r="43">
      <c r="A43" s="17" t="inlineStr">
        <is>
          <t>Approval &amp; sign-off</t>
        </is>
      </c>
    </row>
    <row r="44">
      <c r="A44" s="27" t="inlineStr">
        <is>
          <t>Required approval authority:</t>
        </is>
      </c>
      <c r="D44" t="str">
        <f>'3. Risk Tiering'!C23</f>
        <v/>
      </c>
    </row>
    <row r="45">
      <c r="A45" s="6" t="inlineStr">
        <is>
          <t>Role</t>
        </is>
      </c>
      <c r="B45" s="13" t="n"/>
      <c r="C45" s="10" t="n"/>
      <c r="D45" s="6" t="inlineStr">
        <is>
          <t>Name</t>
        </is>
      </c>
      <c r="E45" s="13" t="n"/>
      <c r="F45" s="10" t="n"/>
      <c r="G45" s="6" t="inlineStr">
        <is>
          <t>Decision (Approve / Approve with conditions / Reject)</t>
        </is>
      </c>
      <c r="H45" s="13" t="n"/>
      <c r="I45" s="10" t="n"/>
      <c r="J45" s="6" t="inlineStr">
        <is>
          <t>Date</t>
        </is>
      </c>
      <c r="K45" s="10" t="n"/>
    </row>
    <row r="46" ht="26" customHeight="1">
      <c r="A46" s="28" t="inlineStr">
        <is>
          <t>Use-case / business owner</t>
        </is>
      </c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</row>
    <row r="47" ht="26" customHeight="1">
      <c r="A47" s="28" t="inlineStr">
        <is>
          <t>Risk management (2nd line)</t>
        </is>
      </c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</row>
    <row r="48" ht="26" customHeight="1">
      <c r="A48" s="28" t="inlineStr">
        <is>
          <t>Compliance / Legal</t>
        </is>
      </c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</row>
    <row r="49" ht="26" customHeight="1">
      <c r="A49" s="28" t="inlineStr">
        <is>
          <t>Approval authority</t>
        </is>
      </c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</row>
  </sheetData>
  <mergeCells count="48">
    <mergeCell ref="A25:C25"/>
    <mergeCell ref="D44:K44"/>
    <mergeCell ref="C39:F39"/>
    <mergeCell ref="A46:C46"/>
    <mergeCell ref="A18:C18"/>
    <mergeCell ref="A27:C27"/>
    <mergeCell ref="C38:F38"/>
    <mergeCell ref="D48:F48"/>
    <mergeCell ref="A21:C21"/>
    <mergeCell ref="G49:I49"/>
    <mergeCell ref="C32:F32"/>
    <mergeCell ref="J48:K48"/>
    <mergeCell ref="C37:F37"/>
    <mergeCell ref="A26:C26"/>
    <mergeCell ref="D47:F47"/>
    <mergeCell ref="A1:N1"/>
    <mergeCell ref="A47:C47"/>
    <mergeCell ref="A23:C23"/>
    <mergeCell ref="C34:F34"/>
    <mergeCell ref="G45:I45"/>
    <mergeCell ref="A22:C22"/>
    <mergeCell ref="A17:C17"/>
    <mergeCell ref="J49:K49"/>
    <mergeCell ref="C33:F33"/>
    <mergeCell ref="J45:K45"/>
    <mergeCell ref="A20:C20"/>
    <mergeCell ref="G47:I47"/>
    <mergeCell ref="H11:I11"/>
    <mergeCell ref="A19:C19"/>
    <mergeCell ref="C35:F35"/>
    <mergeCell ref="A2:N2"/>
    <mergeCell ref="G46:I46"/>
    <mergeCell ref="D49:F49"/>
    <mergeCell ref="A15:C15"/>
    <mergeCell ref="C41:F41"/>
    <mergeCell ref="A48:C48"/>
    <mergeCell ref="J47:K47"/>
    <mergeCell ref="A24:C24"/>
    <mergeCell ref="C40:F40"/>
    <mergeCell ref="C31:F31"/>
    <mergeCell ref="A49:C49"/>
    <mergeCell ref="A45:C45"/>
    <mergeCell ref="J46:K46"/>
    <mergeCell ref="D46:F46"/>
    <mergeCell ref="G48:I48"/>
    <mergeCell ref="D45:F45"/>
    <mergeCell ref="C36:F36"/>
    <mergeCell ref="A16:C16"/>
  </mergeCells>
  <conditionalFormatting sqref="J11">
    <cfRule type="cellIs" priority="1" operator="greaterThan" dxfId="6">
      <formula>0</formula>
    </cfRule>
  </conditionalFormatting>
  <conditionalFormatting sqref="H32:H41">
    <cfRule type="cellIs" priority="2" operator="equal" dxfId="2">
      <formula>"Low"</formula>
    </cfRule>
    <cfRule type="cellIs" priority="3" operator="equal" dxfId="3">
      <formula>"Medium"</formula>
    </cfRule>
    <cfRule type="cellIs" priority="4" operator="equal" dxfId="4">
      <formula>"High"</formula>
    </cfRule>
    <cfRule type="cellIs" priority="5" operator="equal" dxfId="5">
      <formula>"Critical"</formula>
    </cfRule>
    <cfRule type="cellIs" priority="6" operator="equal" dxfId="0">
      <formula>"Prohibited"</formula>
    </cfRule>
  </conditionalFormatting>
  <printOptions gridLines="0"/>
  <pageMargins left="0.5" right="0.5" top="0.75" bottom="0.75" header="0.25" footer="0.25"/>
  <pageSetup orientation="landscape" paperSize="9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G5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34" customWidth="1" min="3" max="3"/>
    <col width="60" customWidth="1" min="4" max="4"/>
    <col width="34" customWidth="1" min="5" max="5"/>
    <col width="18" customWidth="1" min="6" max="6"/>
    <col width="34" customWidth="1" min="7" max="7"/>
  </cols>
  <sheetData>
    <row r="1" ht="34" customHeight="1">
      <c r="A1" s="1" t="inlineStr">
        <is>
          <t>AI Risk Taxonomy</t>
        </is>
      </c>
    </row>
    <row r="2" ht="30" customHeight="1">
      <c r="A2" s="2" t="inlineStr">
        <is>
          <t>52 risks in 12 categories. Sources: NIST AI RMF &amp; AI 600-1, ISO/IEC 23894, EU AI Act, OWASP LLM / Agentic Top 10, MITRE ATLAS, MIT AI Risk Repository, GT AI Ready7. RCM IDs refer to GT AI RCM v2.1; agent risks draw on ISACA Securing AI Agents (2026).</t>
        </is>
      </c>
    </row>
    <row r="4">
      <c r="A4" s="6" t="inlineStr">
        <is>
          <t>Risk ID</t>
        </is>
      </c>
      <c r="B4" s="6" t="inlineStr">
        <is>
          <t>Category</t>
        </is>
      </c>
      <c r="C4" s="6" t="inlineStr">
        <is>
          <t>Risk</t>
        </is>
      </c>
      <c r="D4" s="6" t="inlineStr">
        <is>
          <t>Description / scenario</t>
        </is>
      </c>
      <c r="E4" s="6" t="inlineStr">
        <is>
          <t>Key sources</t>
        </is>
      </c>
      <c r="F4" s="6" t="inlineStr">
        <is>
          <t>RCM v2.1 controls</t>
        </is>
      </c>
      <c r="G4" s="6" t="inlineStr">
        <is>
          <t>Example KRI</t>
        </is>
      </c>
    </row>
    <row r="5" ht="36" customHeight="1">
      <c r="A5" s="4" t="inlineStr">
        <is>
          <t>GOV-01</t>
        </is>
      </c>
      <c r="B5" s="4" t="inlineStr">
        <is>
          <t>Governance &amp; Accountability</t>
        </is>
      </c>
      <c r="C5" s="11" t="inlineStr">
        <is>
          <t>Unclear accountability for AI outcomes</t>
        </is>
      </c>
      <c r="D5" s="4" t="inlineStr">
        <is>
          <t>No named business or technical owner for an AI system; decisions and incidents cannot be attributed or escalated.</t>
        </is>
      </c>
      <c r="E5" s="4" t="inlineStr">
        <is>
          <t>ISO/IEC 42001 5.3; NIST AI RMF Govern 2.1</t>
        </is>
      </c>
      <c r="F5" s="4" t="inlineStr">
        <is>
          <t>GL-1, GL-2, GL-8</t>
        </is>
      </c>
      <c r="G5" s="4" t="inlineStr">
        <is>
          <t>% AI systems in register without named owner</t>
        </is>
      </c>
    </row>
    <row r="6" ht="36" customHeight="1">
      <c r="A6" s="4" t="inlineStr">
        <is>
          <t>GOV-02</t>
        </is>
      </c>
      <c r="B6" s="4" t="inlineStr">
        <is>
          <t>Governance &amp; Accountability</t>
        </is>
      </c>
      <c r="C6" s="11" t="inlineStr">
        <is>
          <t>Shadow / unsanctioned AI use</t>
        </is>
      </c>
      <c r="D6" s="4" t="inlineStr">
        <is>
          <t>Staff use unapproved AI tools, bypassing risk assessment and exposing confidential data.</t>
        </is>
      </c>
      <c r="E6" s="4" t="inlineStr">
        <is>
          <t>AI Ready7 1.2; NSW AIAF</t>
        </is>
      </c>
      <c r="F6" s="4" t="inlineStr">
        <is>
          <t>GL-5, GL-8</t>
        </is>
      </c>
      <c r="G6" s="4" t="inlineStr">
        <is>
          <t>Unsanctioned AI services detected per month</t>
        </is>
      </c>
    </row>
    <row r="7" ht="36" customHeight="1">
      <c r="A7" s="4" t="inlineStr">
        <is>
          <t>GOV-03</t>
        </is>
      </c>
      <c r="B7" s="4" t="inlineStr">
        <is>
          <t>Governance &amp; Accountability</t>
        </is>
      </c>
      <c r="C7" s="11" t="inlineStr">
        <is>
          <t>AI deployed without adequate risk assessment</t>
        </is>
      </c>
      <c r="D7" s="4" t="inlineStr">
        <is>
          <t>Use case moves to production without tiering, impact assessment or approval proportionate to risk.</t>
        </is>
      </c>
      <c r="E7" s="4" t="inlineStr">
        <is>
          <t>ISO/IEC 23894; EU AI Act Art. 9</t>
        </is>
      </c>
      <c r="F7" s="4" t="inlineStr">
        <is>
          <t>RM-2, RM-5, GL-7</t>
        </is>
      </c>
      <c r="G7" s="4" t="inlineStr">
        <is>
          <t>% production AI systems with current assessment</t>
        </is>
      </c>
    </row>
    <row r="8" ht="36" customHeight="1">
      <c r="A8" s="4" t="inlineStr">
        <is>
          <t>GOV-04</t>
        </is>
      </c>
      <c r="B8" s="4" t="inlineStr">
        <is>
          <t>Governance &amp; Accountability</t>
        </is>
      </c>
      <c r="C8" s="11" t="inlineStr">
        <is>
          <t>Misaligned or low-value AI investment</t>
        </is>
      </c>
      <c r="D8" s="4" t="inlineStr">
        <is>
          <t>AI initiatives lack defined benefits, leading to wasted spend and continued investment in ineffective or risky solutions.</t>
        </is>
      </c>
      <c r="E8" s="4" t="inlineStr">
        <is>
          <t>AI Ready7 1.3; NIST AI RMF Map 3.1</t>
        </is>
      </c>
      <c r="F8" s="4" t="inlineStr">
        <is>
          <t>GL-3, GL-6</t>
        </is>
      </c>
      <c r="G8" s="4" t="inlineStr">
        <is>
          <t>% AI initiatives meeting benefit KPIs</t>
        </is>
      </c>
    </row>
    <row r="9" ht="36" customHeight="1">
      <c r="A9" s="4" t="inlineStr">
        <is>
          <t>LEG-01</t>
        </is>
      </c>
      <c r="B9" s="4" t="inlineStr">
        <is>
          <t>Legal, Regulatory &amp; Compliance</t>
        </is>
      </c>
      <c r="C9" s="11" t="inlineStr">
        <is>
          <t>Use of a prohibited AI practice</t>
        </is>
      </c>
      <c r="D9" s="4" t="inlineStr">
        <is>
          <t>AI system falls within a prohibited category (e.g., manipulative techniques, social scoring, workplace emotion recognition).</t>
        </is>
      </c>
      <c r="E9" s="4" t="inlineStr">
        <is>
          <t>EU AI Act Art. 5</t>
        </is>
      </c>
      <c r="F9" s="4" t="inlineStr">
        <is>
          <t>RM-5, RS-2</t>
        </is>
      </c>
      <c r="G9" s="4" t="inlineStr">
        <is>
          <t>Number of use cases failing prohibited-practice screen</t>
        </is>
      </c>
    </row>
    <row r="10" ht="36" customHeight="1">
      <c r="A10" s="4" t="inlineStr">
        <is>
          <t>LEG-02</t>
        </is>
      </c>
      <c r="B10" s="4" t="inlineStr">
        <is>
          <t>Legal, Regulatory &amp; Compliance</t>
        </is>
      </c>
      <c r="C10" s="11" t="inlineStr">
        <is>
          <t>Non-compliance with high-risk AI obligations</t>
        </is>
      </c>
      <c r="D10" s="4" t="inlineStr">
        <is>
          <t>Provider or deployer duties (risk management, data governance, logging, oversight, FRIA, registration) not met for a high-risk system.</t>
        </is>
      </c>
      <c r="E10" s="4" t="inlineStr">
        <is>
          <t>EU AI Act Art. 8-27, 43, 49</t>
        </is>
      </c>
      <c r="F10" s="4" t="inlineStr">
        <is>
          <t>RO-1, RO-6, RM-5</t>
        </is>
      </c>
      <c r="G10" s="4" t="inlineStr">
        <is>
          <t>Open compliance gaps on high-risk systems</t>
        </is>
      </c>
    </row>
    <row r="11" ht="36" customHeight="1">
      <c r="A11" s="4" t="inlineStr">
        <is>
          <t>LEG-03</t>
        </is>
      </c>
      <c r="B11" s="4" t="inlineStr">
        <is>
          <t>Legal, Regulatory &amp; Compliance</t>
        </is>
      </c>
      <c r="C11" s="11" t="inlineStr">
        <is>
          <t>Breach of sector or local regulation</t>
        </is>
      </c>
      <c r="D11" s="4" t="inlineStr">
        <is>
          <t>AI use breaches Bahrain PDPL, CBB Rulebook, iGA policy or other applicable regimes (incl. KSA/UAE where operating).</t>
        </is>
      </c>
      <c r="E11" s="4" t="inlineStr">
        <is>
          <t>Bahrain PDPL; CBB Rulebook; iGA AI Policy</t>
        </is>
      </c>
      <c r="F11" s="4" t="inlineStr">
        <is>
          <t>RO-5, PR-1, TP-3</t>
        </is>
      </c>
      <c r="G11" s="4" t="inlineStr">
        <is>
          <t>Regulatory findings related to AI</t>
        </is>
      </c>
    </row>
    <row r="12" ht="36" customHeight="1">
      <c r="A12" s="4" t="inlineStr">
        <is>
          <t>LEG-04</t>
        </is>
      </c>
      <c r="B12" s="4" t="inlineStr">
        <is>
          <t>Legal, Regulatory &amp; Compliance</t>
        </is>
      </c>
      <c r="C12" s="11" t="inlineStr">
        <is>
          <t>Intellectual property / copyright infringement</t>
        </is>
      </c>
      <c r="D12" s="4" t="inlineStr">
        <is>
          <t>Training data, prompts or outputs infringe third-party IP, licence terms or client confidentiality.</t>
        </is>
      </c>
      <c r="E12" s="4" t="inlineStr">
        <is>
          <t>EU AI Act Art. 53(1)(c); Bahrain Copyright Law</t>
        </is>
      </c>
      <c r="F12" s="4" t="inlineStr">
        <is>
          <t>LC-11, LC-6</t>
        </is>
      </c>
      <c r="G12" s="4" t="inlineStr">
        <is>
          <t>IP complaints / takedown requests</t>
        </is>
      </c>
    </row>
    <row r="13" ht="36" customHeight="1">
      <c r="A13" s="4" t="inlineStr">
        <is>
          <t>LEG-05</t>
        </is>
      </c>
      <c r="B13" s="4" t="inlineStr">
        <is>
          <t>Legal, Regulatory &amp; Compliance</t>
        </is>
      </c>
      <c r="C13" s="11" t="inlineStr">
        <is>
          <t>Liability for AI-caused harm</t>
        </is>
      </c>
      <c r="D13" s="4" t="inlineStr">
        <is>
          <t>Organisation is liable for damage caused by AI outputs or actions (contractual, tort or product liability).</t>
        </is>
      </c>
      <c r="E13" s="4" t="inlineStr">
        <is>
          <t>EU Product Liability Directive (2024/2853); Bahrain draft AI law</t>
        </is>
      </c>
      <c r="F13" s="4" t="inlineStr">
        <is>
          <t>TP-3, CO-3, IM-2</t>
        </is>
      </c>
      <c r="G13" s="4" t="inlineStr">
        <is>
          <t>Claims / complaints attributed to AI</t>
        </is>
      </c>
    </row>
    <row r="14" ht="36" customHeight="1">
      <c r="A14" s="4" t="inlineStr">
        <is>
          <t>FAI-01</t>
        </is>
      </c>
      <c r="B14" s="4" t="inlineStr">
        <is>
          <t>Fairness, Bias &amp; Human Rights</t>
        </is>
      </c>
      <c r="C14" s="11" t="inlineStr">
        <is>
          <t>Discriminatory or biased outcomes</t>
        </is>
      </c>
      <c r="D14" s="4" t="inlineStr">
        <is>
          <t>Model produces systematically different outcomes for protected or vulnerable groups (e.g., gender, nationality, age).</t>
        </is>
      </c>
      <c r="E14" s="4" t="inlineStr">
        <is>
          <t>ISO/IEC TR 24027; NIST SP 1270; EU AI Act Art. 10</t>
        </is>
      </c>
      <c r="F14" s="4" t="inlineStr">
        <is>
          <t>RS-5, LC-1</t>
        </is>
      </c>
      <c r="G14" s="4" t="inlineStr">
        <is>
          <t>Disparate impact ratio across cohorts</t>
        </is>
      </c>
    </row>
    <row r="15" ht="36" customHeight="1">
      <c r="A15" s="4" t="inlineStr">
        <is>
          <t>FAI-02</t>
        </is>
      </c>
      <c r="B15" s="4" t="inlineStr">
        <is>
          <t>Fairness, Bias &amp; Human Rights</t>
        </is>
      </c>
      <c r="C15" s="11" t="inlineStr">
        <is>
          <t>Unrepresentative training or evaluation data</t>
        </is>
      </c>
      <c r="D15" s="4" t="inlineStr">
        <is>
          <t>Data does not reflect the population or context of use (e.g., Arabic dialects, local customer segments).</t>
        </is>
      </c>
      <c r="E15" s="4" t="inlineStr">
        <is>
          <t>EU AI Act Art. 10(3)-(4); ISO/IEC 5259</t>
        </is>
      </c>
      <c r="F15" s="4" t="inlineStr">
        <is>
          <t>LC-1, RS-7</t>
        </is>
      </c>
      <c r="G15" s="4" t="inlineStr">
        <is>
          <t>Coverage gaps by segment in evaluation set</t>
        </is>
      </c>
    </row>
    <row r="16" ht="36" customHeight="1">
      <c r="A16" s="4" t="inlineStr">
        <is>
          <t>FAI-03</t>
        </is>
      </c>
      <c r="B16" s="4" t="inlineStr">
        <is>
          <t>Fairness, Bias &amp; Human Rights</t>
        </is>
      </c>
      <c r="C16" s="11" t="inlineStr">
        <is>
          <t>Infringement of fundamental rights / dignity</t>
        </is>
      </c>
      <c r="D16" s="4" t="inlineStr">
        <is>
          <t>AI use undermines autonomy, dignity, freedom of expression or access to essential services.</t>
        </is>
      </c>
      <c r="E16" s="4" t="inlineStr">
        <is>
          <t>EU AI Act Art. 27; CoE HUDERIA; UNESCO</t>
        </is>
      </c>
      <c r="F16" s="4" t="inlineStr">
        <is>
          <t>RM-2, RO-6</t>
        </is>
      </c>
      <c r="G16" s="4" t="inlineStr">
        <is>
          <t>FRIAs outstanding for in-scope systems</t>
        </is>
      </c>
    </row>
    <row r="17" ht="36" customHeight="1">
      <c r="A17" s="4" t="inlineStr">
        <is>
          <t>FAI-04</t>
        </is>
      </c>
      <c r="B17" s="4" t="inlineStr">
        <is>
          <t>Fairness, Bias &amp; Human Rights</t>
        </is>
      </c>
      <c r="C17" s="11" t="inlineStr">
        <is>
          <t>Exclusion and accessibility barriers</t>
        </is>
      </c>
      <c r="D17" s="4" t="inlineStr">
        <is>
          <t>Persons with disabilities, low digital literacy or non-English speakers cannot use or benefit from AI services.</t>
        </is>
      </c>
      <c r="E17" s="4" t="inlineStr">
        <is>
          <t>EU AI Act Art. 16(l); GCC AI Ethics Manual</t>
        </is>
      </c>
      <c r="F17" s="4" t="inlineStr">
        <is>
          <t>RS-7</t>
        </is>
      </c>
      <c r="G17" s="4" t="inlineStr">
        <is>
          <t>Accessibility defects open</t>
        </is>
      </c>
    </row>
    <row r="18" ht="36" customHeight="1">
      <c r="A18" s="4" t="inlineStr">
        <is>
          <t>PRI-01</t>
        </is>
      </c>
      <c r="B18" s="4" t="inlineStr">
        <is>
          <t>Privacy &amp; Data Protection</t>
        </is>
      </c>
      <c r="C18" s="11" t="inlineStr">
        <is>
          <t>Unlawful processing of personal data</t>
        </is>
      </c>
      <c r="D18" s="4" t="inlineStr">
        <is>
          <t>Personal data used for AI without lawful basis, beyond original purpose, or without notice.</t>
        </is>
      </c>
      <c r="E18" s="4" t="inlineStr">
        <is>
          <t>Bahrain PDPL; GDPR Art. 5-6</t>
        </is>
      </c>
      <c r="F18" s="4" t="inlineStr">
        <is>
          <t>PR-1, PR-2</t>
        </is>
      </c>
      <c r="G18" s="4" t="inlineStr">
        <is>
          <t>AI systems processing personal data without DPIA</t>
        </is>
      </c>
    </row>
    <row r="19" ht="36" customHeight="1">
      <c r="A19" s="4" t="inlineStr">
        <is>
          <t>PRI-02</t>
        </is>
      </c>
      <c r="B19" s="4" t="inlineStr">
        <is>
          <t>Privacy &amp; Data Protection</t>
        </is>
      </c>
      <c r="C19" s="11" t="inlineStr">
        <is>
          <t>Leakage of confidential / personal data via AI</t>
        </is>
      </c>
      <c r="D19" s="4" t="inlineStr">
        <is>
          <t>Sensitive data entered into prompts, memorised by models or exposed in outputs / logs.</t>
        </is>
      </c>
      <c r="E19" s="4" t="inlineStr">
        <is>
          <t>OWASP LLM02:2025; NIST AI 600-1 (Data privacy)</t>
        </is>
      </c>
      <c r="F19" s="4" t="inlineStr">
        <is>
          <t>GL-5, SE-4, PR-4</t>
        </is>
      </c>
      <c r="G19" s="4" t="inlineStr">
        <is>
          <t>DLP events involving AI services</t>
        </is>
      </c>
    </row>
    <row r="20" ht="36" customHeight="1">
      <c r="A20" s="4" t="inlineStr">
        <is>
          <t>PRI-03</t>
        </is>
      </c>
      <c r="B20" s="4" t="inlineStr">
        <is>
          <t>Privacy &amp; Data Protection</t>
        </is>
      </c>
      <c r="C20" s="11" t="inlineStr">
        <is>
          <t>Unassessed cross-border data transfer</t>
        </is>
      </c>
      <c r="D20" s="4" t="inlineStr">
        <is>
          <t>AI service processes data outside Bahrain without transfer assessment or safeguards.</t>
        </is>
      </c>
      <c r="E20" s="4" t="inlineStr">
        <is>
          <t>Bahrain PDPL; Decree No. 56/2018</t>
        </is>
      </c>
      <c r="F20" s="4" t="inlineStr">
        <is>
          <t>PR-6</t>
        </is>
      </c>
      <c r="G20" s="4" t="inlineStr">
        <is>
          <t>AI services hosted outside approved regions</t>
        </is>
      </c>
    </row>
    <row r="21" ht="36" customHeight="1">
      <c r="A21" s="4" t="inlineStr">
        <is>
          <t>PRI-04</t>
        </is>
      </c>
      <c r="B21" s="4" t="inlineStr">
        <is>
          <t>Privacy &amp; Data Protection</t>
        </is>
      </c>
      <c r="C21" s="11" t="inlineStr">
        <is>
          <t>Inability to honour data-subject rights</t>
        </is>
      </c>
      <c r="D21" s="4" t="inlineStr">
        <is>
          <t>Access, objection, rectification or erasure requests cannot be fulfilled for data embedded in models or vector stores.</t>
        </is>
      </c>
      <c r="E21" s="4" t="inlineStr">
        <is>
          <t>Bahrain PDPL; GDPR Art. 15-22</t>
        </is>
      </c>
      <c r="F21" s="4" t="inlineStr">
        <is>
          <t>PR-5</t>
        </is>
      </c>
      <c r="G21" s="4" t="inlineStr">
        <is>
          <t>DSRs involving AI exceeding SLA</t>
        </is>
      </c>
    </row>
    <row r="22" ht="36" customHeight="1">
      <c r="A22" s="4" t="inlineStr">
        <is>
          <t>PRI-05</t>
        </is>
      </c>
      <c r="B22" s="4" t="inlineStr">
        <is>
          <t>Privacy &amp; Data Protection</t>
        </is>
      </c>
      <c r="C22" s="11" t="inlineStr">
        <is>
          <t>Re-identification / inference of sensitive attributes</t>
        </is>
      </c>
      <c r="D22" s="4" t="inlineStr">
        <is>
          <t>Model infers sensitive attributes or re-identifies individuals from anonymised data.</t>
        </is>
      </c>
      <c r="E22" s="4" t="inlineStr">
        <is>
          <t>ISO/IEC 27559; NIST AI 100-2 (inference attacks)</t>
        </is>
      </c>
      <c r="F22" s="4" t="inlineStr">
        <is>
          <t>PR-4, SE-6</t>
        </is>
      </c>
      <c r="G22" s="4" t="inlineStr">
        <is>
          <t>Re-identification test failures</t>
        </is>
      </c>
    </row>
    <row r="23" ht="36" customHeight="1">
      <c r="A23" s="4" t="inlineStr">
        <is>
          <t>DAT-01</t>
        </is>
      </c>
      <c r="B23" s="4" t="inlineStr">
        <is>
          <t>Data Quality &amp; Integrity</t>
        </is>
      </c>
      <c r="C23" s="11" t="inlineStr">
        <is>
          <t>Poor data quality</t>
        </is>
      </c>
      <c r="D23" s="4" t="inlineStr">
        <is>
          <t>Incomplete, inaccurate, stale or inconsistent data degrades model outputs.</t>
        </is>
      </c>
      <c r="E23" s="4" t="inlineStr">
        <is>
          <t>ISO/IEC 5259; ISO/IEC 42001 A.7.4</t>
        </is>
      </c>
      <c r="F23" s="4" t="inlineStr">
        <is>
          <t>LC-1</t>
        </is>
      </c>
      <c r="G23" s="4" t="inlineStr">
        <is>
          <t>Data-quality rule failures</t>
        </is>
      </c>
    </row>
    <row r="24" ht="36" customHeight="1">
      <c r="A24" s="4" t="inlineStr">
        <is>
          <t>DAT-02</t>
        </is>
      </c>
      <c r="B24" s="4" t="inlineStr">
        <is>
          <t>Data Quality &amp; Integrity</t>
        </is>
      </c>
      <c r="C24" s="11" t="inlineStr">
        <is>
          <t>Lack of data provenance and lineage</t>
        </is>
      </c>
      <c r="D24" s="4" t="inlineStr">
        <is>
          <t>Origin, transformations and rights of data cannot be traced, undermining defensibility.</t>
        </is>
      </c>
      <c r="E24" s="4" t="inlineStr">
        <is>
          <t>ISO/IEC 42001 A.7.5; AI Ready7 5.4</t>
        </is>
      </c>
      <c r="F24" s="4" t="inlineStr">
        <is>
          <t>LC-1, LC-11</t>
        </is>
      </c>
      <c r="G24" s="4" t="inlineStr">
        <is>
          <t>% datasets with documented lineage</t>
        </is>
      </c>
    </row>
    <row r="25" ht="36" customHeight="1">
      <c r="A25" s="4" t="inlineStr">
        <is>
          <t>DAT-03</t>
        </is>
      </c>
      <c r="B25" s="4" t="inlineStr">
        <is>
          <t>Data Quality &amp; Integrity</t>
        </is>
      </c>
      <c r="C25" s="11" t="inlineStr">
        <is>
          <t>Data / model drift</t>
        </is>
      </c>
      <c r="D25" s="4" t="inlineStr">
        <is>
          <t>Changes in input data distribution or real-world relationships reduce performance over time.</t>
        </is>
      </c>
      <c r="E25" s="4" t="inlineStr">
        <is>
          <t>NIST AI RMF Measure 2.4; ISO/IEC 5338</t>
        </is>
      </c>
      <c r="F25" s="4" t="inlineStr">
        <is>
          <t>OM-1, RM-6</t>
        </is>
      </c>
      <c r="G25" s="4" t="inlineStr">
        <is>
          <t>Population stability index / drift score</t>
        </is>
      </c>
    </row>
    <row r="26" ht="36" customHeight="1">
      <c r="A26" s="4" t="inlineStr">
        <is>
          <t>PER-01</t>
        </is>
      </c>
      <c r="B26" s="4" t="inlineStr">
        <is>
          <t>Model Performance, Reliability &amp; Robustness</t>
        </is>
      </c>
      <c r="C26" s="11" t="inlineStr">
        <is>
          <t>Inaccurate or unreliable outputs</t>
        </is>
      </c>
      <c r="D26" s="4" t="inlineStr">
        <is>
          <t>Model error rates exceed acceptable levels for the intended purpose.</t>
        </is>
      </c>
      <c r="E26" s="4" t="inlineStr">
        <is>
          <t>EU AI Act Art. 15; ISO/IEC 25059</t>
        </is>
      </c>
      <c r="F26" s="4" t="inlineStr">
        <is>
          <t>RS-6, LC-9</t>
        </is>
      </c>
      <c r="G26" s="4" t="inlineStr">
        <is>
          <t>Error rate vs threshold</t>
        </is>
      </c>
    </row>
    <row r="27" ht="36" customHeight="1">
      <c r="A27" s="4" t="inlineStr">
        <is>
          <t>PER-02</t>
        </is>
      </c>
      <c r="B27" s="4" t="inlineStr">
        <is>
          <t>Model Performance, Reliability &amp; Robustness</t>
        </is>
      </c>
      <c r="C27" s="11" t="inlineStr">
        <is>
          <t>Hallucination / confabulation</t>
        </is>
      </c>
      <c r="D27" s="4" t="inlineStr">
        <is>
          <t>Generative AI produces plausible but false content (facts, citations, calculations).</t>
        </is>
      </c>
      <c r="E27" s="4" t="inlineStr">
        <is>
          <t>NIST AI 600-1 (Confabulation)</t>
        </is>
      </c>
      <c r="F27" s="4" t="inlineStr">
        <is>
          <t>LC-7</t>
        </is>
      </c>
      <c r="G27" s="4" t="inlineStr">
        <is>
          <t>Hallucination rate in evaluation / QA sampling</t>
        </is>
      </c>
    </row>
    <row r="28" ht="36" customHeight="1">
      <c r="A28" s="4" t="inlineStr">
        <is>
          <t>PER-03</t>
        </is>
      </c>
      <c r="B28" s="4" t="inlineStr">
        <is>
          <t>Model Performance, Reliability &amp; Robustness</t>
        </is>
      </c>
      <c r="C28" s="11" t="inlineStr">
        <is>
          <t>Lack of robustness to edge cases</t>
        </is>
      </c>
      <c r="D28" s="4" t="inlineStr">
        <is>
          <t>Performance collapses on unusual inputs, adversarial perturbations or out-of-distribution data.</t>
        </is>
      </c>
      <c r="E28" s="4" t="inlineStr">
        <is>
          <t>ISO/IEC 24029; EU AI Act Art. 15(4)</t>
        </is>
      </c>
      <c r="F28" s="4" t="inlineStr">
        <is>
          <t>RS-3, AA-3</t>
        </is>
      </c>
      <c r="G28" s="4" t="inlineStr">
        <is>
          <t>Robustness test pass rate</t>
        </is>
      </c>
    </row>
    <row r="29" ht="36" customHeight="1">
      <c r="A29" s="4" t="inlineStr">
        <is>
          <t>PER-04</t>
        </is>
      </c>
      <c r="B29" s="4" t="inlineStr">
        <is>
          <t>Model Performance, Reliability &amp; Robustness</t>
        </is>
      </c>
      <c r="C29" s="11" t="inlineStr">
        <is>
          <t>Uncontrolled model or provider changes</t>
        </is>
      </c>
      <c r="D29" s="4" t="inlineStr">
        <is>
          <t>Provider updates foundation model or system is changed without re-validation, altering behaviour.</t>
        </is>
      </c>
      <c r="E29" s="4" t="inlineStr">
        <is>
          <t>EU AI Act Art. 3(23); ISO/IEC 42001 A.6.2.5</t>
        </is>
      </c>
      <c r="F29" s="4" t="inlineStr">
        <is>
          <t>LC-5, LC-6</t>
        </is>
      </c>
      <c r="G29" s="4" t="inlineStr">
        <is>
          <t>Unvalidated model version changes</t>
        </is>
      </c>
    </row>
    <row r="30" ht="36" customHeight="1">
      <c r="A30" s="4" t="inlineStr">
        <is>
          <t>PER-05</t>
        </is>
      </c>
      <c r="B30" s="4" t="inlineStr">
        <is>
          <t>Model Performance, Reliability &amp; Robustness</t>
        </is>
      </c>
      <c r="C30" s="11" t="inlineStr">
        <is>
          <t>Uncontrolled prompt / configuration changes</t>
        </is>
      </c>
      <c r="D30" s="4" t="inlineStr">
        <is>
          <t>Changes to prompts, guardrails, tool permissions or retrieval sources degrade safety or behaviour without regression testing.</t>
        </is>
      </c>
      <c r="E30" s="4" t="inlineStr">
        <is>
          <t>ISACA Securing AI Agents (2026)</t>
        </is>
      </c>
      <c r="F30" s="4" t="inlineStr">
        <is>
          <t>LC-12</t>
        </is>
      </c>
      <c r="G30" s="4" t="inlineStr">
        <is>
          <t>Releases without passing LLM regression suite</t>
        </is>
      </c>
    </row>
    <row r="31" ht="36" customHeight="1">
      <c r="A31" s="4" t="inlineStr">
        <is>
          <t>TRA-01</t>
        </is>
      </c>
      <c r="B31" s="4" t="inlineStr">
        <is>
          <t>Transparency, Explainability &amp; Contestability</t>
        </is>
      </c>
      <c r="C31" s="11" t="inlineStr">
        <is>
          <t>Undisclosed AI interaction or content</t>
        </is>
      </c>
      <c r="D31" s="4" t="inlineStr">
        <is>
          <t>Users are unaware they interact with AI or that content is AI-generated.</t>
        </is>
      </c>
      <c r="E31" s="4" t="inlineStr">
        <is>
          <t>EU AI Act Art. 50</t>
        </is>
      </c>
      <c r="F31" s="4" t="inlineStr">
        <is>
          <t>CO-1, LC-7</t>
        </is>
      </c>
      <c r="G31" s="4" t="inlineStr">
        <is>
          <t>AI touchpoints lacking disclosure</t>
        </is>
      </c>
    </row>
    <row r="32" ht="36" customHeight="1">
      <c r="A32" s="4" t="inlineStr">
        <is>
          <t>TRA-02</t>
        </is>
      </c>
      <c r="B32" s="4" t="inlineStr">
        <is>
          <t>Transparency, Explainability &amp; Contestability</t>
        </is>
      </c>
      <c r="C32" s="11" t="inlineStr">
        <is>
          <t>Unexplainable decisions</t>
        </is>
      </c>
      <c r="D32" s="4" t="inlineStr">
        <is>
          <t>Organisation cannot explain AI-supported decisions to affected persons, regulators or auditors.</t>
        </is>
      </c>
      <c r="E32" s="4" t="inlineStr">
        <is>
          <t>EU AI Act Art. 13, 86; NIST IR 8312</t>
        </is>
      </c>
      <c r="F32" s="4" t="inlineStr">
        <is>
          <t>RS-4, LC-4</t>
        </is>
      </c>
      <c r="G32" s="4" t="inlineStr">
        <is>
          <t>Explanation requests not satisfied</t>
        </is>
      </c>
    </row>
    <row r="33" ht="36" customHeight="1">
      <c r="A33" s="4" t="inlineStr">
        <is>
          <t>TRA-03</t>
        </is>
      </c>
      <c r="B33" s="4" t="inlineStr">
        <is>
          <t>Transparency, Explainability &amp; Contestability</t>
        </is>
      </c>
      <c r="C33" s="11" t="inlineStr">
        <is>
          <t>No effective contest or redress route</t>
        </is>
      </c>
      <c r="D33" s="4" t="inlineStr">
        <is>
          <t>Affected persons cannot challenge or obtain human review of AI-supported decisions.</t>
        </is>
      </c>
      <c r="E33" s="4" t="inlineStr">
        <is>
          <t>EU AI Act Art. 86; NSW AIAF</t>
        </is>
      </c>
      <c r="F33" s="4" t="inlineStr">
        <is>
          <t>CO-3, PR-5</t>
        </is>
      </c>
      <c r="G33" s="4" t="inlineStr">
        <is>
          <t>Appeals exceeding SLA</t>
        </is>
      </c>
    </row>
    <row r="34" ht="36" customHeight="1">
      <c r="A34" s="4" t="inlineStr">
        <is>
          <t>TRA-04</t>
        </is>
      </c>
      <c r="B34" s="4" t="inlineStr">
        <is>
          <t>Transparency, Explainability &amp; Contestability</t>
        </is>
      </c>
      <c r="C34" s="11" t="inlineStr">
        <is>
          <t>Inadequate documentation and records</t>
        </is>
      </c>
      <c r="D34" s="4" t="inlineStr">
        <is>
          <t>Technical documentation, logs or decisions are insufficient for audit or regulatory inspection.</t>
        </is>
      </c>
      <c r="E34" s="4" t="inlineStr">
        <is>
          <t>EU AI Act Art. 11-12, 18-19</t>
        </is>
      </c>
      <c r="F34" s="4" t="inlineStr">
        <is>
          <t>LC-4, OM-2, RO-3</t>
        </is>
      </c>
      <c r="G34" s="4" t="inlineStr">
        <is>
          <t>Systems with incomplete documentation pack</t>
        </is>
      </c>
    </row>
    <row r="35" ht="36" customHeight="1">
      <c r="A35" s="4" t="inlineStr">
        <is>
          <t>SEC-01</t>
        </is>
      </c>
      <c r="B35" s="4" t="inlineStr">
        <is>
          <t>Security of AI Systems</t>
        </is>
      </c>
      <c r="C35" s="11" t="inlineStr">
        <is>
          <t>Prompt injection and jailbreak</t>
        </is>
      </c>
      <c r="D35" s="4" t="inlineStr">
        <is>
          <t>Attacker manipulates model behaviour via direct or indirect (embedded content) instructions.</t>
        </is>
      </c>
      <c r="E35" s="4" t="inlineStr">
        <is>
          <t>OWASP LLM01:2025; MITRE ATLAS</t>
        </is>
      </c>
      <c r="F35" s="4" t="inlineStr">
        <is>
          <t>SE-6</t>
        </is>
      </c>
      <c r="G35" s="4" t="inlineStr">
        <is>
          <t>Blocked injection attempts / bypasses in testing</t>
        </is>
      </c>
    </row>
    <row r="36" ht="36" customHeight="1">
      <c r="A36" s="4" t="inlineStr">
        <is>
          <t>SEC-02</t>
        </is>
      </c>
      <c r="B36" s="4" t="inlineStr">
        <is>
          <t>Security of AI Systems</t>
        </is>
      </c>
      <c r="C36" s="11" t="inlineStr">
        <is>
          <t>Data or model poisoning</t>
        </is>
      </c>
      <c r="D36" s="4" t="inlineStr">
        <is>
          <t>Training, fine-tuning or retrieval data is manipulated to corrupt outputs or insert backdoors.</t>
        </is>
      </c>
      <c r="E36" s="4" t="inlineStr">
        <is>
          <t>OWASP LLM04:2025; NIST AI 100-2</t>
        </is>
      </c>
      <c r="F36" s="4" t="inlineStr">
        <is>
          <t>SE-6, LC-1, SE-7</t>
        </is>
      </c>
      <c r="G36" s="4" t="inlineStr">
        <is>
          <t>Integrity check failures</t>
        </is>
      </c>
    </row>
    <row r="37" ht="36" customHeight="1">
      <c r="A37" s="4" t="inlineStr">
        <is>
          <t>SEC-03</t>
        </is>
      </c>
      <c r="B37" s="4" t="inlineStr">
        <is>
          <t>Security of AI Systems</t>
        </is>
      </c>
      <c r="C37" s="11" t="inlineStr">
        <is>
          <t>Model theft, extraction or inversion</t>
        </is>
      </c>
      <c r="D37" s="4" t="inlineStr">
        <is>
          <t>Model weights, system prompts or training data are extracted.</t>
        </is>
      </c>
      <c r="E37" s="4" t="inlineStr">
        <is>
          <t>OWASP LLM07/LLM10:2025; MITRE ATLAS</t>
        </is>
      </c>
      <c r="F37" s="4" t="inlineStr">
        <is>
          <t>SE-4, SE-6</t>
        </is>
      </c>
      <c r="G37" s="4" t="inlineStr">
        <is>
          <t>Anomalous query volumes</t>
        </is>
      </c>
    </row>
    <row r="38" ht="36" customHeight="1">
      <c r="A38" s="4" t="inlineStr">
        <is>
          <t>SEC-04</t>
        </is>
      </c>
      <c r="B38" s="4" t="inlineStr">
        <is>
          <t>Security of AI Systems</t>
        </is>
      </c>
      <c r="C38" s="11" t="inlineStr">
        <is>
          <t>Insecure integration and excessive privilege</t>
        </is>
      </c>
      <c r="D38" s="4" t="inlineStr">
        <is>
          <t>AI components have excessive permissions or insecure APIs/plugins, enabling unauthorised actions.</t>
        </is>
      </c>
      <c r="E38" s="4" t="inlineStr">
        <is>
          <t>OWASP LLM05/LLM06:2025; AI Ready7 4.2-4.3</t>
        </is>
      </c>
      <c r="F38" s="4" t="inlineStr">
        <is>
          <t>SE-2, LC-8</t>
        </is>
      </c>
      <c r="G38" s="4" t="inlineStr">
        <is>
          <t>Agents / integrations with privileged standing access</t>
        </is>
      </c>
    </row>
    <row r="39" ht="36" customHeight="1">
      <c r="A39" s="4" t="inlineStr">
        <is>
          <t>SEC-06</t>
        </is>
      </c>
      <c r="B39" s="4" t="inlineStr">
        <is>
          <t>Security of AI Systems</t>
        </is>
      </c>
      <c r="C39" s="11" t="inlineStr">
        <is>
          <t>Agent memory poisoning &amp; cross-session leakage</t>
        </is>
      </c>
      <c r="D39" s="4" t="inlineStr">
        <is>
          <t>Poisoned or unauthorised content persists in agent memory / vector stores, or context leaks across users, sessions or tenants.</t>
        </is>
      </c>
      <c r="E39" s="4" t="inlineStr">
        <is>
          <t>ISACA Securing AI Agents (2026); OWASP LLM08:2025</t>
        </is>
      </c>
      <c r="F39" s="4" t="inlineStr">
        <is>
          <t>SE-8</t>
        </is>
      </c>
      <c r="G39" s="4" t="inlineStr">
        <is>
          <t>Cross-tenant retrieval test failures</t>
        </is>
      </c>
    </row>
    <row r="40" ht="36" customHeight="1">
      <c r="A40" s="4" t="inlineStr">
        <is>
          <t>SEC-07</t>
        </is>
      </c>
      <c r="B40" s="4" t="inlineStr">
        <is>
          <t>Security of AI Systems</t>
        </is>
      </c>
      <c r="C40" s="11" t="inlineStr">
        <is>
          <t>Unsafe code execution, SSRF &amp; sandbox escape</t>
        </is>
      </c>
      <c r="D40" s="4" t="inlineStr">
        <is>
          <t>Agent-generated code or tool calls reach internal networks, cloud metadata services or production secrets.</t>
        </is>
      </c>
      <c r="E40" s="4" t="inlineStr">
        <is>
          <t>ISACA Securing AI Agents (2026); CWS ISO 42001 checklist 33</t>
        </is>
      </c>
      <c r="F40" s="4" t="inlineStr">
        <is>
          <t>SE-9, SE-10</t>
        </is>
      </c>
      <c r="G40" s="4" t="inlineStr">
        <is>
          <t>Blocked egress / SSRF attempts</t>
        </is>
      </c>
    </row>
    <row r="41" ht="36" customHeight="1">
      <c r="A41" s="4" t="inlineStr">
        <is>
          <t>SEC-05</t>
        </is>
      </c>
      <c r="B41" s="4" t="inlineStr">
        <is>
          <t>Security of AI Systems</t>
        </is>
      </c>
      <c r="C41" s="11" t="inlineStr">
        <is>
          <t>Compromised AI supply chain</t>
        </is>
      </c>
      <c r="D41" s="4" t="inlineStr">
        <is>
          <t>Malicious or vulnerable third-party models, libraries, plugins or MCP servers.</t>
        </is>
      </c>
      <c r="E41" s="4" t="inlineStr">
        <is>
          <t>OWASP LLM03:2025; CISA AI Data Security</t>
        </is>
      </c>
      <c r="F41" s="4" t="inlineStr">
        <is>
          <t>SE-7</t>
        </is>
      </c>
      <c r="G41" s="4" t="inlineStr">
        <is>
          <t>Unscanned model artefacts</t>
        </is>
      </c>
    </row>
    <row r="42" ht="36" customHeight="1">
      <c r="A42" s="4" t="inlineStr">
        <is>
          <t>HUM-01</t>
        </is>
      </c>
      <c r="B42" s="4" t="inlineStr">
        <is>
          <t>Human Oversight &amp; Autonomy</t>
        </is>
      </c>
      <c r="C42" s="11" t="inlineStr">
        <is>
          <t>Automation bias and over-reliance</t>
        </is>
      </c>
      <c r="D42" s="4" t="inlineStr">
        <is>
          <t>Users accept AI outputs without adequate scrutiny, eroding professional judgement.</t>
        </is>
      </c>
      <c r="E42" s="4" t="inlineStr">
        <is>
          <t>EU AI Act Art. 14(4)(b); NIST AI 600-1 (Human-AI configuration)</t>
        </is>
      </c>
      <c r="F42" s="4" t="inlineStr">
        <is>
          <t>RS-1, GL-4, LC-7</t>
        </is>
      </c>
      <c r="G42" s="4" t="inlineStr">
        <is>
          <t>Override / challenge rate</t>
        </is>
      </c>
    </row>
    <row r="43" ht="36" customHeight="1">
      <c r="A43" s="4" t="inlineStr">
        <is>
          <t>HUM-02</t>
        </is>
      </c>
      <c r="B43" s="4" t="inlineStr">
        <is>
          <t>Human Oversight &amp; Autonomy</t>
        </is>
      </c>
      <c r="C43" s="11" t="inlineStr">
        <is>
          <t>Ineffective human oversight</t>
        </is>
      </c>
      <c r="D43" s="4" t="inlineStr">
        <is>
          <t>Oversight persons lack competence, authority, time or information to intervene.</t>
        </is>
      </c>
      <c r="E43" s="4" t="inlineStr">
        <is>
          <t>EU AI Act Art. 14, 26(2)</t>
        </is>
      </c>
      <c r="F43" s="4" t="inlineStr">
        <is>
          <t>RS-1, GL-4</t>
        </is>
      </c>
      <c r="G43" s="4" t="inlineStr">
        <is>
          <t>Oversight roles without training</t>
        </is>
      </c>
    </row>
    <row r="44" ht="36" customHeight="1">
      <c r="A44" s="4" t="inlineStr">
        <is>
          <t>HUM-03</t>
        </is>
      </c>
      <c r="B44" s="4" t="inlineStr">
        <is>
          <t>Human Oversight &amp; Autonomy</t>
        </is>
      </c>
      <c r="C44" s="11" t="inlineStr">
        <is>
          <t>Unbounded autonomous agent actions</t>
        </is>
      </c>
      <c r="D44" s="4" t="inlineStr">
        <is>
          <t>AI agents take high-impact actions (payments, communications, code execution) without adequate limits or approval.</t>
        </is>
      </c>
      <c r="E44" s="4" t="inlineStr">
        <is>
          <t>OWASP Agentic Top 10; Singapore Agentic AI framework</t>
        </is>
      </c>
      <c r="F44" s="4" t="inlineStr">
        <is>
          <t>LC-8</t>
        </is>
      </c>
      <c r="G44" s="4" t="inlineStr">
        <is>
          <t>High-impact agent actions without approval</t>
        </is>
      </c>
    </row>
    <row r="45" ht="36" customHeight="1">
      <c r="A45" s="4" t="inlineStr">
        <is>
          <t>HUM-04</t>
        </is>
      </c>
      <c r="B45" s="4" t="inlineStr">
        <is>
          <t>Human Oversight &amp; Autonomy</t>
        </is>
      </c>
      <c r="C45" s="11" t="inlineStr">
        <is>
          <t>Adverse workforce impact</t>
        </is>
      </c>
      <c r="D45" s="4" t="inlineStr">
        <is>
          <t>AI adoption causes skills erosion, job anxiety or unconsulted changes to working conditions.</t>
        </is>
      </c>
      <c r="E45" s="4" t="inlineStr">
        <is>
          <t>EU AI Act Art. 26(7); AI Ready7 3.4</t>
        </is>
      </c>
      <c r="F45" s="4" t="inlineStr">
        <is>
          <t>RS-9, GL-4</t>
        </is>
      </c>
      <c r="G45" s="4" t="inlineStr">
        <is>
          <t>Staff sentiment / attrition in affected roles</t>
        </is>
      </c>
    </row>
    <row r="46" ht="36" customHeight="1">
      <c r="A46" s="4" t="inlineStr">
        <is>
          <t>TPR-01</t>
        </is>
      </c>
      <c r="B46" s="4" t="inlineStr">
        <is>
          <t>Third-Party &amp; Supply Chain</t>
        </is>
      </c>
      <c r="C46" s="11" t="inlineStr">
        <is>
          <t>Vendor lock-in and concentration</t>
        </is>
      </c>
      <c r="D46" s="4" t="inlineStr">
        <is>
          <t>Critical dependence on a single AI provider or cloud creates resilience and bargaining risk.</t>
        </is>
      </c>
      <c r="E46" s="4" t="inlineStr">
        <is>
          <t>ISO/IEC 42001 A.10; CBB outsourcing</t>
        </is>
      </c>
      <c r="F46" s="4" t="inlineStr">
        <is>
          <t>TP-2, TP-3</t>
        </is>
      </c>
      <c r="G46" s="4" t="inlineStr">
        <is>
          <t>% critical AI workloads on single provider</t>
        </is>
      </c>
    </row>
    <row r="47" ht="36" customHeight="1">
      <c r="A47" s="4" t="inlineStr">
        <is>
          <t>TPR-02</t>
        </is>
      </c>
      <c r="B47" s="4" t="inlineStr">
        <is>
          <t>Third-Party &amp; Supply Chain</t>
        </is>
      </c>
      <c r="C47" s="11" t="inlineStr">
        <is>
          <t>Inadequate vendor transparency and assurance</t>
        </is>
      </c>
      <c r="D47" s="4" t="inlineStr">
        <is>
          <t>Vendor cannot provide documentation, testing evidence or incident information needed for compliance.</t>
        </is>
      </c>
      <c r="E47" s="4" t="inlineStr">
        <is>
          <t>EU AI Act Art. 25(4); ISO/IEC 42001 A.10.3</t>
        </is>
      </c>
      <c r="F47" s="4" t="inlineStr">
        <is>
          <t>TP-1, TP-3, LC-6</t>
        </is>
      </c>
      <c r="G47" s="4" t="inlineStr">
        <is>
          <t>Vendors without current assurance evidence</t>
        </is>
      </c>
    </row>
    <row r="48" ht="36" customHeight="1">
      <c r="A48" s="4" t="inlineStr">
        <is>
          <t>TPR-03</t>
        </is>
      </c>
      <c r="B48" s="4" t="inlineStr">
        <is>
          <t>Third-Party &amp; Supply Chain</t>
        </is>
      </c>
      <c r="C48" s="11" t="inlineStr">
        <is>
          <t>Vendor use of organisation data</t>
        </is>
      </c>
      <c r="D48" s="4" t="inlineStr">
        <is>
          <t>Provider uses prompts, outputs or client data to train models or retains data beyond agreed terms.</t>
        </is>
      </c>
      <c r="E48" s="4" t="inlineStr">
        <is>
          <t>Contract / DPA; Bahrain PDPL</t>
        </is>
      </c>
      <c r="F48" s="4" t="inlineStr">
        <is>
          <t>TP-3, PR-6</t>
        </is>
      </c>
      <c r="G48" s="4" t="inlineStr">
        <is>
          <t>Contracts lacking no-training clause</t>
        </is>
      </c>
    </row>
    <row r="49" ht="36" customHeight="1">
      <c r="A49" s="4" t="inlineStr">
        <is>
          <t>OPS-01</t>
        </is>
      </c>
      <c r="B49" s="4" t="inlineStr">
        <is>
          <t>Operational, Financial &amp; Sustainability</t>
        </is>
      </c>
      <c r="C49" s="11" t="inlineStr">
        <is>
          <t>AI service outage or degradation</t>
        </is>
      </c>
      <c r="D49" s="4" t="inlineStr">
        <is>
          <t>Business processes dependent on AI are disrupted by service unavailability or latency.</t>
        </is>
      </c>
      <c r="E49" s="4" t="inlineStr">
        <is>
          <t>ISO/IEC 27001 A.5.30; CBB OM</t>
        </is>
      </c>
      <c r="F49" s="4" t="inlineStr">
        <is>
          <t>OM-1, SE-1</t>
        </is>
      </c>
      <c r="G49" s="4" t="inlineStr">
        <is>
          <t>AI service availability vs SLA</t>
        </is>
      </c>
    </row>
    <row r="50" ht="36" customHeight="1">
      <c r="A50" s="4" t="inlineStr">
        <is>
          <t>OPS-02</t>
        </is>
      </c>
      <c r="B50" s="4" t="inlineStr">
        <is>
          <t>Operational, Financial &amp; Sustainability</t>
        </is>
      </c>
      <c r="C50" s="11" t="inlineStr">
        <is>
          <t>Uncontrolled AI cost and consumption</t>
        </is>
      </c>
      <c r="D50" s="4" t="inlineStr">
        <is>
          <t>Compute and API spend escalate without governance (incl. denial-of-wallet attacks).</t>
        </is>
      </c>
      <c r="E50" s="4" t="inlineStr">
        <is>
          <t>AI Ready7 4.5; OWASP LLM10:2025</t>
        </is>
      </c>
      <c r="F50" s="4" t="inlineStr">
        <is>
          <t>GL-6, SE-6</t>
        </is>
      </c>
      <c r="G50" s="4" t="inlineStr">
        <is>
          <t>AI spend vs budget</t>
        </is>
      </c>
    </row>
    <row r="51" ht="36" customHeight="1">
      <c r="A51" s="4" t="inlineStr">
        <is>
          <t>OPS-04</t>
        </is>
      </c>
      <c r="B51" s="4" t="inlineStr">
        <is>
          <t>Operational, Financial &amp; Sustainability</t>
        </is>
      </c>
      <c r="C51" s="11" t="inlineStr">
        <is>
          <t>No safe degradation or kill switch</t>
        </is>
      </c>
      <c r="D51" s="4" t="inlineStr">
        <is>
          <t>A failing or compromised AI system cannot be stopped quickly or the business process cannot revert to manual operation.</t>
        </is>
      </c>
      <c r="E51" s="4" t="inlineStr">
        <is>
          <t>ISACA Securing AI Agents (2026); ISO 22301</t>
        </is>
      </c>
      <c r="F51" s="4" t="inlineStr">
        <is>
          <t>OM-4</t>
        </is>
      </c>
      <c r="G51" s="4" t="inlineStr">
        <is>
          <t>Kill-switch test age (days)</t>
        </is>
      </c>
    </row>
    <row r="52" ht="36" customHeight="1">
      <c r="A52" s="4" t="inlineStr">
        <is>
          <t>OPS-03</t>
        </is>
      </c>
      <c r="B52" s="4" t="inlineStr">
        <is>
          <t>Operational, Financial &amp; Sustainability</t>
        </is>
      </c>
      <c r="C52" s="11" t="inlineStr">
        <is>
          <t>Environmental impact of AI</t>
        </is>
      </c>
      <c r="D52" s="4" t="inlineStr">
        <is>
          <t>Energy, water and carbon footprint of AI workloads conflicts with sustainability commitments.</t>
        </is>
      </c>
      <c r="E52" s="4" t="inlineStr">
        <is>
          <t>ISO/IEC TR 20226; ISO/IEC 42001</t>
        </is>
      </c>
      <c r="F52" s="4" t="inlineStr">
        <is>
          <t>RS-8</t>
        </is>
      </c>
      <c r="G52" s="4" t="inlineStr">
        <is>
          <t>kgCO2e per 1,000 inferences</t>
        </is>
      </c>
    </row>
    <row r="53" ht="36" customHeight="1">
      <c r="A53" s="4" t="inlineStr">
        <is>
          <t>SOC-01</t>
        </is>
      </c>
      <c r="B53" s="4" t="inlineStr">
        <is>
          <t>Societal, Reputational &amp; AI-Enabled Threats</t>
        </is>
      </c>
      <c r="C53" s="11" t="inlineStr">
        <is>
          <t>Harmful, toxic or unsafe content</t>
        </is>
      </c>
      <c r="D53" s="4" t="inlineStr">
        <is>
          <t>AI generates offensive, dangerous or culturally inappropriate content.</t>
        </is>
      </c>
      <c r="E53" s="4" t="inlineStr">
        <is>
          <t>NIST AI 600-1; GCC AI Ethics Manual</t>
        </is>
      </c>
      <c r="F53" s="4" t="inlineStr">
        <is>
          <t>RS-2, SE-6</t>
        </is>
      </c>
      <c r="G53" s="4" t="inlineStr">
        <is>
          <t>Content-policy violations per 1,000 outputs</t>
        </is>
      </c>
    </row>
    <row r="54" ht="36" customHeight="1">
      <c r="A54" s="4" t="inlineStr">
        <is>
          <t>SOC-02</t>
        </is>
      </c>
      <c r="B54" s="4" t="inlineStr">
        <is>
          <t>Societal, Reputational &amp; AI-Enabled Threats</t>
        </is>
      </c>
      <c r="C54" s="11" t="inlineStr">
        <is>
          <t>Misinformation and loss of stakeholder trust</t>
        </is>
      </c>
      <c r="D54" s="4" t="inlineStr">
        <is>
          <t>AI-generated errors or undisclosed AI use damage client, regulator or public trust.</t>
        </is>
      </c>
      <c r="E54" s="4" t="inlineStr">
        <is>
          <t>NIST AI 600-1 (Information integrity); AI Ready7 1.4</t>
        </is>
      </c>
      <c r="F54" s="4" t="inlineStr">
        <is>
          <t>LC-7, CO-1, CO-2</t>
        </is>
      </c>
      <c r="G54" s="4" t="inlineStr">
        <is>
          <t>Client complaints linked to AI</t>
        </is>
      </c>
    </row>
    <row r="55" ht="36" customHeight="1">
      <c r="A55" s="4" t="inlineStr">
        <is>
          <t>SOC-03</t>
        </is>
      </c>
      <c r="B55" s="4" t="inlineStr">
        <is>
          <t>Societal, Reputational &amp; AI-Enabled Threats</t>
        </is>
      </c>
      <c r="C55" s="11" t="inlineStr">
        <is>
          <t>Deepfake and AI-enabled fraud against the organisation</t>
        </is>
      </c>
      <c r="D55" s="4" t="inlineStr">
        <is>
          <t>Voice/video impersonation or AI-crafted phishing leads to fraudulent payments or data release.</t>
        </is>
      </c>
      <c r="E55" s="4" t="inlineStr">
        <is>
          <t>FinCEN FIN-2024-Alert004; AI Ready7 7.3</t>
        </is>
      </c>
      <c r="F55" s="4" t="inlineStr">
        <is>
          <t>AT-3, GL-4</t>
        </is>
      </c>
      <c r="G55" s="4" t="inlineStr">
        <is>
          <t>Deepfake / BEC attempts detected</t>
        </is>
      </c>
    </row>
    <row r="56" ht="36" customHeight="1">
      <c r="A56" s="4" t="inlineStr">
        <is>
          <t>SOC-04</t>
        </is>
      </c>
      <c r="B56" s="4" t="inlineStr">
        <is>
          <t>Societal, Reputational &amp; AI-Enabled Threats</t>
        </is>
      </c>
      <c r="C56" s="11" t="inlineStr">
        <is>
          <t>AI-accelerated cyber attacks</t>
        </is>
      </c>
      <c r="D56" s="4" t="inlineStr">
        <is>
          <t>Adversaries use AI for automated discovery, exploit chaining and scaled social engineering, outpacing defences.</t>
        </is>
      </c>
      <c r="E56" s="4" t="inlineStr">
        <is>
          <t>AI Ready7 7.1-7.5; MITRE ATLAS</t>
        </is>
      </c>
      <c r="F56" s="4" t="inlineStr">
        <is>
          <t>AT-1, AT-2, AT-4</t>
        </is>
      </c>
      <c r="G56" s="4" t="inlineStr">
        <is>
          <t>Mean time to remediate critical vulnerabilities</t>
        </is>
      </c>
    </row>
  </sheetData>
  <autoFilter ref="A4:G56"/>
  <mergeCells count="2">
    <mergeCell ref="A2:G2"/>
    <mergeCell ref="A1:G1"/>
  </mergeCells>
  <printOptions gridLines="0"/>
  <pageMargins left="0.5" right="0.5" top="0.75" bottom="0.75" header="0.25" footer="0.2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I3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6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4" customHeight="1">
      <c r="A1" s="1" t="inlineStr">
        <is>
          <t>Risk Scales &amp; Criteria</t>
        </is>
      </c>
    </row>
    <row r="2" ht="30" customHeight="1">
      <c r="A2" s="2" t="inlineStr">
        <is>
          <t>Likelihood, impact (by dimension), control effectiveness, rating bands and tier requirements used throughout this toolkit. Aligned to ISO 31000 / ISO/IEC 23894 and the GT AI Risk Assessment Framework.</t>
        </is>
      </c>
    </row>
    <row r="4">
      <c r="A4" s="17" t="inlineStr">
        <is>
          <t>Likelihood</t>
        </is>
      </c>
    </row>
    <row r="5">
      <c r="A5" s="6" t="inlineStr">
        <is>
          <t>Score</t>
        </is>
      </c>
      <c r="B5" s="6" t="inlineStr">
        <is>
          <t>Level</t>
        </is>
      </c>
      <c r="C5" s="6" t="inlineStr">
        <is>
          <t>Description</t>
        </is>
      </c>
      <c r="D5" s="13" t="n"/>
      <c r="E5" s="13" t="n"/>
      <c r="F5" s="13" t="n"/>
      <c r="G5" s="13" t="n"/>
      <c r="H5" s="13" t="n"/>
      <c r="I5" s="10" t="n"/>
    </row>
    <row r="6" ht="28" customHeight="1">
      <c r="A6" s="7" t="n">
        <v>1</v>
      </c>
      <c r="B6" s="11" t="inlineStr">
        <is>
          <t>Rare</t>
        </is>
      </c>
      <c r="C6" s="4" t="inlineStr">
        <is>
          <t>May occur only in exceptional circumstances; &lt; 5% chance within 12 months; no known occurrences in similar systems.</t>
        </is>
      </c>
      <c r="D6" s="13" t="n"/>
      <c r="E6" s="13" t="n"/>
      <c r="F6" s="13" t="n"/>
      <c r="G6" s="13" t="n"/>
      <c r="H6" s="13" t="n"/>
      <c r="I6" s="10" t="n"/>
    </row>
    <row r="7" ht="28" customHeight="1">
      <c r="A7" s="7" t="n">
        <v>2</v>
      </c>
      <c r="B7" s="11" t="inlineStr">
        <is>
          <t>Unlikely</t>
        </is>
      </c>
      <c r="C7" s="4" t="inlineStr">
        <is>
          <t>Could occur but not expected; 5-20% within 12 months; isolated occurrences in industry.</t>
        </is>
      </c>
      <c r="D7" s="13" t="n"/>
      <c r="E7" s="13" t="n"/>
      <c r="F7" s="13" t="n"/>
      <c r="G7" s="13" t="n"/>
      <c r="H7" s="13" t="n"/>
      <c r="I7" s="10" t="n"/>
    </row>
    <row r="8" ht="28" customHeight="1">
      <c r="A8" s="7" t="n">
        <v>3</v>
      </c>
      <c r="B8" s="11" t="inlineStr">
        <is>
          <t>Possible</t>
        </is>
      </c>
      <c r="C8" s="4" t="inlineStr">
        <is>
          <t>Might occur; 20-50% within 12 months; has occurred in comparable organisations.</t>
        </is>
      </c>
      <c r="D8" s="13" t="n"/>
      <c r="E8" s="13" t="n"/>
      <c r="F8" s="13" t="n"/>
      <c r="G8" s="13" t="n"/>
      <c r="H8" s="13" t="n"/>
      <c r="I8" s="10" t="n"/>
    </row>
    <row r="9" ht="28" customHeight="1">
      <c r="A9" s="7" t="n">
        <v>4</v>
      </c>
      <c r="B9" s="11" t="inlineStr">
        <is>
          <t>Likely</t>
        </is>
      </c>
      <c r="C9" s="4" t="inlineStr">
        <is>
          <t>Will probably occur; 50-80% within 12 months; has occurred previously in the organisation.</t>
        </is>
      </c>
      <c r="D9" s="13" t="n"/>
      <c r="E9" s="13" t="n"/>
      <c r="F9" s="13" t="n"/>
      <c r="G9" s="13" t="n"/>
      <c r="H9" s="13" t="n"/>
      <c r="I9" s="10" t="n"/>
    </row>
    <row r="10" ht="28" customHeight="1">
      <c r="A10" s="7" t="n">
        <v>5</v>
      </c>
      <c r="B10" s="11" t="inlineStr">
        <is>
          <t>Almost certain</t>
        </is>
      </c>
      <c r="C10" s="4" t="inlineStr">
        <is>
          <t>Expected to occur; &gt; 80% within 12 months or recurring.</t>
        </is>
      </c>
      <c r="D10" s="13" t="n"/>
      <c r="E10" s="13" t="n"/>
      <c r="F10" s="13" t="n"/>
      <c r="G10" s="13" t="n"/>
      <c r="H10" s="13" t="n"/>
      <c r="I10" s="10" t="n"/>
    </row>
    <row r="12">
      <c r="A12" s="17" t="inlineStr">
        <is>
          <t>Impact (rate the highest applicable dimension)</t>
        </is>
      </c>
    </row>
    <row r="13">
      <c r="A13" s="6" t="inlineStr">
        <is>
          <t>Score</t>
        </is>
      </c>
      <c r="B13" s="6" t="inlineStr">
        <is>
          <t>Level</t>
        </is>
      </c>
      <c r="C13" s="6" t="inlineStr">
        <is>
          <t>Individuals &amp; rights</t>
        </is>
      </c>
      <c r="D13" s="6" t="inlineStr">
        <is>
          <t>Financial</t>
        </is>
      </c>
      <c r="E13" s="6" t="inlineStr">
        <is>
          <t>Regulatory &amp; legal</t>
        </is>
      </c>
      <c r="F13" s="6" t="inlineStr">
        <is>
          <t>Operational</t>
        </is>
      </c>
      <c r="G13" s="6" t="inlineStr">
        <is>
          <t>Reputational &amp; client trust</t>
        </is>
      </c>
      <c r="H13" s="6" t="inlineStr">
        <is>
          <t>Safety, societal &amp; environmental</t>
        </is>
      </c>
    </row>
    <row r="14" ht="40" customHeight="1">
      <c r="A14" s="7" t="n">
        <v>1</v>
      </c>
      <c r="B14" s="11" t="inlineStr">
        <is>
          <t>Insignificant</t>
        </is>
      </c>
      <c r="C14" s="4" t="inlineStr">
        <is>
          <t>No discernible effect on individuals</t>
        </is>
      </c>
      <c r="D14" s="4" t="inlineStr">
        <is>
          <t>&lt; BHD 5,000</t>
        </is>
      </c>
      <c r="E14" s="4" t="inlineStr">
        <is>
          <t>No breach; no regulatory interest</t>
        </is>
      </c>
      <c r="F14" s="4" t="inlineStr">
        <is>
          <t>Negligible disruption (&lt; 1 hour)</t>
        </is>
      </c>
      <c r="G14" s="4" t="inlineStr">
        <is>
          <t>No external awareness</t>
        </is>
      </c>
      <c r="H14" s="4" t="inlineStr">
        <is>
          <t>No harm</t>
        </is>
      </c>
    </row>
    <row r="15" ht="40" customHeight="1">
      <c r="A15" s="7" t="n">
        <v>2</v>
      </c>
      <c r="B15" s="11" t="inlineStr">
        <is>
          <t>Minor</t>
        </is>
      </c>
      <c r="C15" s="4" t="inlineStr">
        <is>
          <t>Minor inconvenience to a few individuals, easily remedied</t>
        </is>
      </c>
      <c r="D15" s="4" t="inlineStr">
        <is>
          <t>BHD 5,000 - 50,000</t>
        </is>
      </c>
      <c r="E15" s="4" t="inlineStr">
        <is>
          <t>Minor breach; self-reported; no sanction</t>
        </is>
      </c>
      <c r="F15" s="4" t="inlineStr">
        <is>
          <t>Minor disruption (&lt; 1 day); workaround available</t>
        </is>
      </c>
      <c r="G15" s="4" t="inlineStr">
        <is>
          <t>Limited local / client awareness</t>
        </is>
      </c>
      <c r="H15" s="4" t="inlineStr">
        <is>
          <t>Minor, temporary, contained harm</t>
        </is>
      </c>
    </row>
    <row r="16" ht="40" customHeight="1">
      <c r="A16" s="7" t="n">
        <v>3</v>
      </c>
      <c r="B16" s="11" t="inlineStr">
        <is>
          <t>Moderate</t>
        </is>
      </c>
      <c r="C16" s="4" t="inlineStr">
        <is>
          <t>Adverse effect on a group; rights affected but remediable</t>
        </is>
      </c>
      <c r="D16" s="4" t="inlineStr">
        <is>
          <t>BHD 50,000 - 250,000</t>
        </is>
      </c>
      <c r="E16" s="4" t="inlineStr">
        <is>
          <t>Breach resulting in regulatory enquiry or warning</t>
        </is>
      </c>
      <c r="F16" s="4" t="inlineStr">
        <is>
          <t>Disruption of key process (1-3 days)</t>
        </is>
      </c>
      <c r="G16" s="4" t="inlineStr">
        <is>
          <t>Negative media / client complaints; short-term</t>
        </is>
      </c>
      <c r="H16" s="4" t="inlineStr">
        <is>
          <t>Moderate harm; limited environmental impact</t>
        </is>
      </c>
    </row>
    <row r="17" ht="40" customHeight="1">
      <c r="A17" s="7" t="n">
        <v>4</v>
      </c>
      <c r="B17" s="11" t="inlineStr">
        <is>
          <t>Major</t>
        </is>
      </c>
      <c r="C17" s="4" t="inlineStr">
        <is>
          <t>Significant harm or discrimination affecting many individuals</t>
        </is>
      </c>
      <c r="D17" s="4" t="inlineStr">
        <is>
          <t>BHD 250,000 - 1,000,000</t>
        </is>
      </c>
      <c r="E17" s="4" t="inlineStr">
        <is>
          <t>Regulatory sanction, fine or enforcement action</t>
        </is>
      </c>
      <c r="F17" s="4" t="inlineStr">
        <is>
          <t>Critical service outage (&gt; 3 days)</t>
        </is>
      </c>
      <c r="G17" s="4" t="inlineStr">
        <is>
          <t>Sustained national media coverage; loss of key clients</t>
        </is>
      </c>
      <c r="H17" s="4" t="inlineStr">
        <is>
          <t>Serious injury / significant societal harm</t>
        </is>
      </c>
    </row>
    <row r="18" ht="40" customHeight="1">
      <c r="A18" s="7" t="n">
        <v>5</v>
      </c>
      <c r="B18" s="11" t="inlineStr">
        <is>
          <t>Severe</t>
        </is>
      </c>
      <c r="C18" s="4" t="inlineStr">
        <is>
          <t>Irreversible harm to individuals' rights, safety or livelihood at scale</t>
        </is>
      </c>
      <c r="D18" s="4" t="inlineStr">
        <is>
          <t>&gt; BHD 1,000,000</t>
        </is>
      </c>
      <c r="E18" s="4" t="inlineStr">
        <is>
          <t>Licence suspension / criminal liability / prohibited practice</t>
        </is>
      </c>
      <c r="F18" s="4" t="inlineStr">
        <is>
          <t>Prolonged failure of critical operations</t>
        </is>
      </c>
      <c r="G18" s="4" t="inlineStr">
        <is>
          <t>Long-term, international reputational damage</t>
        </is>
      </c>
      <c r="H18" s="4" t="inlineStr">
        <is>
          <t>Loss of life / widespread irreversible harm</t>
        </is>
      </c>
    </row>
    <row r="20">
      <c r="A20" s="17" t="inlineStr">
        <is>
          <t>Control effectiveness (residual = inherent score x factor)</t>
        </is>
      </c>
    </row>
    <row r="21">
      <c r="A21" s="6" t="inlineStr">
        <is>
          <t>Rating</t>
        </is>
      </c>
      <c r="B21" s="6" t="inlineStr">
        <is>
          <t>Factor</t>
        </is>
      </c>
      <c r="C21" s="6" t="inlineStr">
        <is>
          <t>Description</t>
        </is>
      </c>
      <c r="D21" s="13" t="n"/>
      <c r="E21" s="13" t="n"/>
      <c r="F21" s="13" t="n"/>
      <c r="G21" s="13" t="n"/>
      <c r="H21" s="13" t="n"/>
      <c r="I21" s="10" t="n"/>
    </row>
    <row r="22" ht="28" customHeight="1">
      <c r="A22" s="11" t="inlineStr">
        <is>
          <t>Strong</t>
        </is>
      </c>
      <c r="B22" s="7" t="n">
        <v>0.4</v>
      </c>
      <c r="C22" s="4" t="inlineStr">
        <is>
          <t>Controls designed and operating effectively; tested with no material exceptions; automated where appropriate.</t>
        </is>
      </c>
      <c r="D22" s="13" t="n"/>
      <c r="E22" s="13" t="n"/>
      <c r="F22" s="13" t="n"/>
      <c r="G22" s="13" t="n"/>
      <c r="H22" s="13" t="n"/>
      <c r="I22" s="10" t="n"/>
    </row>
    <row r="23" ht="28" customHeight="1">
      <c r="A23" s="11" t="inlineStr">
        <is>
          <t>Satisfactory</t>
        </is>
      </c>
      <c r="B23" s="7" t="n">
        <v>0.6</v>
      </c>
      <c r="C23" s="4" t="inlineStr">
        <is>
          <t>Controls largely designed and operating; minor exceptions; improvement opportunities identified.</t>
        </is>
      </c>
      <c r="D23" s="13" t="n"/>
      <c r="E23" s="13" t="n"/>
      <c r="F23" s="13" t="n"/>
      <c r="G23" s="13" t="n"/>
      <c r="H23" s="13" t="n"/>
      <c r="I23" s="10" t="n"/>
    </row>
    <row r="24" ht="28" customHeight="1">
      <c r="A24" s="11" t="inlineStr">
        <is>
          <t>Needs improvement</t>
        </is>
      </c>
      <c r="B24" s="7" t="n">
        <v>0.8</v>
      </c>
      <c r="C24" s="4" t="inlineStr">
        <is>
          <t>Controls partly designed or inconsistently operated; material exceptions; reliance limited.</t>
        </is>
      </c>
      <c r="D24" s="13" t="n"/>
      <c r="E24" s="13" t="n"/>
      <c r="F24" s="13" t="n"/>
      <c r="G24" s="13" t="n"/>
      <c r="H24" s="13" t="n"/>
      <c r="I24" s="10" t="n"/>
    </row>
    <row r="25" ht="28" customHeight="1">
      <c r="A25" s="11" t="inlineStr">
        <is>
          <t>Weak / None</t>
        </is>
      </c>
      <c r="B25" s="7" t="n">
        <v>1</v>
      </c>
      <c r="C25" s="4" t="inlineStr">
        <is>
          <t>Controls absent, not designed to address the risk, or not operating.</t>
        </is>
      </c>
      <c r="D25" s="13" t="n"/>
      <c r="E25" s="13" t="n"/>
      <c r="F25" s="13" t="n"/>
      <c r="G25" s="13" t="n"/>
      <c r="H25" s="13" t="n"/>
      <c r="I25" s="10" t="n"/>
    </row>
    <row r="27">
      <c r="A27" s="17" t="inlineStr">
        <is>
          <t>Risk rating bands (score = likelihood x impact, 1-25)</t>
        </is>
      </c>
    </row>
    <row r="28">
      <c r="A28" s="6" t="inlineStr">
        <is>
          <t>Rating</t>
        </is>
      </c>
      <c r="B28" s="6" t="inlineStr">
        <is>
          <t>Min</t>
        </is>
      </c>
      <c r="C28" s="6" t="inlineStr">
        <is>
          <t>Max</t>
        </is>
      </c>
      <c r="D28" s="6" t="inlineStr">
        <is>
          <t>Required response</t>
        </is>
      </c>
      <c r="E28" s="13" t="n"/>
      <c r="F28" s="13" t="n"/>
      <c r="G28" s="13" t="n"/>
      <c r="H28" s="13" t="n"/>
      <c r="I28" s="10" t="n"/>
    </row>
    <row r="29" ht="22" customHeight="1">
      <c r="A29" s="29" t="inlineStr">
        <is>
          <t>Low</t>
        </is>
      </c>
      <c r="B29" s="7" t="n">
        <v>1</v>
      </c>
      <c r="C29" s="7" t="n">
        <v>4</v>
      </c>
      <c r="D29" s="4" t="inlineStr">
        <is>
          <t>Accept; monitor through normal governance.</t>
        </is>
      </c>
      <c r="E29" s="13" t="n"/>
      <c r="F29" s="13" t="n"/>
      <c r="G29" s="13" t="n"/>
      <c r="H29" s="13" t="n"/>
      <c r="I29" s="10" t="n"/>
    </row>
    <row r="30" ht="22" customHeight="1">
      <c r="A30" s="30" t="inlineStr">
        <is>
          <t>Medium</t>
        </is>
      </c>
      <c r="B30" s="7" t="n">
        <v>5</v>
      </c>
      <c r="C30" s="7" t="n">
        <v>9</v>
      </c>
      <c r="D30" s="4" t="inlineStr">
        <is>
          <t>Treat within normal planning cycle; owner accountable; monitor KRIs.</t>
        </is>
      </c>
      <c r="E30" s="13" t="n"/>
      <c r="F30" s="13" t="n"/>
      <c r="G30" s="13" t="n"/>
      <c r="H30" s="13" t="n"/>
      <c r="I30" s="10" t="n"/>
    </row>
    <row r="31" ht="22" customHeight="1">
      <c r="A31" s="31" t="inlineStr">
        <is>
          <t>High</t>
        </is>
      </c>
      <c r="B31" s="7" t="n">
        <v>10</v>
      </c>
      <c r="C31" s="7" t="n">
        <v>16</v>
      </c>
      <c r="D31" s="4" t="inlineStr">
        <is>
          <t>Treatment plan within 90 days; AI Committee oversight; consider restricting use.</t>
        </is>
      </c>
      <c r="E31" s="13" t="n"/>
      <c r="F31" s="13" t="n"/>
      <c r="G31" s="13" t="n"/>
      <c r="H31" s="13" t="n"/>
      <c r="I31" s="10" t="n"/>
    </row>
    <row r="32" ht="22" customHeight="1">
      <c r="A32" s="32" t="inlineStr">
        <is>
          <t>Critical</t>
        </is>
      </c>
      <c r="B32" s="7" t="n">
        <v>17</v>
      </c>
      <c r="C32" s="7" t="n">
        <v>25</v>
      </c>
      <c r="D32" s="4" t="inlineStr">
        <is>
          <t>Outside appetite: immediate action; escalate to Executive / Board; suspend or do not deploy until reduced.</t>
        </is>
      </c>
      <c r="E32" s="13" t="n"/>
      <c r="F32" s="13" t="n"/>
      <c r="G32" s="13" t="n"/>
      <c r="H32" s="13" t="n"/>
      <c r="I32" s="10" t="n"/>
    </row>
    <row r="34">
      <c r="A34" s="17" t="inlineStr">
        <is>
          <t>Inherent risk tier requirements</t>
        </is>
      </c>
    </row>
    <row r="35">
      <c r="A35" s="6" t="inlineStr">
        <is>
          <t>Tier</t>
        </is>
      </c>
      <c r="B35" s="6" t="inlineStr">
        <is>
          <t>Score from</t>
        </is>
      </c>
      <c r="C35" s="6" t="inlineStr">
        <is>
          <t>Assessment &amp; control requirements</t>
        </is>
      </c>
      <c r="D35" s="13" t="n"/>
      <c r="E35" s="10" t="n"/>
      <c r="F35" s="6" t="inlineStr">
        <is>
          <t>Approval authority</t>
        </is>
      </c>
      <c r="G35" s="10" t="n"/>
      <c r="H35" s="6" t="inlineStr">
        <is>
          <t>Review frequency</t>
        </is>
      </c>
      <c r="I35" s="10" t="n"/>
    </row>
    <row r="36" ht="42" customHeight="1">
      <c r="A36" s="29" t="inlineStr">
        <is>
          <t>Low</t>
        </is>
      </c>
      <c r="B36" s="7" t="n">
        <v>0</v>
      </c>
      <c r="C36" s="4" t="inlineStr">
        <is>
          <t>Self-managed by use-case owner; lightweight assessment; register entry.</t>
        </is>
      </c>
      <c r="D36" s="13" t="n"/>
      <c r="E36" s="10" t="n"/>
      <c r="F36" s="4" t="inlineStr">
        <is>
          <t>Use-case owner</t>
        </is>
      </c>
      <c r="G36" s="10" t="n"/>
      <c r="H36" s="4" t="inlineStr">
        <is>
          <t>Every 24 months or on material change</t>
        </is>
      </c>
      <c r="I36" s="10" t="n"/>
    </row>
    <row r="37" ht="42" customHeight="1">
      <c r="A37" s="30" t="inlineStr">
        <is>
          <t>Medium</t>
        </is>
      </c>
      <c r="B37" s="7" t="n">
        <v>25</v>
      </c>
      <c r="C37" s="4" t="inlineStr">
        <is>
          <t>Standard risk assessment; SME review (privacy, security, data); documented controls.</t>
        </is>
      </c>
      <c r="D37" s="13" t="n"/>
      <c r="E37" s="10" t="n"/>
      <c r="F37" s="4" t="inlineStr">
        <is>
          <t>Head of function + Risk (2nd line) review</t>
        </is>
      </c>
      <c r="G37" s="10" t="n"/>
      <c r="H37" s="4" t="inlineStr">
        <is>
          <t>Every 12 months or on material change</t>
        </is>
      </c>
      <c r="I37" s="10" t="n"/>
    </row>
    <row r="38" ht="42" customHeight="1">
      <c r="A38" s="31" t="inlineStr">
        <is>
          <t>High</t>
        </is>
      </c>
      <c r="B38" s="7" t="n">
        <v>50</v>
      </c>
      <c r="C38" s="4" t="inlineStr">
        <is>
          <t>Full risk &amp; impact assessment (ISO/IEC 42005 / FRIA where required); independent validation; AI Committee approval.</t>
        </is>
      </c>
      <c r="D38" s="13" t="n"/>
      <c r="E38" s="10" t="n"/>
      <c r="F38" s="4" t="inlineStr">
        <is>
          <t>AI Committee / CoE</t>
        </is>
      </c>
      <c r="G38" s="10" t="n"/>
      <c r="H38" s="4" t="inlineStr">
        <is>
          <t>Every 6 months + continuous KRI monitoring</t>
        </is>
      </c>
      <c r="I38" s="10" t="n"/>
    </row>
    <row r="39" ht="42" customHeight="1">
      <c r="A39" s="32" t="inlineStr">
        <is>
          <t>Critical</t>
        </is>
      </c>
      <c r="B39" s="7" t="n">
        <v>75</v>
      </c>
      <c r="C39" s="4" t="inlineStr">
        <is>
          <t>As High plus legal review, executive sign-off, board notification, pre-deployment red teaming and staged rollout.</t>
        </is>
      </c>
      <c r="D39" s="13" t="n"/>
      <c r="E39" s="10" t="n"/>
      <c r="F39" s="4" t="inlineStr">
        <is>
          <t>Executive Committee / Board Risk Committee</t>
        </is>
      </c>
      <c r="G39" s="10" t="n"/>
      <c r="H39" s="4" t="inlineStr">
        <is>
          <t>Quarterly + continuous KRI monitoring</t>
        </is>
      </c>
      <c r="I39" s="10" t="n"/>
    </row>
  </sheetData>
  <mergeCells count="33">
    <mergeCell ref="C23:I23"/>
    <mergeCell ref="H35:I35"/>
    <mergeCell ref="H38:I38"/>
    <mergeCell ref="D32:I32"/>
    <mergeCell ref="C8:I8"/>
    <mergeCell ref="C7:I7"/>
    <mergeCell ref="H39:I39"/>
    <mergeCell ref="C36:E36"/>
    <mergeCell ref="A2:I2"/>
    <mergeCell ref="D28:I28"/>
    <mergeCell ref="C39:E39"/>
    <mergeCell ref="C6:I6"/>
    <mergeCell ref="C24:I24"/>
    <mergeCell ref="F36:G36"/>
    <mergeCell ref="H36:I36"/>
    <mergeCell ref="D30:I30"/>
    <mergeCell ref="C5:I5"/>
    <mergeCell ref="F35:G35"/>
    <mergeCell ref="C38:E38"/>
    <mergeCell ref="C37:E37"/>
    <mergeCell ref="D29:I29"/>
    <mergeCell ref="F38:G38"/>
    <mergeCell ref="H37:I37"/>
    <mergeCell ref="C10:I10"/>
    <mergeCell ref="C25:I25"/>
    <mergeCell ref="F37:G37"/>
    <mergeCell ref="F39:G39"/>
    <mergeCell ref="C22:I22"/>
    <mergeCell ref="C9:I9"/>
    <mergeCell ref="C21:I21"/>
    <mergeCell ref="D31:I31"/>
    <mergeCell ref="A1:I1"/>
    <mergeCell ref="C35:E35"/>
  </mergeCells>
  <printOptions gridLines="0"/>
  <pageMargins left="0.5" right="0.5" top="0.75" bottom="0.75" header="0.25" footer="0.2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Yes</t>
        </is>
      </c>
      <c r="B1" t="inlineStr">
        <is>
          <t>Rare</t>
        </is>
      </c>
      <c r="C1" t="inlineStr">
        <is>
          <t>Insignificant</t>
        </is>
      </c>
      <c r="D1" t="inlineStr">
        <is>
          <t>Strong</t>
        </is>
      </c>
      <c r="E1" t="inlineStr">
        <is>
          <t>Avoid</t>
        </is>
      </c>
      <c r="F1" t="inlineStr">
        <is>
          <t>Open</t>
        </is>
      </c>
      <c r="G1" t="inlineStr">
        <is>
          <t>Concept / design</t>
        </is>
      </c>
      <c r="H1" t="inlineStr">
        <is>
          <t>Provider (develops / places on market)</t>
        </is>
      </c>
      <c r="I1" t="inlineStr">
        <is>
          <t>Generative AI / LLM assistant</t>
        </is>
      </c>
      <c r="L1" t="inlineStr">
        <is>
          <t>No decisions about individuals (e.g., internal content drafting, code assistance)</t>
        </is>
      </c>
      <c r="M1" t="inlineStr">
        <is>
          <t>AI provides information only; humans make all decisions</t>
        </is>
      </c>
      <c r="N1" t="inlineStr">
        <is>
          <t>Public or synthetic data only</t>
        </is>
      </c>
      <c r="O1" t="inlineStr">
        <is>
          <t>Fewer than 10 internal users; pilot</t>
        </is>
      </c>
      <c r="P1" t="inlineStr">
        <is>
          <t>Outputs are advisory drafts with no direct effect</t>
        </is>
      </c>
      <c r="Q1" t="inlineStr">
        <is>
          <t>No individuals affected</t>
        </is>
      </c>
      <c r="R1" t="inlineStr">
        <is>
          <t>Unregulated, non-critical activity</t>
        </is>
      </c>
      <c r="S1" t="inlineStr">
        <is>
          <t>Rules-based / deterministic automation</t>
        </is>
      </c>
      <c r="T1" t="inlineStr">
        <is>
          <t>Offline / isolated system</t>
        </is>
      </c>
      <c r="U1" t="inlineStr">
        <is>
          <t>Fully in-house model and infrastructure</t>
        </is>
      </c>
    </row>
    <row r="2">
      <c r="A2" t="inlineStr">
        <is>
          <t>No</t>
        </is>
      </c>
      <c r="B2" t="inlineStr">
        <is>
          <t>Unlikely</t>
        </is>
      </c>
      <c r="C2" t="inlineStr">
        <is>
          <t>Minor</t>
        </is>
      </c>
      <c r="D2" t="inlineStr">
        <is>
          <t>Satisfactory</t>
        </is>
      </c>
      <c r="E2" t="inlineStr">
        <is>
          <t>Mitigate</t>
        </is>
      </c>
      <c r="F2" t="inlineStr">
        <is>
          <t>Treatment planned</t>
        </is>
      </c>
      <c r="G2" t="inlineStr">
        <is>
          <t>Procurement</t>
        </is>
      </c>
      <c r="H2" t="inlineStr">
        <is>
          <t>Deployer (uses under own authority)</t>
        </is>
      </c>
      <c r="I2" t="inlineStr">
        <is>
          <t>Agentic AI</t>
        </is>
      </c>
      <c r="L2" t="inlineStr">
        <is>
          <t>Minor internal operational decisions; negligible effect on individuals</t>
        </is>
      </c>
      <c r="M2" t="inlineStr">
        <is>
          <t>AI recommends; a human reviews every output before use</t>
        </is>
      </c>
      <c r="N2" t="inlineStr">
        <is>
          <t>Internal, non-confidential business data</t>
        </is>
      </c>
      <c r="O2" t="inlineStr">
        <is>
          <t>Single team / department</t>
        </is>
      </c>
      <c r="P2" t="inlineStr">
        <is>
          <t>Errors easily corrected with no lasting impact</t>
        </is>
      </c>
      <c r="Q2" t="inlineStr">
        <is>
          <t>Staff only, with no vulnerability indicators</t>
        </is>
      </c>
      <c r="R2" t="inlineStr">
        <is>
          <t>General regulatory obligations only (e.g., data protection)</t>
        </is>
      </c>
      <c r="S2" t="inlineStr">
        <is>
          <t>Traditional interpretable ML (e.g., regression, decision trees)</t>
        </is>
      </c>
      <c r="T2" t="inlineStr">
        <is>
          <t>Internal users only, internal data sources</t>
        </is>
      </c>
      <c r="U2" t="inlineStr">
        <is>
          <t>In-house model on third-party cloud</t>
        </is>
      </c>
    </row>
    <row r="3">
      <c r="B3" t="inlineStr">
        <is>
          <t>Possible</t>
        </is>
      </c>
      <c r="C3" t="inlineStr">
        <is>
          <t>Moderate</t>
        </is>
      </c>
      <c r="D3" t="inlineStr">
        <is>
          <t>Needs improvement</t>
        </is>
      </c>
      <c r="E3" t="inlineStr">
        <is>
          <t>Transfer</t>
        </is>
      </c>
      <c r="F3" t="inlineStr">
        <is>
          <t>In progress</t>
        </is>
      </c>
      <c r="G3" t="inlineStr">
        <is>
          <t>Development</t>
        </is>
      </c>
      <c r="H3" t="inlineStr">
        <is>
          <t>Provider &amp; deployer</t>
        </is>
      </c>
      <c r="I3" t="inlineStr">
        <is>
          <t>Predictive / classification ML</t>
        </is>
      </c>
      <c r="L3" t="inlineStr">
        <is>
          <t>Influences decisions about individuals with limited, easily reversible effect</t>
        </is>
      </c>
      <c r="M3" t="inlineStr">
        <is>
          <t>AI recommends; humans review samples or exceptions only</t>
        </is>
      </c>
      <c r="N3" t="inlineStr">
        <is>
          <t>Confidential business or client data</t>
        </is>
      </c>
      <c r="O3" t="inlineStr">
        <is>
          <t>Organisation-wide internal use</t>
        </is>
      </c>
      <c r="P3" t="inlineStr">
        <is>
          <t>Errors correctable with moderate effort or inconvenience</t>
        </is>
      </c>
      <c r="Q3" t="inlineStr">
        <is>
          <t>General public / customers</t>
        </is>
      </c>
      <c r="R3" t="inlineStr">
        <is>
          <t>Regulated sector activity (e.g., banking, insurance, telecom, healthcare)</t>
        </is>
      </c>
      <c r="S3" t="inlineStr">
        <is>
          <t>Complex ML (e.g., gradient boosting, deep learning) with explainability tooling</t>
        </is>
      </c>
      <c r="T3" t="inlineStr">
        <is>
          <t>Consumes external content (web, email, documents) or external APIs</t>
        </is>
      </c>
      <c r="U3" t="inlineStr">
        <is>
          <t>Vendor model customised for the organisation</t>
        </is>
      </c>
    </row>
    <row r="4">
      <c r="B4" t="inlineStr">
        <is>
          <t>Likely</t>
        </is>
      </c>
      <c r="C4" t="inlineStr">
        <is>
          <t>Major</t>
        </is>
      </c>
      <c r="D4" t="inlineStr">
        <is>
          <t>Weak / None</t>
        </is>
      </c>
      <c r="E4" t="inlineStr">
        <is>
          <t>Accept</t>
        </is>
      </c>
      <c r="F4" t="inlineStr">
        <is>
          <t>Closed</t>
        </is>
      </c>
      <c r="G4" t="inlineStr">
        <is>
          <t>Pilot / validation</t>
        </is>
      </c>
      <c r="H4" t="inlineStr">
        <is>
          <t>Importer / distributor</t>
        </is>
      </c>
      <c r="I4" t="inlineStr">
        <is>
          <t>Computer vision / biometrics</t>
        </is>
      </c>
      <c r="L4" t="inlineStr">
        <is>
          <t>Materially influences decisions affecting individuals' access to services, employment or finances</t>
        </is>
      </c>
      <c r="M4" t="inlineStr">
        <is>
          <t>AI decides or acts automatically; humans can intervene after the fact</t>
        </is>
      </c>
      <c r="N4" t="inlineStr">
        <is>
          <t>Personal data</t>
        </is>
      </c>
      <c r="O4" t="inlineStr">
        <is>
          <t>External customers / public (up to 10,000 people)</t>
        </is>
      </c>
      <c r="P4" t="inlineStr">
        <is>
          <t>Errors difficult to reverse; lasting financial or reputational impact</t>
        </is>
      </c>
      <c r="Q4" t="inlineStr">
        <is>
          <t>Groups with some vulnerability (e.g., elderly, low digital literacy, migrant workers)</t>
        </is>
      </c>
      <c r="R4" t="inlineStr">
        <is>
          <t>Specific AI transparency or sector AI obligations apply (e.g., EU AI Act Art. 50, CBB requirements)</t>
        </is>
      </c>
      <c r="S4" t="inlineStr">
        <is>
          <t>Generative AI / LLM (third-party foundation model)</t>
        </is>
      </c>
      <c r="T4" t="inlineStr">
        <is>
          <t>Directly customer- or public-facing interface</t>
        </is>
      </c>
      <c r="U4" t="inlineStr">
        <is>
          <t>Commercial SaaS AI with limited visibility of model</t>
        </is>
      </c>
    </row>
    <row r="5">
      <c r="B5" t="inlineStr">
        <is>
          <t>Almost certain</t>
        </is>
      </c>
      <c r="C5" t="inlineStr">
        <is>
          <t>Severe</t>
        </is>
      </c>
      <c r="F5" t="inlineStr">
        <is>
          <t>Accepted</t>
        </is>
      </c>
      <c r="G5" t="inlineStr">
        <is>
          <t>Deployment</t>
        </is>
      </c>
      <c r="I5" t="inlineStr">
        <is>
          <t>Recommendation / personalisation</t>
        </is>
      </c>
      <c r="L5" t="inlineStr">
        <is>
          <t>Makes or determines decisions with legal or similarly significant effects (credit, hiring, eligibility, health, law enforcement)</t>
        </is>
      </c>
      <c r="M5" t="inlineStr">
        <is>
          <t>AI agent acts autonomously on systems / external parties with no practical real-time intervention</t>
        </is>
      </c>
      <c r="N5" t="inlineStr">
        <is>
          <t>Sensitive personal data (health, biometric, financial, children, criminal) or regulated/classified data</t>
        </is>
      </c>
      <c r="O5" t="inlineStr">
        <is>
          <t>Large-scale public or market-wide impact (&gt; 10,000 people)</t>
        </is>
      </c>
      <c r="P5" t="inlineStr">
        <is>
          <t>Irreversible harm possible (safety, liberty, significant financial loss)</t>
        </is>
      </c>
      <c r="Q5" t="inlineStr">
        <is>
          <t>Children, patients, persons in financial distress or other highly vulnerable persons</t>
        </is>
      </c>
      <c r="R5" t="inlineStr">
        <is>
          <t>High-risk AI classification (e.g., EU AI Act Annex III) or critical infrastructure</t>
        </is>
      </c>
      <c r="S5" t="inlineStr">
        <is>
          <t>Agentic or multi-model AI ecosystem, self-learning in production</t>
        </is>
      </c>
      <c r="T5" t="inlineStr">
        <is>
          <t>Public-facing and able to act on external systems / third parties</t>
        </is>
      </c>
      <c r="U5" t="inlineStr">
        <is>
          <t>Critical dependence on a single opaque third-party AI provider</t>
        </is>
      </c>
    </row>
    <row r="6">
      <c r="G6" t="inlineStr">
        <is>
          <t>Operation</t>
        </is>
      </c>
      <c r="I6" t="inlineStr">
        <is>
          <t>Robotic / intelligent process automation</t>
        </is>
      </c>
    </row>
    <row r="7">
      <c r="G7" t="inlineStr">
        <is>
          <t>Review</t>
        </is>
      </c>
      <c r="I7" t="inlineStr">
        <is>
          <t>Embedded AI in commercial software</t>
        </is>
      </c>
    </row>
    <row r="8">
      <c r="G8" t="inlineStr">
        <is>
          <t>Retirement</t>
        </is>
      </c>
      <c r="I8" t="inlineStr">
        <is>
          <t>Other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2026-09-26T12:14:26Z</dcterms:created>
  <dcterms:modified xmlns:dcterms="http://purl.org/dc/terms/" xmlns:xsi="http://www.w3.org/2001/XMLSchema-instance" xsi:type="dcterms:W3CDTF">2026-09-26T12:14:26Z</dcterms:modified>
</cp:coreProperties>
</file>