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Findings &amp; Remediation" sheetId="3" state="visible" r:id="rId3"/>
    <sheet xmlns:r="http://schemas.openxmlformats.org/officeDocument/2006/relationships" name="Sign-Off" sheetId="4" state="visible" r:id="rId4"/>
  </sheets>
  <definedNames>
    <definedName name="_xlnm.Print_Area" localSheetId="0">'Summary'!$A$1:$H$34</definedName>
    <definedName name="_xlnm._FilterDatabase" localSheetId="1" hidden="1">'Checklist'!$A$3:$H$137</definedName>
    <definedName name="_xlnm.Print_Titles" localSheetId="1">'Checklist'!$3:$3</definedName>
    <definedName name="_xlnm.Print_Area" localSheetId="1">'Checklist'!$A$1:$H$137</definedName>
    <definedName name="_xlnm.Print_Titles" localSheetId="2">'Findings &amp; Remediation'!$3:$3</definedName>
    <definedName name="_xlnm.Print_Area" localSheetId="2">'Findings &amp; Remediation'!$A$1:$J$128</definedName>
    <definedName name="_xlnm.Print_Area" localSheetId="3">'Sign-Off'!$A$1:$D$7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2D7F"/>
      <sz val="9.5"/>
    </font>
    <font>
      <b val="1"/>
      <color rgb="00000000"/>
      <sz val="9.5"/>
    </font>
    <font>
      <color rgb="00000000"/>
      <sz val="9.5"/>
    </font>
    <font>
      <b val="1"/>
      <color rgb="00FFFFFF"/>
      <sz val="9.5"/>
    </font>
    <font>
      <b val="1"/>
      <color rgb="00FFFFFF"/>
      <sz val="13"/>
    </font>
    <font>
      <b val="1"/>
      <color rgb="00FFFFFF"/>
      <sz val="10.5"/>
    </font>
    <font>
      <color rgb="00000000"/>
      <sz val="8.5"/>
    </font>
    <font>
      <color rgb="00C00000"/>
      <sz val="8.5"/>
    </font>
    <font>
      <b val="1"/>
      <color rgb="00000000"/>
      <sz val="12"/>
    </font>
    <font>
      <i val="1"/>
      <color rgb="00595959"/>
      <sz val="8.5"/>
    </font>
    <font>
      <b val="1"/>
      <color rgb="00FFFFFF"/>
      <sz val="12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EDE7F6"/>
      </patternFill>
    </fill>
    <fill>
      <patternFill patternType="solid">
        <fgColor rgb="00FFF9E6"/>
      </patternFill>
    </fill>
    <fill>
      <patternFill patternType="solid">
        <fgColor rgb="007B5BA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indent="1"/>
    </xf>
    <xf numFmtId="0" fontId="7" fillId="5" borderId="0" applyAlignment="1" pivotButton="0" quotePrefix="0" xfId="0">
      <alignment vertical="center" indent="1"/>
    </xf>
    <xf numFmtId="0" fontId="8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vertical="center" indent="1"/>
    </xf>
    <xf numFmtId="0" fontId="8" fillId="0" borderId="1" applyAlignment="1" pivotButton="0" quotePrefix="0" xfId="0">
      <alignment vertical="center" wrapText="1"/>
    </xf>
    <xf numFmtId="0" fontId="13" fillId="2" borderId="0" applyAlignment="1" pivotButton="0" quotePrefix="0" xfId="0">
      <alignment vertical="center" indent="1"/>
    </xf>
  </cellXfs>
  <cellStyles count="1">
    <cellStyle name="Normal" xfId="0" builtinId="0" hidden="0"/>
  </cellStyles>
  <dxfs count="6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E06666"/>
        </patternFill>
      </fill>
    </dxf>
    <dxf>
      <font>
        <color rgb="00A6A6A6"/>
      </font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 ht="36" customHeight="1">
      <c r="A1" s="1" t="inlineStr">
        <is>
          <t>GT AI SECURITY &amp; AGENT AUDIT CHECKLIST  v2.0</t>
        </is>
      </c>
    </row>
    <row r="2" ht="42" customHeight="1">
      <c r="A2" s="2" t="inlineStr">
        <is>
          <t>Consolidates the AI Security Audit Checklist v1.0 (85 items, numbering retained), ISACA 'Cybersecurity Recommendations for Securing AI Agents' (2026) and ISO/IEC 42001 AIMS checks. Every item maps to GT AI RCM v2.1 controls. One pass per AI system.</t>
        </is>
      </c>
    </row>
    <row r="4">
      <c r="A4" s="3" t="inlineStr">
        <is>
          <t>AI system name</t>
        </is>
      </c>
      <c r="B4" s="4" t="n"/>
      <c r="C4" s="5" t="n"/>
      <c r="D4" s="5" t="n"/>
      <c r="E4" s="5" t="n"/>
      <c r="F4" s="5" t="n"/>
      <c r="G4" s="5" t="n"/>
      <c r="H4" s="5" t="n"/>
    </row>
    <row r="5">
      <c r="A5" s="3" t="inlineStr">
        <is>
          <t>System owner</t>
        </is>
      </c>
      <c r="B5" s="4" t="n"/>
      <c r="C5" s="5" t="n"/>
      <c r="D5" s="5" t="n"/>
      <c r="E5" s="5" t="n"/>
      <c r="F5" s="5" t="n"/>
      <c r="G5" s="5" t="n"/>
      <c r="H5" s="5" t="n"/>
    </row>
    <row r="6">
      <c r="A6" s="3" t="inlineStr">
        <is>
          <t>Audit lead</t>
        </is>
      </c>
      <c r="B6" s="4" t="n"/>
      <c r="C6" s="5" t="n"/>
      <c r="D6" s="5" t="n"/>
      <c r="E6" s="5" t="n"/>
      <c r="F6" s="5" t="n"/>
      <c r="G6" s="5" t="n"/>
      <c r="H6" s="5" t="n"/>
    </row>
    <row r="7">
      <c r="A7" s="3" t="inlineStr">
        <is>
          <t>Audit date</t>
        </is>
      </c>
      <c r="B7" s="4" t="n"/>
      <c r="C7" s="5" t="n"/>
      <c r="D7" s="5" t="n"/>
      <c r="E7" s="5" t="n"/>
      <c r="F7" s="5" t="n"/>
      <c r="G7" s="5" t="n"/>
      <c r="H7" s="5" t="n"/>
    </row>
    <row r="8">
      <c r="A8" s="3" t="inlineStr">
        <is>
          <t>Audit type (Initial / Annual / Triggered / Pre-deployment)</t>
        </is>
      </c>
      <c r="B8" s="4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Agentic system? (Yes / No)</t>
        </is>
      </c>
      <c r="B9" s="4" t="n"/>
      <c r="C9" s="5" t="n"/>
      <c r="D9" s="5" t="n"/>
      <c r="E9" s="5" t="n"/>
      <c r="F9" s="5" t="n"/>
      <c r="G9" s="5" t="n"/>
      <c r="H9" s="5" t="n"/>
    </row>
    <row r="10">
      <c r="A10" s="3" t="inlineStr">
        <is>
          <t>Previous audit date</t>
        </is>
      </c>
      <c r="B10" s="4" t="n"/>
      <c r="C10" s="5" t="n"/>
      <c r="D10" s="5" t="n"/>
      <c r="E10" s="5" t="n"/>
      <c r="F10" s="5" t="n"/>
      <c r="G10" s="5" t="n"/>
      <c r="H10" s="5" t="n"/>
    </row>
    <row r="11">
      <c r="A11" s="3" t="inlineStr">
        <is>
          <t>Previous audit score</t>
        </is>
      </c>
      <c r="B11" s="4" t="n"/>
      <c r="C11" s="5" t="n"/>
      <c r="D11" s="5" t="n"/>
      <c r="E11" s="5" t="n"/>
      <c r="F11" s="5" t="n"/>
      <c r="G11" s="5" t="n"/>
      <c r="H11" s="5" t="n"/>
    </row>
    <row r="14" ht="28" customHeight="1">
      <c r="A14" s="6" t="inlineStr">
        <is>
          <t>Section</t>
        </is>
      </c>
      <c r="B14" s="6" t="inlineStr">
        <is>
          <t>Items</t>
        </is>
      </c>
      <c r="C14" s="6" t="inlineStr">
        <is>
          <t>Pass</t>
        </is>
      </c>
      <c r="D14" s="6" t="inlineStr">
        <is>
          <t>Fail</t>
        </is>
      </c>
      <c r="E14" s="6" t="inlineStr">
        <is>
          <t>N/A</t>
        </is>
      </c>
      <c r="F14" s="6" t="inlineStr">
        <is>
          <t>Not assessed</t>
        </is>
      </c>
      <c r="G14" s="6" t="inlineStr">
        <is>
          <t>Score</t>
        </is>
      </c>
      <c r="H14" s="6" t="inlineStr">
        <is>
          <t>Rating</t>
        </is>
      </c>
    </row>
    <row r="15">
      <c r="A15" s="7" t="inlineStr">
        <is>
          <t>3. Infrastructure Security</t>
        </is>
      </c>
      <c r="B15" s="8">
        <f>COUNTA(Checklist!A5:A21)</f>
        <v>17</v>
      </c>
      <c r="C15" s="8">
        <f>COUNTIF(Checklist!E5:E21,"Pass")</f>
        <v>0</v>
      </c>
      <c r="D15" s="8">
        <f>COUNTIF(Checklist!E5:E21,"Fail")</f>
        <v>0</v>
      </c>
      <c r="E15" s="8">
        <f>COUNTIF(Checklist!E5:E21,"N/A")</f>
        <v>0</v>
      </c>
      <c r="F15" s="8">
        <f>B15-C15-D15-E15</f>
        <v>17</v>
      </c>
      <c r="G15" s="9" t="str">
        <f>IF(C15+D15=0,"-",C15/(C15+D15))</f>
        <v>-</v>
      </c>
      <c r="H15" s="10" t="str">
        <f>IF(G15="-","-",IF(G15&gt;=0.9,"Low Risk",IF(G15&gt;=0.75,"Moderate Risk",IF(G15&gt;=0.6,"High Risk","Critical Risk"))))</f>
        <v>-</v>
      </c>
    </row>
    <row r="16">
      <c r="A16" s="7" t="inlineStr">
        <is>
          <t>4. Data Security</t>
        </is>
      </c>
      <c r="B16" s="8">
        <f>COUNTA(Checklist!A23:A37)</f>
        <v>15</v>
      </c>
      <c r="C16" s="8">
        <f>COUNTIF(Checklist!E23:E37,"Pass")</f>
        <v>0</v>
      </c>
      <c r="D16" s="8">
        <f>COUNTIF(Checklist!E23:E37,"Fail")</f>
        <v>0</v>
      </c>
      <c r="E16" s="8">
        <f>COUNTIF(Checklist!E23:E37,"N/A")</f>
        <v>0</v>
      </c>
      <c r="F16" s="8">
        <f>B16-C16-D16-E16</f>
        <v>15</v>
      </c>
      <c r="G16" s="9" t="str">
        <f>IF(C16+D16=0,"-",C16/(C16+D16))</f>
        <v>-</v>
      </c>
      <c r="H16" s="10" t="str">
        <f>IF(G16="-","-",IF(G16&gt;=0.9,"Low Risk",IF(G16&gt;=0.75,"Moderate Risk",IF(G16&gt;=0.6,"High Risk","Critical Risk"))))</f>
        <v>-</v>
      </c>
    </row>
    <row r="17">
      <c r="A17" s="7" t="inlineStr">
        <is>
          <t>5. Model Security</t>
        </is>
      </c>
      <c r="B17" s="8">
        <f>COUNTA(Checklist!A39:A56)</f>
        <v>18</v>
      </c>
      <c r="C17" s="8">
        <f>COUNTIF(Checklist!E39:E56,"Pass")</f>
        <v>0</v>
      </c>
      <c r="D17" s="8">
        <f>COUNTIF(Checklist!E39:E56,"Fail")</f>
        <v>0</v>
      </c>
      <c r="E17" s="8">
        <f>COUNTIF(Checklist!E39:E56,"N/A")</f>
        <v>0</v>
      </c>
      <c r="F17" s="8">
        <f>B17-C17-D17-E17</f>
        <v>18</v>
      </c>
      <c r="G17" s="9" t="str">
        <f>IF(C17+D17=0,"-",C17/(C17+D17))</f>
        <v>-</v>
      </c>
      <c r="H17" s="10" t="str">
        <f>IF(G17="-","-",IF(G17&gt;=0.9,"Low Risk",IF(G17&gt;=0.75,"Moderate Risk",IF(G17&gt;=0.6,"High Risk","Critical Risk"))))</f>
        <v>-</v>
      </c>
    </row>
    <row r="18">
      <c r="A18" s="7" t="inlineStr">
        <is>
          <t>6. Access Control</t>
        </is>
      </c>
      <c r="B18" s="8">
        <f>COUNTA(Checklist!A58:A65)</f>
        <v>8</v>
      </c>
      <c r="C18" s="8">
        <f>COUNTIF(Checklist!E58:E65,"Pass")</f>
        <v>0</v>
      </c>
      <c r="D18" s="8">
        <f>COUNTIF(Checklist!E58:E65,"Fail")</f>
        <v>0</v>
      </c>
      <c r="E18" s="8">
        <f>COUNTIF(Checklist!E58:E65,"N/A")</f>
        <v>0</v>
      </c>
      <c r="F18" s="8">
        <f>B18-C18-D18-E18</f>
        <v>8</v>
      </c>
      <c r="G18" s="9" t="str">
        <f>IF(C18+D18=0,"-",C18/(C18+D18))</f>
        <v>-</v>
      </c>
      <c r="H18" s="10" t="str">
        <f>IF(G18="-","-",IF(G18&gt;=0.9,"Low Risk",IF(G18&gt;=0.75,"Moderate Risk",IF(G18&gt;=0.6,"High Risk","Critical Risk"))))</f>
        <v>-</v>
      </c>
    </row>
    <row r="19">
      <c r="A19" s="7" t="inlineStr">
        <is>
          <t>7. Logging, Monitoring &amp; Incident Response</t>
        </is>
      </c>
      <c r="B19" s="8">
        <f>COUNTA(Checklist!A67:A81)</f>
        <v>15</v>
      </c>
      <c r="C19" s="8">
        <f>COUNTIF(Checklist!E67:E81,"Pass")</f>
        <v>0</v>
      </c>
      <c r="D19" s="8">
        <f>COUNTIF(Checklist!E67:E81,"Fail")</f>
        <v>0</v>
      </c>
      <c r="E19" s="8">
        <f>COUNTIF(Checklist!E67:E81,"N/A")</f>
        <v>0</v>
      </c>
      <c r="F19" s="8">
        <f>B19-C19-D19-E19</f>
        <v>15</v>
      </c>
      <c r="G19" s="9" t="str">
        <f>IF(C19+D19=0,"-",C19/(C19+D19))</f>
        <v>-</v>
      </c>
      <c r="H19" s="10" t="str">
        <f>IF(G19="-","-",IF(G19&gt;=0.9,"Low Risk",IF(G19&gt;=0.75,"Moderate Risk",IF(G19&gt;=0.6,"High Risk","Critical Risk"))))</f>
        <v>-</v>
      </c>
    </row>
    <row r="20">
      <c r="A20" s="7" t="inlineStr">
        <is>
          <t>8. Supply Chain Security</t>
        </is>
      </c>
      <c r="B20" s="8">
        <f>COUNTA(Checklist!A83:A88)</f>
        <v>6</v>
      </c>
      <c r="C20" s="8">
        <f>COUNTIF(Checklist!E83:E88,"Pass")</f>
        <v>0</v>
      </c>
      <c r="D20" s="8">
        <f>COUNTIF(Checklist!E83:E88,"Fail")</f>
        <v>0</v>
      </c>
      <c r="E20" s="8">
        <f>COUNTIF(Checklist!E83:E88,"N/A")</f>
        <v>0</v>
      </c>
      <c r="F20" s="8">
        <f>B20-C20-D20-E20</f>
        <v>6</v>
      </c>
      <c r="G20" s="9" t="str">
        <f>IF(C20+D20=0,"-",C20/(C20+D20))</f>
        <v>-</v>
      </c>
      <c r="H20" s="10" t="str">
        <f>IF(G20="-","-",IF(G20&gt;=0.9,"Low Risk",IF(G20&gt;=0.75,"Moderate Risk",IF(G20&gt;=0.6,"High Risk","Critical Risk"))))</f>
        <v>-</v>
      </c>
    </row>
    <row r="21">
      <c r="A21" s="7" t="inlineStr">
        <is>
          <t>9. Compliance &amp; Governance</t>
        </is>
      </c>
      <c r="B21" s="8">
        <f>COUNTA(Checklist!A90:A95)</f>
        <v>6</v>
      </c>
      <c r="C21" s="8">
        <f>COUNTIF(Checklist!E90:E95,"Pass")</f>
        <v>0</v>
      </c>
      <c r="D21" s="8">
        <f>COUNTIF(Checklist!E90:E95,"Fail")</f>
        <v>0</v>
      </c>
      <c r="E21" s="8">
        <f>COUNTIF(Checklist!E90:E95,"N/A")</f>
        <v>0</v>
      </c>
      <c r="F21" s="8">
        <f>B21-C21-D21-E21</f>
        <v>6</v>
      </c>
      <c r="G21" s="9" t="str">
        <f>IF(C21+D21=0,"-",C21/(C21+D21))</f>
        <v>-</v>
      </c>
      <c r="H21" s="10" t="str">
        <f>IF(G21="-","-",IF(G21&gt;=0.9,"Low Risk",IF(G21&gt;=0.75,"Moderate Risk",IF(G21&gt;=0.6,"High Risk","Critical Risk"))))</f>
        <v>-</v>
      </c>
    </row>
    <row r="22">
      <c r="A22" s="7" t="inlineStr">
        <is>
          <t>10. AI Agent Security (ISACA 2026)</t>
        </is>
      </c>
      <c r="B22" s="8">
        <f>COUNTA(Checklist!A97:A119)</f>
        <v>23</v>
      </c>
      <c r="C22" s="8">
        <f>COUNTIF(Checklist!E97:E119,"Pass")</f>
        <v>0</v>
      </c>
      <c r="D22" s="8">
        <f>COUNTIF(Checklist!E97:E119,"Fail")</f>
        <v>0</v>
      </c>
      <c r="E22" s="8">
        <f>COUNTIF(Checklist!E97:E119,"N/A")</f>
        <v>0</v>
      </c>
      <c r="F22" s="8">
        <f>B22-C22-D22-E22</f>
        <v>23</v>
      </c>
      <c r="G22" s="9" t="str">
        <f>IF(C22+D22=0,"-",C22/(C22+D22))</f>
        <v>-</v>
      </c>
      <c r="H22" s="10" t="str">
        <f>IF(G22="-","-",IF(G22&gt;=0.9,"Low Risk",IF(G22&gt;=0.75,"Moderate Risk",IF(G22&gt;=0.6,"High Risk","Critical Risk"))))</f>
        <v>-</v>
      </c>
    </row>
    <row r="23">
      <c r="A23" s="7" t="inlineStr">
        <is>
          <t>11. AI Management System (ISO/IEC 42001)</t>
        </is>
      </c>
      <c r="B23" s="8">
        <f>COUNTA(Checklist!A121:A137)</f>
        <v>17</v>
      </c>
      <c r="C23" s="8">
        <f>COUNTIF(Checklist!E121:E137,"Pass")</f>
        <v>0</v>
      </c>
      <c r="D23" s="8">
        <f>COUNTIF(Checklist!E121:E137,"Fail")</f>
        <v>0</v>
      </c>
      <c r="E23" s="8">
        <f>COUNTIF(Checklist!E121:E137,"N/A")</f>
        <v>0</v>
      </c>
      <c r="F23" s="8">
        <f>B23-C23-D23-E23</f>
        <v>17</v>
      </c>
      <c r="G23" s="9" t="str">
        <f>IF(C23+D23=0,"-",C23/(C23+D23))</f>
        <v>-</v>
      </c>
      <c r="H23" s="10" t="str">
        <f>IF(G23="-","-",IF(G23&gt;=0.9,"Low Risk",IF(G23&gt;=0.75,"Moderate Risk",IF(G23&gt;=0.6,"High Risk","Critical Risk"))))</f>
        <v>-</v>
      </c>
    </row>
    <row r="24">
      <c r="A24" s="3" t="inlineStr">
        <is>
          <t>OVERALL</t>
        </is>
      </c>
      <c r="B24" s="11">
        <f>SUM(B15:B23)</f>
        <v>125</v>
      </c>
      <c r="C24" s="11">
        <f>SUM(C15:C23)</f>
        <v>0</v>
      </c>
      <c r="D24" s="11">
        <f>SUM(D15:D23)</f>
        <v>0</v>
      </c>
      <c r="E24" s="11">
        <f>SUM(E15:E23)</f>
        <v>0</v>
      </c>
      <c r="F24" s="11">
        <f>SUM(F15:F23)</f>
        <v>125</v>
      </c>
      <c r="G24" s="12" t="str">
        <f>IF(C24+D24=0,"-",C24/(C24+D24))</f>
        <v>-</v>
      </c>
      <c r="H24" s="11" t="str">
        <f>IF(G24="-","-",IF(G24&gt;=0.9,"Low Risk",IF(G24&gt;=0.75,"Moderate Risk",IF(G24&gt;=0.6,"High Risk","Critical Risk"))))</f>
        <v>-</v>
      </c>
    </row>
    <row r="25">
      <c r="A25" s="7" t="inlineStr">
        <is>
          <t>Critical-risk items failed</t>
        </is>
      </c>
      <c r="B25" s="10">
        <f>COUNTIFS(Checklist!E5:E137,"Fail",Checklist!F5:F137,"Critical")</f>
        <v>0</v>
      </c>
      <c r="C25" s="13" t="str">
        <f>IF(B25&gt;0,"Any failed Critical item escalates the overall rating to Critical Risk regardless of score.","")</f>
        <v/>
      </c>
    </row>
    <row r="26">
      <c r="A26" s="14" t="inlineStr">
        <is>
          <t>FINAL RATING</t>
        </is>
      </c>
      <c r="B26" s="15" t="str">
        <f>IF(B25&gt;0,"Critical Risk",H24)</f>
        <v>-</v>
      </c>
    </row>
    <row r="28">
      <c r="A28" s="14" t="inlineStr">
        <is>
          <t>Score</t>
        </is>
      </c>
      <c r="B28" s="14" t="inlineStr">
        <is>
          <t>Rating</t>
        </is>
      </c>
      <c r="C28" s="14" t="inlineStr">
        <is>
          <t>Required action</t>
        </is>
      </c>
    </row>
    <row r="29">
      <c r="A29" s="8" t="inlineStr">
        <is>
          <t>90-100%</t>
        </is>
      </c>
      <c r="B29" s="16" t="inlineStr">
        <is>
          <t>Low Risk</t>
        </is>
      </c>
      <c r="C29" s="17" t="inlineStr">
        <is>
          <t>Annual re-audit</t>
        </is>
      </c>
    </row>
    <row r="30">
      <c r="A30" s="8" t="inlineStr">
        <is>
          <t>75-89%</t>
        </is>
      </c>
      <c r="B30" s="18" t="inlineStr">
        <is>
          <t>Moderate Risk</t>
        </is>
      </c>
      <c r="C30" s="17" t="inlineStr">
        <is>
          <t>Remediation within 90 days</t>
        </is>
      </c>
    </row>
    <row r="31">
      <c r="A31" s="8" t="inlineStr">
        <is>
          <t>60-74%</t>
        </is>
      </c>
      <c r="B31" s="19" t="inlineStr">
        <is>
          <t>High Risk</t>
        </is>
      </c>
      <c r="C31" s="17" t="inlineStr">
        <is>
          <t>Remediation within 30 days</t>
        </is>
      </c>
    </row>
    <row r="32">
      <c r="A32" s="8" t="inlineStr">
        <is>
          <t>Below 60%</t>
        </is>
      </c>
      <c r="B32" s="20" t="inlineStr">
        <is>
          <t>Critical Risk</t>
        </is>
      </c>
      <c r="C32" s="17" t="inlineStr">
        <is>
          <t>Immediate remediation; consider suspending the AI system</t>
        </is>
      </c>
    </row>
    <row r="34" ht="32" customHeight="1">
      <c r="A34" s="21" t="inlineStr">
        <is>
          <t>Score = Pass / (Pass + Fail); N/A excluded. Section 10 applies to agentic AI systems (mark N/A otherwise). Section 11 applies where the organisation operates or plans an ISO/IEC 42001 AI management system. Rating bands per AI Security Audit Checklist v1.0.</t>
        </is>
      </c>
    </row>
  </sheetData>
  <mergeCells count="18">
    <mergeCell ref="C25:H25"/>
    <mergeCell ref="B8:H8"/>
    <mergeCell ref="C32:H32"/>
    <mergeCell ref="B26:H26"/>
    <mergeCell ref="B9:H9"/>
    <mergeCell ref="C28:H28"/>
    <mergeCell ref="B4:H4"/>
    <mergeCell ref="A2:H2"/>
    <mergeCell ref="C31:H31"/>
    <mergeCell ref="B6:H6"/>
    <mergeCell ref="B7:H7"/>
    <mergeCell ref="A1:H1"/>
    <mergeCell ref="B10:H10"/>
    <mergeCell ref="B11:H11"/>
    <mergeCell ref="B5:H5"/>
    <mergeCell ref="C29:H29"/>
    <mergeCell ref="C30:H30"/>
    <mergeCell ref="A34:H34"/>
  </mergeCells>
  <conditionalFormatting sqref="H15:H24">
    <cfRule type="cellIs" priority="1" operator="equal" dxfId="0">
      <formula>"Low Risk"</formula>
    </cfRule>
    <cfRule type="cellIs" priority="3" operator="equal" dxfId="1">
      <formula>"Moderate Risk"</formula>
    </cfRule>
    <cfRule type="cellIs" priority="5" operator="equal" dxfId="2">
      <formula>"High Risk"</formula>
    </cfRule>
    <cfRule type="cellIs" priority="7" operator="equal" dxfId="3">
      <formula>"Critical Risk"</formula>
    </cfRule>
  </conditionalFormatting>
  <conditionalFormatting sqref="B26">
    <cfRule type="cellIs" priority="2" operator="equal" dxfId="0">
      <formula>"Low Risk"</formula>
    </cfRule>
    <cfRule type="cellIs" priority="4" operator="equal" dxfId="1">
      <formula>"Moderate Risk"</formula>
    </cfRule>
    <cfRule type="cellIs" priority="6" operator="equal" dxfId="2">
      <formula>"High Risk"</formula>
    </cfRule>
    <cfRule type="cellIs" priority="8" operator="equal" dxfId="3">
      <formula>"Critical Risk"</formula>
    </cfRule>
  </conditionalFormatting>
  <conditionalFormatting sqref="A22:H22">
    <cfRule type="expression" priority="9" dxfId="4">
      <formula>UPPER($B$9)="NO"</formula>
    </cfRule>
  </conditionalFormatting>
  <dataValidations count="2">
    <dataValidation sqref="B8" showDropDown="0" showInputMessage="0" showErrorMessage="0" allowBlank="0" type="list">
      <formula1>"Initial,Annual,Triggered,Pre-deployment"</formula1>
    </dataValidation>
    <dataValidation sqref="B9" showDropDown="0" showInputMessage="0" showErrorMessage="0" allowBlank="0" type="list">
      <formula1>"Yes,No"</formula1>
    </dataValidation>
  </dataValidations>
  <printOptions gridLines="0"/>
  <pageMargins left="0.4" right="0.4" top="0.6" bottom="0.6" header="0.25" footer="0.2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L13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16" customWidth="1" min="3" max="3"/>
    <col width="14" customWidth="1" min="4" max="4"/>
    <col width="12" customWidth="1" min="5" max="5"/>
    <col width="11" customWidth="1" min="6" max="6"/>
    <col width="34" customWidth="1" min="7" max="7"/>
    <col width="34" customWidth="1" min="8" max="8"/>
    <col hidden="1" width="13" customWidth="1" min="11" max="11"/>
    <col hidden="1" width="13" customWidth="1" min="12" max="12"/>
  </cols>
  <sheetData>
    <row r="1" ht="30" customHeight="1">
      <c r="A1" s="22" t="inlineStr">
        <is>
          <t>AUDIT CHECKLIST  -  select Status (Pass / Fail / N/A) and Risk for every item</t>
        </is>
      </c>
    </row>
    <row r="3" ht="26" customHeight="1">
      <c r="A3" s="6" t="inlineStr">
        <is>
          <t>#</t>
        </is>
      </c>
      <c r="B3" s="6" t="inlineStr">
        <is>
          <t>Control / check</t>
        </is>
      </c>
      <c r="C3" s="6" t="inlineStr">
        <is>
          <t>Source</t>
        </is>
      </c>
      <c r="D3" s="6" t="inlineStr">
        <is>
          <t>GT AI RCM v2.1</t>
        </is>
      </c>
      <c r="E3" s="6" t="inlineStr">
        <is>
          <t>Status</t>
        </is>
      </c>
      <c r="F3" s="6" t="inlineStr">
        <is>
          <t>Risk if failed</t>
        </is>
      </c>
      <c r="G3" s="6" t="inlineStr">
        <is>
          <t>Evidence reviewed</t>
        </is>
      </c>
      <c r="H3" s="6" t="inlineStr">
        <is>
          <t>Notes / finding</t>
        </is>
      </c>
    </row>
    <row r="4" ht="20" customHeight="1">
      <c r="A4" s="23" t="inlineStr">
        <is>
          <t>3. Infrastructure Security</t>
        </is>
      </c>
    </row>
    <row r="5" ht="20" customHeight="1">
      <c r="A5" s="10" t="inlineStr">
        <is>
          <t>3.1.1</t>
        </is>
      </c>
      <c r="B5" s="17" t="inlineStr">
        <is>
          <t>AI systems are segmented from the general network</t>
        </is>
      </c>
      <c r="C5" s="24" t="inlineStr">
        <is>
          <t>Audit Checklist v1.0</t>
        </is>
      </c>
      <c r="D5" s="24" t="inlineStr">
        <is>
          <t>SE-9, SE-5</t>
        </is>
      </c>
      <c r="E5" s="4" t="n"/>
      <c r="F5" s="4" t="n"/>
      <c r="G5" s="4" t="n"/>
      <c r="H5" s="4" t="n"/>
      <c r="K5" t="str">
        <f>IF(E5="Fail",COUNTIF($E$5:E5,"Fail"),"")</f>
        <v/>
      </c>
      <c r="L5" t="inlineStr">
        <is>
          <t>3. Infrastructure Security</t>
        </is>
      </c>
    </row>
    <row r="6" ht="20" customHeight="1">
      <c r="A6" s="10" t="inlineStr">
        <is>
          <t>3.1.2</t>
        </is>
      </c>
      <c r="B6" s="17" t="inlineStr">
        <is>
          <t>Firewall rules restrict AI system access</t>
        </is>
      </c>
      <c r="C6" s="24" t="inlineStr">
        <is>
          <t>Audit Checklist v1.0</t>
        </is>
      </c>
      <c r="D6" s="24" t="inlineStr">
        <is>
          <t>SE-5</t>
        </is>
      </c>
      <c r="E6" s="4" t="n"/>
      <c r="F6" s="4" t="n"/>
      <c r="G6" s="4" t="n"/>
      <c r="H6" s="4" t="n"/>
      <c r="K6" t="str">
        <f>IF(E6="Fail",COUNTIF($E$5:E6,"Fail"),"")</f>
        <v/>
      </c>
      <c r="L6" t="inlineStr">
        <is>
          <t>3. Infrastructure Security</t>
        </is>
      </c>
    </row>
    <row r="7" ht="20" customHeight="1">
      <c r="A7" s="10" t="inlineStr">
        <is>
          <t>3.1.3</t>
        </is>
      </c>
      <c r="B7" s="17" t="inlineStr">
        <is>
          <t>API endpoints are behind a WAF / API gateway</t>
        </is>
      </c>
      <c r="C7" s="24" t="inlineStr">
        <is>
          <t>Audit Checklist v1.0</t>
        </is>
      </c>
      <c r="D7" s="24" t="inlineStr">
        <is>
          <t>SE-10</t>
        </is>
      </c>
      <c r="E7" s="4" t="n"/>
      <c r="F7" s="4" t="n"/>
      <c r="G7" s="4" t="n"/>
      <c r="H7" s="4" t="n"/>
      <c r="K7" t="str">
        <f>IF(E7="Fail",COUNTIF($E$5:E7,"Fail"),"")</f>
        <v/>
      </c>
      <c r="L7" t="inlineStr">
        <is>
          <t>3. Infrastructure Security</t>
        </is>
      </c>
    </row>
    <row r="8" ht="20" customHeight="1">
      <c r="A8" s="10" t="inlineStr">
        <is>
          <t>3.1.4</t>
        </is>
      </c>
      <c r="B8" s="17" t="inlineStr">
        <is>
          <t>Internal AI services are not exposed to the internet</t>
        </is>
      </c>
      <c r="C8" s="24" t="inlineStr">
        <is>
          <t>Audit Checklist v1.0</t>
        </is>
      </c>
      <c r="D8" s="24" t="inlineStr">
        <is>
          <t>SE-5, SE-9</t>
        </is>
      </c>
      <c r="E8" s="4" t="n"/>
      <c r="F8" s="4" t="n"/>
      <c r="G8" s="4" t="n"/>
      <c r="H8" s="4" t="n"/>
      <c r="K8" t="str">
        <f>IF(E8="Fail",COUNTIF($E$5:E8,"Fail"),"")</f>
        <v/>
      </c>
      <c r="L8" t="inlineStr">
        <is>
          <t>3. Infrastructure Security</t>
        </is>
      </c>
    </row>
    <row r="9" ht="20" customHeight="1">
      <c r="A9" s="10" t="inlineStr">
        <is>
          <t>3.1.5</t>
        </is>
      </c>
      <c r="B9" s="17" t="inlineStr">
        <is>
          <t>Network traffic is monitored and logged</t>
        </is>
      </c>
      <c r="C9" s="24" t="inlineStr">
        <is>
          <t>Audit Checklist v1.0</t>
        </is>
      </c>
      <c r="D9" s="24" t="inlineStr">
        <is>
          <t>SE-5, OM-2</t>
        </is>
      </c>
      <c r="E9" s="4" t="n"/>
      <c r="F9" s="4" t="n"/>
      <c r="G9" s="4" t="n"/>
      <c r="H9" s="4" t="n"/>
      <c r="K9" t="str">
        <f>IF(E9="Fail",COUNTIF($E$5:E9,"Fail"),"")</f>
        <v/>
      </c>
      <c r="L9" t="inlineStr">
        <is>
          <t>3. Infrastructure Security</t>
        </is>
      </c>
    </row>
    <row r="10" ht="20" customHeight="1">
      <c r="A10" s="10" t="inlineStr">
        <is>
          <t>3.1.6</t>
        </is>
      </c>
      <c r="B10" s="17" t="inlineStr">
        <is>
          <t>DDoS protection is in place for AI endpoints</t>
        </is>
      </c>
      <c r="C10" s="24" t="inlineStr">
        <is>
          <t>Audit Checklist v1.0</t>
        </is>
      </c>
      <c r="D10" s="24" t="inlineStr">
        <is>
          <t>SE-5, OM-4</t>
        </is>
      </c>
      <c r="E10" s="4" t="n"/>
      <c r="F10" s="4" t="n"/>
      <c r="G10" s="4" t="n"/>
      <c r="H10" s="4" t="n"/>
      <c r="K10" t="str">
        <f>IF(E10="Fail",COUNTIF($E$5:E10,"Fail"),"")</f>
        <v/>
      </c>
      <c r="L10" t="inlineStr">
        <is>
          <t>3. Infrastructure Security</t>
        </is>
      </c>
    </row>
    <row r="11" ht="20" customHeight="1">
      <c r="A11" s="10" t="inlineStr">
        <is>
          <t>3.2.1</t>
        </is>
      </c>
      <c r="B11" s="17" t="inlineStr">
        <is>
          <t>GPU/TPU instances are hardened</t>
        </is>
      </c>
      <c r="C11" s="24" t="inlineStr">
        <is>
          <t>Audit Checklist v1.0</t>
        </is>
      </c>
      <c r="D11" s="24" t="inlineStr">
        <is>
          <t>SE-1, SE-9</t>
        </is>
      </c>
      <c r="E11" s="4" t="n"/>
      <c r="F11" s="4" t="n"/>
      <c r="G11" s="4" t="n"/>
      <c r="H11" s="4" t="n"/>
      <c r="K11" t="str">
        <f>IF(E11="Fail",COUNTIF($E$5:E11,"Fail"),"")</f>
        <v/>
      </c>
      <c r="L11" t="inlineStr">
        <is>
          <t>3. Infrastructure Security</t>
        </is>
      </c>
    </row>
    <row r="12" ht="20" customHeight="1">
      <c r="A12" s="10" t="inlineStr">
        <is>
          <t>3.2.2</t>
        </is>
      </c>
      <c r="B12" s="17" t="inlineStr">
        <is>
          <t>Container images are scanned for vulnerabilities</t>
        </is>
      </c>
      <c r="C12" s="24" t="inlineStr">
        <is>
          <t>Audit Checklist v1.0</t>
        </is>
      </c>
      <c r="D12" s="24" t="inlineStr">
        <is>
          <t>SE-3, SE-7</t>
        </is>
      </c>
      <c r="E12" s="4" t="n"/>
      <c r="F12" s="4" t="n"/>
      <c r="G12" s="4" t="n"/>
      <c r="H12" s="4" t="n"/>
      <c r="K12" t="str">
        <f>IF(E12="Fail",COUNTIF($E$5:E12,"Fail"),"")</f>
        <v/>
      </c>
      <c r="L12" t="inlineStr">
        <is>
          <t>3. Infrastructure Security</t>
        </is>
      </c>
    </row>
    <row r="13" ht="20" customHeight="1">
      <c r="A13" s="10" t="inlineStr">
        <is>
          <t>3.2.3</t>
        </is>
      </c>
      <c r="B13" s="17" t="inlineStr">
        <is>
          <t>Model-serving infrastructure is patched</t>
        </is>
      </c>
      <c r="C13" s="24" t="inlineStr">
        <is>
          <t>Audit Checklist v1.0</t>
        </is>
      </c>
      <c r="D13" s="24" t="inlineStr">
        <is>
          <t>SE-3</t>
        </is>
      </c>
      <c r="E13" s="4" t="n"/>
      <c r="F13" s="4" t="n"/>
      <c r="G13" s="4" t="n"/>
      <c r="H13" s="4" t="n"/>
      <c r="K13" t="str">
        <f>IF(E13="Fail",COUNTIF($E$5:E13,"Fail"),"")</f>
        <v/>
      </c>
      <c r="L13" t="inlineStr">
        <is>
          <t>3. Infrastructure Security</t>
        </is>
      </c>
    </row>
    <row r="14" ht="20" customHeight="1">
      <c r="A14" s="10" t="inlineStr">
        <is>
          <t>3.2.4</t>
        </is>
      </c>
      <c r="B14" s="17" t="inlineStr">
        <is>
          <t>Kubernetes / orchestration security is configured</t>
        </is>
      </c>
      <c r="C14" s="24" t="inlineStr">
        <is>
          <t>Audit Checklist v1.0</t>
        </is>
      </c>
      <c r="D14" s="24" t="inlineStr">
        <is>
          <t>SE-9</t>
        </is>
      </c>
      <c r="E14" s="4" t="n"/>
      <c r="F14" s="4" t="n"/>
      <c r="G14" s="4" t="n"/>
      <c r="H14" s="4" t="n"/>
      <c r="K14" t="str">
        <f>IF(E14="Fail",COUNTIF($E$5:E14,"Fail"),"")</f>
        <v/>
      </c>
      <c r="L14" t="inlineStr">
        <is>
          <t>3. Infrastructure Security</t>
        </is>
      </c>
    </row>
    <row r="15" ht="20" customHeight="1">
      <c r="A15" s="10" t="inlineStr">
        <is>
          <t>3.2.5</t>
        </is>
      </c>
      <c r="B15" s="17" t="inlineStr">
        <is>
          <t>Secrets management in place (no hard-coded credentials)</t>
        </is>
      </c>
      <c r="C15" s="24" t="inlineStr">
        <is>
          <t>Audit Checklist v1.0</t>
        </is>
      </c>
      <c r="D15" s="24" t="inlineStr">
        <is>
          <t>SE-8</t>
        </is>
      </c>
      <c r="E15" s="4" t="n"/>
      <c r="F15" s="4" t="n"/>
      <c r="G15" s="4" t="n"/>
      <c r="H15" s="4" t="n"/>
      <c r="K15" t="str">
        <f>IF(E15="Fail",COUNTIF($E$5:E15,"Fail"),"")</f>
        <v/>
      </c>
      <c r="L15" t="inlineStr">
        <is>
          <t>3. Infrastructure Security</t>
        </is>
      </c>
    </row>
    <row r="16" ht="20" customHeight="1">
      <c r="A16" s="10" t="inlineStr">
        <is>
          <t>3.2.6</t>
        </is>
      </c>
      <c r="B16" s="17" t="inlineStr">
        <is>
          <t>Resource limits prevent abuse (CPU, memory, GPU)</t>
        </is>
      </c>
      <c r="C16" s="24" t="inlineStr">
        <is>
          <t>Audit Checklist v1.0</t>
        </is>
      </c>
      <c r="D16" s="24" t="inlineStr">
        <is>
          <t>OM-4, SE-9</t>
        </is>
      </c>
      <c r="E16" s="4" t="n"/>
      <c r="F16" s="4" t="n"/>
      <c r="G16" s="4" t="n"/>
      <c r="H16" s="4" t="n"/>
      <c r="K16" t="str">
        <f>IF(E16="Fail",COUNTIF($E$5:E16,"Fail"),"")</f>
        <v/>
      </c>
      <c r="L16" t="inlineStr">
        <is>
          <t>3. Infrastructure Security</t>
        </is>
      </c>
    </row>
    <row r="17" ht="20" customHeight="1">
      <c r="A17" s="10" t="inlineStr">
        <is>
          <t>3.3.1</t>
        </is>
      </c>
      <c r="B17" s="17" t="inlineStr">
        <is>
          <t>Cloud IAM policies follow least privilege</t>
        </is>
      </c>
      <c r="C17" s="24" t="inlineStr">
        <is>
          <t>Audit Checklist v1.0</t>
        </is>
      </c>
      <c r="D17" s="24" t="inlineStr">
        <is>
          <t>SE-2</t>
        </is>
      </c>
      <c r="E17" s="4" t="n"/>
      <c r="F17" s="4" t="n"/>
      <c r="G17" s="4" t="n"/>
      <c r="H17" s="4" t="n"/>
      <c r="K17" t="str">
        <f>IF(E17="Fail",COUNTIF($E$5:E17,"Fail"),"")</f>
        <v/>
      </c>
      <c r="L17" t="inlineStr">
        <is>
          <t>3. Infrastructure Security</t>
        </is>
      </c>
    </row>
    <row r="18" ht="20" customHeight="1">
      <c r="A18" s="10" t="inlineStr">
        <is>
          <t>3.3.2</t>
        </is>
      </c>
      <c r="B18" s="17" t="inlineStr">
        <is>
          <t>Storage buckets holding training data are private</t>
        </is>
      </c>
      <c r="C18" s="24" t="inlineStr">
        <is>
          <t>Audit Checklist v1.0</t>
        </is>
      </c>
      <c r="D18" s="24" t="inlineStr">
        <is>
          <t>SE-4</t>
        </is>
      </c>
      <c r="E18" s="4" t="n"/>
      <c r="F18" s="4" t="n"/>
      <c r="G18" s="4" t="n"/>
      <c r="H18" s="4" t="n"/>
      <c r="K18" t="str">
        <f>IF(E18="Fail",COUNTIF($E$5:E18,"Fail"),"")</f>
        <v/>
      </c>
      <c r="L18" t="inlineStr">
        <is>
          <t>3. Infrastructure Security</t>
        </is>
      </c>
    </row>
    <row r="19" ht="20" customHeight="1">
      <c r="A19" s="10" t="inlineStr">
        <is>
          <t>3.3.3</t>
        </is>
      </c>
      <c r="B19" s="17" t="inlineStr">
        <is>
          <t>Cloud audit logging is enabled</t>
        </is>
      </c>
      <c r="C19" s="24" t="inlineStr">
        <is>
          <t>Audit Checklist v1.0</t>
        </is>
      </c>
      <c r="D19" s="24" t="inlineStr">
        <is>
          <t>OM-2</t>
        </is>
      </c>
      <c r="E19" s="4" t="n"/>
      <c r="F19" s="4" t="n"/>
      <c r="G19" s="4" t="n"/>
      <c r="H19" s="4" t="n"/>
      <c r="K19" t="str">
        <f>IF(E19="Fail",COUNTIF($E$5:E19,"Fail"),"")</f>
        <v/>
      </c>
      <c r="L19" t="inlineStr">
        <is>
          <t>3. Infrastructure Security</t>
        </is>
      </c>
    </row>
    <row r="20" ht="20" customHeight="1">
      <c r="A20" s="10" t="inlineStr">
        <is>
          <t>3.3.4</t>
        </is>
      </c>
      <c r="B20" s="17" t="inlineStr">
        <is>
          <t>Region / data-residency requirements are met (e.g., Bahrain PDPL, CBB)</t>
        </is>
      </c>
      <c r="C20" s="24" t="inlineStr">
        <is>
          <t>Audit Checklist v1.0</t>
        </is>
      </c>
      <c r="D20" s="24" t="inlineStr">
        <is>
          <t>PR-6</t>
        </is>
      </c>
      <c r="E20" s="4" t="n"/>
      <c r="F20" s="4" t="n"/>
      <c r="G20" s="4" t="n"/>
      <c r="H20" s="4" t="n"/>
      <c r="K20" t="str">
        <f>IF(E20="Fail",COUNTIF($E$5:E20,"Fail"),"")</f>
        <v/>
      </c>
      <c r="L20" t="inlineStr">
        <is>
          <t>3. Infrastructure Security</t>
        </is>
      </c>
    </row>
    <row r="21" ht="20" customHeight="1">
      <c r="A21" s="10" t="inlineStr">
        <is>
          <t>3.3.5</t>
        </is>
      </c>
      <c r="B21" s="17" t="inlineStr">
        <is>
          <t>Cloud security posture management is active</t>
        </is>
      </c>
      <c r="C21" s="24" t="inlineStr">
        <is>
          <t>Audit Checklist v1.0</t>
        </is>
      </c>
      <c r="D21" s="24" t="inlineStr">
        <is>
          <t>SE-1</t>
        </is>
      </c>
      <c r="E21" s="4" t="n"/>
      <c r="F21" s="4" t="n"/>
      <c r="G21" s="4" t="n"/>
      <c r="H21" s="4" t="n"/>
      <c r="K21" t="str">
        <f>IF(E21="Fail",COUNTIF($E$5:E21,"Fail"),"")</f>
        <v/>
      </c>
      <c r="L21" t="inlineStr">
        <is>
          <t>3. Infrastructure Security</t>
        </is>
      </c>
    </row>
    <row r="22" ht="20" customHeight="1">
      <c r="A22" s="23" t="inlineStr">
        <is>
          <t>4. Data Security</t>
        </is>
      </c>
      <c r="K22" t="str">
        <f>IF(E22="Fail",COUNTIF($E$5:E22,"Fail"),"")</f>
        <v/>
      </c>
    </row>
    <row r="23" ht="20" customHeight="1">
      <c r="A23" s="10" t="inlineStr">
        <is>
          <t>4.1.1</t>
        </is>
      </c>
      <c r="B23" s="17" t="inlineStr">
        <is>
          <t>Training data encrypted at rest (AES-256)</t>
        </is>
      </c>
      <c r="C23" s="24" t="inlineStr">
        <is>
          <t>Audit Checklist v1.0</t>
        </is>
      </c>
      <c r="D23" s="24" t="inlineStr">
        <is>
          <t>SE-4</t>
        </is>
      </c>
      <c r="E23" s="4" t="n"/>
      <c r="F23" s="4" t="n"/>
      <c r="G23" s="4" t="n"/>
      <c r="H23" s="4" t="n"/>
      <c r="K23" t="str">
        <f>IF(E23="Fail",COUNTIF($E$5:E23,"Fail"),"")</f>
        <v/>
      </c>
      <c r="L23" t="inlineStr">
        <is>
          <t>4. Data Security</t>
        </is>
      </c>
    </row>
    <row r="24" ht="20" customHeight="1">
      <c r="A24" s="10" t="inlineStr">
        <is>
          <t>4.1.2</t>
        </is>
      </c>
      <c r="B24" s="17" t="inlineStr">
        <is>
          <t>Model weights / artefacts encrypted at rest</t>
        </is>
      </c>
      <c r="C24" s="24" t="inlineStr">
        <is>
          <t>Audit Checklist v1.0</t>
        </is>
      </c>
      <c r="D24" s="24" t="inlineStr">
        <is>
          <t>SE-4, LC-13</t>
        </is>
      </c>
      <c r="E24" s="4" t="n"/>
      <c r="F24" s="4" t="n"/>
      <c r="G24" s="4" t="n"/>
      <c r="H24" s="4" t="n"/>
      <c r="K24" t="str">
        <f>IF(E24="Fail",COUNTIF($E$5:E24,"Fail"),"")</f>
        <v/>
      </c>
      <c r="L24" t="inlineStr">
        <is>
          <t>4. Data Security</t>
        </is>
      </c>
    </row>
    <row r="25" ht="20" customHeight="1">
      <c r="A25" s="10" t="inlineStr">
        <is>
          <t>4.1.3</t>
        </is>
      </c>
      <c r="B25" s="17" t="inlineStr">
        <is>
          <t>Inference logs encrypted at rest</t>
        </is>
      </c>
      <c r="C25" s="24" t="inlineStr">
        <is>
          <t>Audit Checklist v1.0</t>
        </is>
      </c>
      <c r="D25" s="24" t="inlineStr">
        <is>
          <t>SE-4, OM-2</t>
        </is>
      </c>
      <c r="E25" s="4" t="n"/>
      <c r="F25" s="4" t="n"/>
      <c r="G25" s="4" t="n"/>
      <c r="H25" s="4" t="n"/>
      <c r="K25" t="str">
        <f>IF(E25="Fail",COUNTIF($E$5:E25,"Fail"),"")</f>
        <v/>
      </c>
      <c r="L25" t="inlineStr">
        <is>
          <t>4. Data Security</t>
        </is>
      </c>
    </row>
    <row r="26" ht="20" customHeight="1">
      <c r="A26" s="10" t="inlineStr">
        <is>
          <t>4.1.4</t>
        </is>
      </c>
      <c r="B26" s="17" t="inlineStr">
        <is>
          <t>Encryption keys properly managed (KMS / HSM)</t>
        </is>
      </c>
      <c r="C26" s="24" t="inlineStr">
        <is>
          <t>Audit Checklist v1.0</t>
        </is>
      </c>
      <c r="D26" s="24" t="inlineStr">
        <is>
          <t>SE-4, SE-8</t>
        </is>
      </c>
      <c r="E26" s="4" t="n"/>
      <c r="F26" s="4" t="n"/>
      <c r="G26" s="4" t="n"/>
      <c r="H26" s="4" t="n"/>
      <c r="K26" t="str">
        <f>IF(E26="Fail",COUNTIF($E$5:E26,"Fail"),"")</f>
        <v/>
      </c>
      <c r="L26" t="inlineStr">
        <is>
          <t>4. Data Security</t>
        </is>
      </c>
    </row>
    <row r="27" ht="20" customHeight="1">
      <c r="A27" s="10" t="inlineStr">
        <is>
          <t>4.1.5</t>
        </is>
      </c>
      <c r="B27" s="17" t="inlineStr">
        <is>
          <t>Backup data encrypted</t>
        </is>
      </c>
      <c r="C27" s="24" t="inlineStr">
        <is>
          <t>Audit Checklist v1.0</t>
        </is>
      </c>
      <c r="D27" s="24" t="inlineStr">
        <is>
          <t>SE-4</t>
        </is>
      </c>
      <c r="E27" s="4" t="n"/>
      <c r="F27" s="4" t="n"/>
      <c r="G27" s="4" t="n"/>
      <c r="H27" s="4" t="n"/>
      <c r="K27" t="str">
        <f>IF(E27="Fail",COUNTIF($E$5:E27,"Fail"),"")</f>
        <v/>
      </c>
      <c r="L27" t="inlineStr">
        <is>
          <t>4. Data Security</t>
        </is>
      </c>
    </row>
    <row r="28" ht="20" customHeight="1">
      <c r="A28" s="10" t="inlineStr">
        <is>
          <t>4.2.1</t>
        </is>
      </c>
      <c r="B28" s="17" t="inlineStr">
        <is>
          <t>TLS 1.2+ for all AI API communications</t>
        </is>
      </c>
      <c r="C28" s="24" t="inlineStr">
        <is>
          <t>Audit Checklist v1.0</t>
        </is>
      </c>
      <c r="D28" s="24" t="inlineStr">
        <is>
          <t>SE-5</t>
        </is>
      </c>
      <c r="E28" s="4" t="n"/>
      <c r="F28" s="4" t="n"/>
      <c r="G28" s="4" t="n"/>
      <c r="H28" s="4" t="n"/>
      <c r="K28" t="str">
        <f>IF(E28="Fail",COUNTIF($E$5:E28,"Fail"),"")</f>
        <v/>
      </c>
      <c r="L28" t="inlineStr">
        <is>
          <t>4. Data Security</t>
        </is>
      </c>
    </row>
    <row r="29" ht="20" customHeight="1">
      <c r="A29" s="10" t="inlineStr">
        <is>
          <t>4.2.2</t>
        </is>
      </c>
      <c r="B29" s="17" t="inlineStr">
        <is>
          <t>Certificate management automated</t>
        </is>
      </c>
      <c r="C29" s="24" t="inlineStr">
        <is>
          <t>Audit Checklist v1.0</t>
        </is>
      </c>
      <c r="D29" s="24" t="inlineStr">
        <is>
          <t>SE-5</t>
        </is>
      </c>
      <c r="E29" s="4" t="n"/>
      <c r="F29" s="4" t="n"/>
      <c r="G29" s="4" t="n"/>
      <c r="H29" s="4" t="n"/>
      <c r="K29" t="str">
        <f>IF(E29="Fail",COUNTIF($E$5:E29,"Fail"),"")</f>
        <v/>
      </c>
      <c r="L29" t="inlineStr">
        <is>
          <t>4. Data Security</t>
        </is>
      </c>
    </row>
    <row r="30" ht="20" customHeight="1">
      <c r="A30" s="10" t="inlineStr">
        <is>
          <t>4.2.3</t>
        </is>
      </c>
      <c r="B30" s="17" t="inlineStr">
        <is>
          <t>Internal service-to-service encryption (mTLS)</t>
        </is>
      </c>
      <c r="C30" s="24" t="inlineStr">
        <is>
          <t>Audit Checklist v1.0</t>
        </is>
      </c>
      <c r="D30" s="24" t="inlineStr">
        <is>
          <t>SE-5</t>
        </is>
      </c>
      <c r="E30" s="4" t="n"/>
      <c r="F30" s="4" t="n"/>
      <c r="G30" s="4" t="n"/>
      <c r="H30" s="4" t="n"/>
      <c r="K30" t="str">
        <f>IF(E30="Fail",COUNTIF($E$5:E30,"Fail"),"")</f>
        <v/>
      </c>
      <c r="L30" t="inlineStr">
        <is>
          <t>4. Data Security</t>
        </is>
      </c>
    </row>
    <row r="31" ht="20" customHeight="1">
      <c r="A31" s="10" t="inlineStr">
        <is>
          <t>4.2.4</t>
        </is>
      </c>
      <c r="B31" s="17" t="inlineStr">
        <is>
          <t>Data transfers to / from vendors encrypted</t>
        </is>
      </c>
      <c r="C31" s="24" t="inlineStr">
        <is>
          <t>Audit Checklist v1.0</t>
        </is>
      </c>
      <c r="D31" s="24" t="inlineStr">
        <is>
          <t>SE-4, TP-3</t>
        </is>
      </c>
      <c r="E31" s="4" t="n"/>
      <c r="F31" s="4" t="n"/>
      <c r="G31" s="4" t="n"/>
      <c r="H31" s="4" t="n"/>
      <c r="K31" t="str">
        <f>IF(E31="Fail",COUNTIF($E$5:E31,"Fail"),"")</f>
        <v/>
      </c>
      <c r="L31" t="inlineStr">
        <is>
          <t>4. Data Security</t>
        </is>
      </c>
    </row>
    <row r="32" ht="20" customHeight="1">
      <c r="A32" s="10" t="inlineStr">
        <is>
          <t>4.3.1</t>
        </is>
      </c>
      <c r="B32" s="17" t="inlineStr">
        <is>
          <t>Data classification applied to AI datasets</t>
        </is>
      </c>
      <c r="C32" s="24" t="inlineStr">
        <is>
          <t>Audit Checklist v1.0</t>
        </is>
      </c>
      <c r="D32" s="24" t="inlineStr">
        <is>
          <t>LC-1, SE-4</t>
        </is>
      </c>
      <c r="E32" s="4" t="n"/>
      <c r="F32" s="4" t="n"/>
      <c r="G32" s="4" t="n"/>
      <c r="H32" s="4" t="n"/>
      <c r="K32" t="str">
        <f>IF(E32="Fail",COUNTIF($E$5:E32,"Fail"),"")</f>
        <v/>
      </c>
      <c r="L32" t="inlineStr">
        <is>
          <t>4. Data Security</t>
        </is>
      </c>
    </row>
    <row r="33" ht="20" customHeight="1">
      <c r="A33" s="10" t="inlineStr">
        <is>
          <t>4.3.2</t>
        </is>
      </c>
      <c r="B33" s="17" t="inlineStr">
        <is>
          <t>Data retention policies enforced (incl. prompts, outputs, AI logs)</t>
        </is>
      </c>
      <c r="C33" s="24" t="inlineStr">
        <is>
          <t>Audit Checklist v1.0</t>
        </is>
      </c>
      <c r="D33" s="24" t="inlineStr">
        <is>
          <t>PR-7</t>
        </is>
      </c>
      <c r="E33" s="4" t="n"/>
      <c r="F33" s="4" t="n"/>
      <c r="G33" s="4" t="n"/>
      <c r="H33" s="4" t="n"/>
      <c r="K33" t="str">
        <f>IF(E33="Fail",COUNTIF($E$5:E33,"Fail"),"")</f>
        <v/>
      </c>
      <c r="L33" t="inlineStr">
        <is>
          <t>4. Data Security</t>
        </is>
      </c>
    </row>
    <row r="34" ht="20" customHeight="1">
      <c r="A34" s="10" t="inlineStr">
        <is>
          <t>4.3.3</t>
        </is>
      </c>
      <c r="B34" s="17" t="inlineStr">
        <is>
          <t>Secure data deletion procedures followed</t>
        </is>
      </c>
      <c r="C34" s="24" t="inlineStr">
        <is>
          <t>Audit Checklist v1.0</t>
        </is>
      </c>
      <c r="D34" s="24" t="inlineStr">
        <is>
          <t>PR-2, LC-10</t>
        </is>
      </c>
      <c r="E34" s="4" t="n"/>
      <c r="F34" s="4" t="n"/>
      <c r="G34" s="4" t="n"/>
      <c r="H34" s="4" t="n"/>
      <c r="K34" t="str">
        <f>IF(E34="Fail",COUNTIF($E$5:E34,"Fail"),"")</f>
        <v/>
      </c>
      <c r="L34" t="inlineStr">
        <is>
          <t>4. Data Security</t>
        </is>
      </c>
    </row>
    <row r="35" ht="20" customHeight="1">
      <c r="A35" s="10" t="inlineStr">
        <is>
          <t>4.3.4</t>
        </is>
      </c>
      <c r="B35" s="17" t="inlineStr">
        <is>
          <t>Data lineage tracked for training datasets</t>
        </is>
      </c>
      <c r="C35" s="24" t="inlineStr">
        <is>
          <t>Audit Checklist v1.0</t>
        </is>
      </c>
      <c r="D35" s="24" t="inlineStr">
        <is>
          <t>LC-1</t>
        </is>
      </c>
      <c r="E35" s="4" t="n"/>
      <c r="F35" s="4" t="n"/>
      <c r="G35" s="4" t="n"/>
      <c r="H35" s="4" t="n"/>
      <c r="K35" t="str">
        <f>IF(E35="Fail",COUNTIF($E$5:E35,"Fail"),"")</f>
        <v/>
      </c>
      <c r="L35" t="inlineStr">
        <is>
          <t>4. Data Security</t>
        </is>
      </c>
    </row>
    <row r="36" ht="20" customHeight="1">
      <c r="A36" s="10" t="inlineStr">
        <is>
          <t>4.3.5</t>
        </is>
      </c>
      <c r="B36" s="17" t="inlineStr">
        <is>
          <t>PII minimisation applied before training</t>
        </is>
      </c>
      <c r="C36" s="24" t="inlineStr">
        <is>
          <t>Audit Checklist v1.0</t>
        </is>
      </c>
      <c r="D36" s="24" t="inlineStr">
        <is>
          <t>PR-4</t>
        </is>
      </c>
      <c r="E36" s="4" t="n"/>
      <c r="F36" s="4" t="n"/>
      <c r="G36" s="4" t="n"/>
      <c r="H36" s="4" t="n"/>
      <c r="K36" t="str">
        <f>IF(E36="Fail",COUNTIF($E$5:E36,"Fail"),"")</f>
        <v/>
      </c>
      <c r="L36" t="inlineStr">
        <is>
          <t>4. Data Security</t>
        </is>
      </c>
    </row>
    <row r="37" ht="20" customHeight="1">
      <c r="A37" s="10" t="inlineStr">
        <is>
          <t>4.3.6</t>
        </is>
      </c>
      <c r="B37" s="17" t="inlineStr">
        <is>
          <t>Data anonymisation / pseudonymisation verified</t>
        </is>
      </c>
      <c r="C37" s="24" t="inlineStr">
        <is>
          <t>Audit Checklist v1.0</t>
        </is>
      </c>
      <c r="D37" s="24" t="inlineStr">
        <is>
          <t>PR-4</t>
        </is>
      </c>
      <c r="E37" s="4" t="n"/>
      <c r="F37" s="4" t="n"/>
      <c r="G37" s="4" t="n"/>
      <c r="H37" s="4" t="n"/>
      <c r="K37" t="str">
        <f>IF(E37="Fail",COUNTIF($E$5:E37,"Fail"),"")</f>
        <v/>
      </c>
      <c r="L37" t="inlineStr">
        <is>
          <t>4. Data Security</t>
        </is>
      </c>
    </row>
    <row r="38" ht="20" customHeight="1">
      <c r="A38" s="23" t="inlineStr">
        <is>
          <t>5. Model Security</t>
        </is>
      </c>
      <c r="K38" t="str">
        <f>IF(E38="Fail",COUNTIF($E$5:E38,"Fail"),"")</f>
        <v/>
      </c>
    </row>
    <row r="39" ht="20" customHeight="1">
      <c r="A39" s="10" t="inlineStr">
        <is>
          <t>5.1.1</t>
        </is>
      </c>
      <c r="B39" s="17" t="inlineStr">
        <is>
          <t>Model artefacts stored in a secure registry</t>
        </is>
      </c>
      <c r="C39" s="24" t="inlineStr">
        <is>
          <t>Audit Checklist v1.0</t>
        </is>
      </c>
      <c r="D39" s="24" t="inlineStr">
        <is>
          <t>LC-13</t>
        </is>
      </c>
      <c r="E39" s="4" t="n"/>
      <c r="F39" s="4" t="n"/>
      <c r="G39" s="4" t="n"/>
      <c r="H39" s="4" t="n"/>
      <c r="K39" t="str">
        <f>IF(E39="Fail",COUNTIF($E$5:E39,"Fail"),"")</f>
        <v/>
      </c>
      <c r="L39" t="inlineStr">
        <is>
          <t>5. Model Security</t>
        </is>
      </c>
    </row>
    <row r="40" ht="20" customHeight="1">
      <c r="A40" s="10" t="inlineStr">
        <is>
          <t>5.1.2</t>
        </is>
      </c>
      <c r="B40" s="17" t="inlineStr">
        <is>
          <t>Model versioning with integrity checksums</t>
        </is>
      </c>
      <c r="C40" s="24" t="inlineStr">
        <is>
          <t>Audit Checklist v1.0</t>
        </is>
      </c>
      <c r="D40" s="24" t="inlineStr">
        <is>
          <t>LC-13</t>
        </is>
      </c>
      <c r="E40" s="4" t="n"/>
      <c r="F40" s="4" t="n"/>
      <c r="G40" s="4" t="n"/>
      <c r="H40" s="4" t="n"/>
      <c r="K40" t="str">
        <f>IF(E40="Fail",COUNTIF($E$5:E40,"Fail"),"")</f>
        <v/>
      </c>
      <c r="L40" t="inlineStr">
        <is>
          <t>5. Model Security</t>
        </is>
      </c>
    </row>
    <row r="41" ht="20" customHeight="1">
      <c r="A41" s="10" t="inlineStr">
        <is>
          <t>5.1.3</t>
        </is>
      </c>
      <c r="B41" s="17" t="inlineStr">
        <is>
          <t>Model signing / verification implemented</t>
        </is>
      </c>
      <c r="C41" s="24" t="inlineStr">
        <is>
          <t>Audit Checklist v1.0</t>
        </is>
      </c>
      <c r="D41" s="24" t="inlineStr">
        <is>
          <t>LC-13, SE-7</t>
        </is>
      </c>
      <c r="E41" s="4" t="n"/>
      <c r="F41" s="4" t="n"/>
      <c r="G41" s="4" t="n"/>
      <c r="H41" s="4" t="n"/>
      <c r="K41" t="str">
        <f>IF(E41="Fail",COUNTIF($E$5:E41,"Fail"),"")</f>
        <v/>
      </c>
      <c r="L41" t="inlineStr">
        <is>
          <t>5. Model Security</t>
        </is>
      </c>
    </row>
    <row r="42" ht="20" customHeight="1">
      <c r="A42" s="10" t="inlineStr">
        <is>
          <t>5.1.4</t>
        </is>
      </c>
      <c r="B42" s="17" t="inlineStr">
        <is>
          <t>Unauthorised model modifications are detectable</t>
        </is>
      </c>
      <c r="C42" s="24" t="inlineStr">
        <is>
          <t>Audit Checklist v1.0</t>
        </is>
      </c>
      <c r="D42" s="24" t="inlineStr">
        <is>
          <t>LC-13, LC-5</t>
        </is>
      </c>
      <c r="E42" s="4" t="n"/>
      <c r="F42" s="4" t="n"/>
      <c r="G42" s="4" t="n"/>
      <c r="H42" s="4" t="n"/>
      <c r="K42" t="str">
        <f>IF(E42="Fail",COUNTIF($E$5:E42,"Fail"),"")</f>
        <v/>
      </c>
      <c r="L42" t="inlineStr">
        <is>
          <t>5. Model Security</t>
        </is>
      </c>
    </row>
    <row r="43" ht="20" customHeight="1">
      <c r="A43" s="10" t="inlineStr">
        <is>
          <t>5.1.5</t>
        </is>
      </c>
      <c r="B43" s="17" t="inlineStr">
        <is>
          <t>Model rollback capability tested</t>
        </is>
      </c>
      <c r="C43" s="24" t="inlineStr">
        <is>
          <t>Audit Checklist v1.0</t>
        </is>
      </c>
      <c r="D43" s="24" t="inlineStr">
        <is>
          <t>LC-13, OM-4</t>
        </is>
      </c>
      <c r="E43" s="4" t="n"/>
      <c r="F43" s="4" t="n"/>
      <c r="G43" s="4" t="n"/>
      <c r="H43" s="4" t="n"/>
      <c r="K43" t="str">
        <f>IF(E43="Fail",COUNTIF($E$5:E43,"Fail"),"")</f>
        <v/>
      </c>
      <c r="L43" t="inlineStr">
        <is>
          <t>5. Model Security</t>
        </is>
      </c>
    </row>
    <row r="44" ht="20" customHeight="1">
      <c r="A44" s="10" t="inlineStr">
        <is>
          <t>5.2.1</t>
        </is>
      </c>
      <c r="B44" s="17" t="inlineStr">
        <is>
          <t>Prompt-injection testing conducted</t>
        </is>
      </c>
      <c r="C44" s="24" t="inlineStr">
        <is>
          <t>Audit Checklist v1.0</t>
        </is>
      </c>
      <c r="D44" s="24" t="inlineStr">
        <is>
          <t>SE-6, AA-3</t>
        </is>
      </c>
      <c r="E44" s="4" t="n"/>
      <c r="F44" s="4" t="n"/>
      <c r="G44" s="4" t="n"/>
      <c r="H44" s="4" t="n"/>
      <c r="K44" t="str">
        <f>IF(E44="Fail",COUNTIF($E$5:E44,"Fail"),"")</f>
        <v/>
      </c>
      <c r="L44" t="inlineStr">
        <is>
          <t>5. Model Security</t>
        </is>
      </c>
    </row>
    <row r="45" ht="20" customHeight="1">
      <c r="A45" s="10" t="inlineStr">
        <is>
          <t>5.2.2</t>
        </is>
      </c>
      <c r="B45" s="17" t="inlineStr">
        <is>
          <t>Jailbreak resistance verified</t>
        </is>
      </c>
      <c r="C45" s="24" t="inlineStr">
        <is>
          <t>Audit Checklist v1.0</t>
        </is>
      </c>
      <c r="D45" s="24" t="inlineStr">
        <is>
          <t>SE-6</t>
        </is>
      </c>
      <c r="E45" s="4" t="n"/>
      <c r="F45" s="4" t="n"/>
      <c r="G45" s="4" t="n"/>
      <c r="H45" s="4" t="n"/>
      <c r="K45" t="str">
        <f>IF(E45="Fail",COUNTIF($E$5:E45,"Fail"),"")</f>
        <v/>
      </c>
      <c r="L45" t="inlineStr">
        <is>
          <t>5. Model Security</t>
        </is>
      </c>
    </row>
    <row r="46" ht="20" customHeight="1">
      <c r="A46" s="10" t="inlineStr">
        <is>
          <t>5.2.3</t>
        </is>
      </c>
      <c r="B46" s="17" t="inlineStr">
        <is>
          <t>Data-poisoning defences in place</t>
        </is>
      </c>
      <c r="C46" s="24" t="inlineStr">
        <is>
          <t>Audit Checklist v1.0</t>
        </is>
      </c>
      <c r="D46" s="24" t="inlineStr">
        <is>
          <t>SE-6, LC-1</t>
        </is>
      </c>
      <c r="E46" s="4" t="n"/>
      <c r="F46" s="4" t="n"/>
      <c r="G46" s="4" t="n"/>
      <c r="H46" s="4" t="n"/>
      <c r="K46" t="str">
        <f>IF(E46="Fail",COUNTIF($E$5:E46,"Fail"),"")</f>
        <v/>
      </c>
      <c r="L46" t="inlineStr">
        <is>
          <t>5. Model Security</t>
        </is>
      </c>
    </row>
    <row r="47" ht="20" customHeight="1">
      <c r="A47" s="10" t="inlineStr">
        <is>
          <t>5.2.4</t>
        </is>
      </c>
      <c r="B47" s="17" t="inlineStr">
        <is>
          <t>Model-extraction attack resistance tested</t>
        </is>
      </c>
      <c r="C47" s="24" t="inlineStr">
        <is>
          <t>Audit Checklist v1.0</t>
        </is>
      </c>
      <c r="D47" s="24" t="inlineStr">
        <is>
          <t>SE-6</t>
        </is>
      </c>
      <c r="E47" s="4" t="n"/>
      <c r="F47" s="4" t="n"/>
      <c r="G47" s="4" t="n"/>
      <c r="H47" s="4" t="n"/>
      <c r="K47" t="str">
        <f>IF(E47="Fail",COUNTIF($E$5:E47,"Fail"),"")</f>
        <v/>
      </c>
      <c r="L47" t="inlineStr">
        <is>
          <t>5. Model Security</t>
        </is>
      </c>
    </row>
    <row r="48" ht="20" customHeight="1">
      <c r="A48" s="10" t="inlineStr">
        <is>
          <t>5.2.5</t>
        </is>
      </c>
      <c r="B48" s="17" t="inlineStr">
        <is>
          <t>Adversarial input detection implemented</t>
        </is>
      </c>
      <c r="C48" s="24" t="inlineStr">
        <is>
          <t>Audit Checklist v1.0</t>
        </is>
      </c>
      <c r="D48" s="24" t="inlineStr">
        <is>
          <t>SE-6</t>
        </is>
      </c>
      <c r="E48" s="4" t="n"/>
      <c r="F48" s="4" t="n"/>
      <c r="G48" s="4" t="n"/>
      <c r="H48" s="4" t="n"/>
      <c r="K48" t="str">
        <f>IF(E48="Fail",COUNTIF($E$5:E48,"Fail"),"")</f>
        <v/>
      </c>
      <c r="L48" t="inlineStr">
        <is>
          <t>5. Model Security</t>
        </is>
      </c>
    </row>
    <row r="49" ht="20" customHeight="1">
      <c r="A49" s="10" t="inlineStr">
        <is>
          <t>5.2.6</t>
        </is>
      </c>
      <c r="B49" s="17" t="inlineStr">
        <is>
          <t>Evasion attack testing conducted</t>
        </is>
      </c>
      <c r="C49" s="24" t="inlineStr">
        <is>
          <t>Audit Checklist v1.0</t>
        </is>
      </c>
      <c r="D49" s="24" t="inlineStr">
        <is>
          <t>SE-6, RS-3</t>
        </is>
      </c>
      <c r="E49" s="4" t="n"/>
      <c r="F49" s="4" t="n"/>
      <c r="G49" s="4" t="n"/>
      <c r="H49" s="4" t="n"/>
      <c r="K49" t="str">
        <f>IF(E49="Fail",COUNTIF($E$5:E49,"Fail"),"")</f>
        <v/>
      </c>
      <c r="L49" t="inlineStr">
        <is>
          <t>5. Model Security</t>
        </is>
      </c>
    </row>
    <row r="50" ht="20" customHeight="1">
      <c r="A50" s="10" t="inlineStr">
        <is>
          <t>5.2.7</t>
        </is>
      </c>
      <c r="B50" s="17" t="inlineStr">
        <is>
          <t>Output-manipulation resistance verified</t>
        </is>
      </c>
      <c r="C50" s="24" t="inlineStr">
        <is>
          <t>Audit Checklist v1.0</t>
        </is>
      </c>
      <c r="D50" s="24" t="inlineStr">
        <is>
          <t>SE-6</t>
        </is>
      </c>
      <c r="E50" s="4" t="n"/>
      <c r="F50" s="4" t="n"/>
      <c r="G50" s="4" t="n"/>
      <c r="H50" s="4" t="n"/>
      <c r="K50" t="str">
        <f>IF(E50="Fail",COUNTIF($E$5:E50,"Fail"),"")</f>
        <v/>
      </c>
      <c r="L50" t="inlineStr">
        <is>
          <t>5. Model Security</t>
        </is>
      </c>
    </row>
    <row r="51" ht="20" customHeight="1">
      <c r="A51" s="10" t="inlineStr">
        <is>
          <t>5.3.1</t>
        </is>
      </c>
      <c r="B51" s="17" t="inlineStr">
        <is>
          <t>Input validation and sanitisation</t>
        </is>
      </c>
      <c r="C51" s="24" t="inlineStr">
        <is>
          <t>Audit Checklist v1.0</t>
        </is>
      </c>
      <c r="D51" s="24" t="inlineStr">
        <is>
          <t>SE-6</t>
        </is>
      </c>
      <c r="E51" s="4" t="n"/>
      <c r="F51" s="4" t="n"/>
      <c r="G51" s="4" t="n"/>
      <c r="H51" s="4" t="n"/>
      <c r="K51" t="str">
        <f>IF(E51="Fail",COUNTIF($E$5:E51,"Fail"),"")</f>
        <v/>
      </c>
      <c r="L51" t="inlineStr">
        <is>
          <t>5. Model Security</t>
        </is>
      </c>
    </row>
    <row r="52" ht="20" customHeight="1">
      <c r="A52" s="10" t="inlineStr">
        <is>
          <t>5.3.2</t>
        </is>
      </c>
      <c r="B52" s="17" t="inlineStr">
        <is>
          <t>Input size limits enforced</t>
        </is>
      </c>
      <c r="C52" s="24" t="inlineStr">
        <is>
          <t>Audit Checklist v1.0</t>
        </is>
      </c>
      <c r="D52" s="24" t="inlineStr">
        <is>
          <t>SE-6, OM-4</t>
        </is>
      </c>
      <c r="E52" s="4" t="n"/>
      <c r="F52" s="4" t="n"/>
      <c r="G52" s="4" t="n"/>
      <c r="H52" s="4" t="n"/>
      <c r="K52" t="str">
        <f>IF(E52="Fail",COUNTIF($E$5:E52,"Fail"),"")</f>
        <v/>
      </c>
      <c r="L52" t="inlineStr">
        <is>
          <t>5. Model Security</t>
        </is>
      </c>
    </row>
    <row r="53" ht="20" customHeight="1">
      <c r="A53" s="10" t="inlineStr">
        <is>
          <t>5.3.3</t>
        </is>
      </c>
      <c r="B53" s="17" t="inlineStr">
        <is>
          <t>Output filtering for sensitive data</t>
        </is>
      </c>
      <c r="C53" s="24" t="inlineStr">
        <is>
          <t>Audit Checklist v1.0</t>
        </is>
      </c>
      <c r="D53" s="24" t="inlineStr">
        <is>
          <t>SE-6, PR-4</t>
        </is>
      </c>
      <c r="E53" s="4" t="n"/>
      <c r="F53" s="4" t="n"/>
      <c r="G53" s="4" t="n"/>
      <c r="H53" s="4" t="n"/>
      <c r="K53" t="str">
        <f>IF(E53="Fail",COUNTIF($E$5:E53,"Fail"),"")</f>
        <v/>
      </c>
      <c r="L53" t="inlineStr">
        <is>
          <t>5. Model Security</t>
        </is>
      </c>
    </row>
    <row r="54" ht="20" customHeight="1">
      <c r="A54" s="10" t="inlineStr">
        <is>
          <t>5.3.4</t>
        </is>
      </c>
      <c r="B54" s="17" t="inlineStr">
        <is>
          <t>Output content-safety filters active</t>
        </is>
      </c>
      <c r="C54" s="24" t="inlineStr">
        <is>
          <t>Audit Checklist v1.0</t>
        </is>
      </c>
      <c r="D54" s="24" t="inlineStr">
        <is>
          <t>SE-6, RS-2</t>
        </is>
      </c>
      <c r="E54" s="4" t="n"/>
      <c r="F54" s="4" t="n"/>
      <c r="G54" s="4" t="n"/>
      <c r="H54" s="4" t="n"/>
      <c r="K54" t="str">
        <f>IF(E54="Fail",COUNTIF($E$5:E54,"Fail"),"")</f>
        <v/>
      </c>
      <c r="L54" t="inlineStr">
        <is>
          <t>5. Model Security</t>
        </is>
      </c>
    </row>
    <row r="55" ht="20" customHeight="1">
      <c r="A55" s="10" t="inlineStr">
        <is>
          <t>5.3.5</t>
        </is>
      </c>
      <c r="B55" s="17" t="inlineStr">
        <is>
          <t>Rate limiting per user / session</t>
        </is>
      </c>
      <c r="C55" s="24" t="inlineStr">
        <is>
          <t>Audit Checklist v1.0</t>
        </is>
      </c>
      <c r="D55" s="24" t="inlineStr">
        <is>
          <t>OM-4</t>
        </is>
      </c>
      <c r="E55" s="4" t="n"/>
      <c r="F55" s="4" t="n"/>
      <c r="G55" s="4" t="n"/>
      <c r="H55" s="4" t="n"/>
      <c r="K55" t="str">
        <f>IF(E55="Fail",COUNTIF($E$5:E55,"Fail"),"")</f>
        <v/>
      </c>
      <c r="L55" t="inlineStr">
        <is>
          <t>5. Model Security</t>
        </is>
      </c>
    </row>
    <row r="56" ht="20" customHeight="1">
      <c r="A56" s="10" t="inlineStr">
        <is>
          <t>5.3.6</t>
        </is>
      </c>
      <c r="B56" s="17" t="inlineStr">
        <is>
          <t>Token / cost limits per request</t>
        </is>
      </c>
      <c r="C56" s="24" t="inlineStr">
        <is>
          <t>Audit Checklist v1.0</t>
        </is>
      </c>
      <c r="D56" s="24" t="inlineStr">
        <is>
          <t>OM-4</t>
        </is>
      </c>
      <c r="E56" s="4" t="n"/>
      <c r="F56" s="4" t="n"/>
      <c r="G56" s="4" t="n"/>
      <c r="H56" s="4" t="n"/>
      <c r="K56" t="str">
        <f>IF(E56="Fail",COUNTIF($E$5:E56,"Fail"),"")</f>
        <v/>
      </c>
      <c r="L56" t="inlineStr">
        <is>
          <t>5. Model Security</t>
        </is>
      </c>
    </row>
    <row r="57" ht="20" customHeight="1">
      <c r="A57" s="23" t="inlineStr">
        <is>
          <t>6. Access Control</t>
        </is>
      </c>
      <c r="K57" t="str">
        <f>IF(E57="Fail",COUNTIF($E$5:E57,"Fail"),"")</f>
        <v/>
      </c>
    </row>
    <row r="58" ht="20" customHeight="1">
      <c r="A58" s="10" t="inlineStr">
        <is>
          <t>6.1</t>
        </is>
      </c>
      <c r="B58" s="17" t="inlineStr">
        <is>
          <t>RBAC implemented for AI system access</t>
        </is>
      </c>
      <c r="C58" s="24" t="inlineStr">
        <is>
          <t>Audit Checklist v1.0</t>
        </is>
      </c>
      <c r="D58" s="24" t="inlineStr">
        <is>
          <t>SE-2</t>
        </is>
      </c>
      <c r="E58" s="4" t="n"/>
      <c r="F58" s="4" t="n"/>
      <c r="G58" s="4" t="n"/>
      <c r="H58" s="4" t="n"/>
      <c r="K58" t="str">
        <f>IF(E58="Fail",COUNTIF($E$5:E58,"Fail"),"")</f>
        <v/>
      </c>
      <c r="L58" t="inlineStr">
        <is>
          <t>6. Access Control</t>
        </is>
      </c>
    </row>
    <row r="59" ht="20" customHeight="1">
      <c r="A59" s="10" t="inlineStr">
        <is>
          <t>6.2</t>
        </is>
      </c>
      <c r="B59" s="17" t="inlineStr">
        <is>
          <t>MFA required for administrative access</t>
        </is>
      </c>
      <c r="C59" s="24" t="inlineStr">
        <is>
          <t>Audit Checklist v1.0</t>
        </is>
      </c>
      <c r="D59" s="24" t="inlineStr">
        <is>
          <t>SE-2</t>
        </is>
      </c>
      <c r="E59" s="4" t="n"/>
      <c r="F59" s="4" t="n"/>
      <c r="G59" s="4" t="n"/>
      <c r="H59" s="4" t="n"/>
      <c r="K59" t="str">
        <f>IF(E59="Fail",COUNTIF($E$5:E59,"Fail"),"")</f>
        <v/>
      </c>
      <c r="L59" t="inlineStr">
        <is>
          <t>6. Access Control</t>
        </is>
      </c>
    </row>
    <row r="60" ht="20" customHeight="1">
      <c r="A60" s="10" t="inlineStr">
        <is>
          <t>6.3</t>
        </is>
      </c>
      <c r="B60" s="17" t="inlineStr">
        <is>
          <t>API-key rotation policy enforced</t>
        </is>
      </c>
      <c r="C60" s="24" t="inlineStr">
        <is>
          <t>Audit Checklist v1.0</t>
        </is>
      </c>
      <c r="D60" s="24" t="inlineStr">
        <is>
          <t>SE-8</t>
        </is>
      </c>
      <c r="E60" s="4" t="n"/>
      <c r="F60" s="4" t="n"/>
      <c r="G60" s="4" t="n"/>
      <c r="H60" s="4" t="n"/>
      <c r="K60" t="str">
        <f>IF(E60="Fail",COUNTIF($E$5:E60,"Fail"),"")</f>
        <v/>
      </c>
      <c r="L60" t="inlineStr">
        <is>
          <t>6. Access Control</t>
        </is>
      </c>
    </row>
    <row r="61" ht="20" customHeight="1">
      <c r="A61" s="10" t="inlineStr">
        <is>
          <t>6.4</t>
        </is>
      </c>
      <c r="B61" s="17" t="inlineStr">
        <is>
          <t>Service-account permissions minimised</t>
        </is>
      </c>
      <c r="C61" s="24" t="inlineStr">
        <is>
          <t>Audit Checklist v1.0</t>
        </is>
      </c>
      <c r="D61" s="24" t="inlineStr">
        <is>
          <t>SE-2</t>
        </is>
      </c>
      <c r="E61" s="4" t="n"/>
      <c r="F61" s="4" t="n"/>
      <c r="G61" s="4" t="n"/>
      <c r="H61" s="4" t="n"/>
      <c r="K61" t="str">
        <f>IF(E61="Fail",COUNTIF($E$5:E61,"Fail"),"")</f>
        <v/>
      </c>
      <c r="L61" t="inlineStr">
        <is>
          <t>6. Access Control</t>
        </is>
      </c>
    </row>
    <row r="62" ht="20" customHeight="1">
      <c r="A62" s="10" t="inlineStr">
        <is>
          <t>6.5</t>
        </is>
      </c>
      <c r="B62" s="17" t="inlineStr">
        <is>
          <t>Access reviews conducted quarterly</t>
        </is>
      </c>
      <c r="C62" s="24" t="inlineStr">
        <is>
          <t>Audit Checklist v1.0</t>
        </is>
      </c>
      <c r="D62" s="24" t="inlineStr">
        <is>
          <t>SE-2</t>
        </is>
      </c>
      <c r="E62" s="4" t="n"/>
      <c r="F62" s="4" t="n"/>
      <c r="G62" s="4" t="n"/>
      <c r="H62" s="4" t="n"/>
      <c r="K62" t="str">
        <f>IF(E62="Fail",COUNTIF($E$5:E62,"Fail"),"")</f>
        <v/>
      </c>
      <c r="L62" t="inlineStr">
        <is>
          <t>6. Access Control</t>
        </is>
      </c>
    </row>
    <row r="63" ht="20" customHeight="1">
      <c r="A63" s="10" t="inlineStr">
        <is>
          <t>6.6</t>
        </is>
      </c>
      <c r="B63" s="17" t="inlineStr">
        <is>
          <t>Privileged access to training pipelines restricted</t>
        </is>
      </c>
      <c r="C63" s="24" t="inlineStr">
        <is>
          <t>Audit Checklist v1.0</t>
        </is>
      </c>
      <c r="D63" s="24" t="inlineStr">
        <is>
          <t>SE-2</t>
        </is>
      </c>
      <c r="E63" s="4" t="n"/>
      <c r="F63" s="4" t="n"/>
      <c r="G63" s="4" t="n"/>
      <c r="H63" s="4" t="n"/>
      <c r="K63" t="str">
        <f>IF(E63="Fail",COUNTIF($E$5:E63,"Fail"),"")</f>
        <v/>
      </c>
      <c r="L63" t="inlineStr">
        <is>
          <t>6. Access Control</t>
        </is>
      </c>
    </row>
    <row r="64" ht="20" customHeight="1">
      <c r="A64" s="10" t="inlineStr">
        <is>
          <t>6.7</t>
        </is>
      </c>
      <c r="B64" s="17" t="inlineStr">
        <is>
          <t>Model deployment requires an approval workflow</t>
        </is>
      </c>
      <c r="C64" s="24" t="inlineStr">
        <is>
          <t>Audit Checklist v1.0</t>
        </is>
      </c>
      <c r="D64" s="24" t="inlineStr">
        <is>
          <t>LC-5, LC-12</t>
        </is>
      </c>
      <c r="E64" s="4" t="n"/>
      <c r="F64" s="4" t="n"/>
      <c r="G64" s="4" t="n"/>
      <c r="H64" s="4" t="n"/>
      <c r="K64" t="str">
        <f>IF(E64="Fail",COUNTIF($E$5:E64,"Fail"),"")</f>
        <v/>
      </c>
      <c r="L64" t="inlineStr">
        <is>
          <t>6. Access Control</t>
        </is>
      </c>
    </row>
    <row r="65" ht="20" customHeight="1">
      <c r="A65" s="10" t="inlineStr">
        <is>
          <t>6.8</t>
        </is>
      </c>
      <c r="B65" s="17" t="inlineStr">
        <is>
          <t>SSO integration for AI platforms</t>
        </is>
      </c>
      <c r="C65" s="24" t="inlineStr">
        <is>
          <t>Audit Checklist v1.0</t>
        </is>
      </c>
      <c r="D65" s="24" t="inlineStr">
        <is>
          <t>SE-2</t>
        </is>
      </c>
      <c r="E65" s="4" t="n"/>
      <c r="F65" s="4" t="n"/>
      <c r="G65" s="4" t="n"/>
      <c r="H65" s="4" t="n"/>
      <c r="K65" t="str">
        <f>IF(E65="Fail",COUNTIF($E$5:E65,"Fail"),"")</f>
        <v/>
      </c>
      <c r="L65" t="inlineStr">
        <is>
          <t>6. Access Control</t>
        </is>
      </c>
    </row>
    <row r="66" ht="20" customHeight="1">
      <c r="A66" s="23" t="inlineStr">
        <is>
          <t>7. Logging, Monitoring &amp; Incident Response</t>
        </is>
      </c>
      <c r="K66" t="str">
        <f>IF(E66="Fail",COUNTIF($E$5:E66,"Fail"),"")</f>
        <v/>
      </c>
    </row>
    <row r="67" ht="20" customHeight="1">
      <c r="A67" s="10" t="inlineStr">
        <is>
          <t>7.1.1</t>
        </is>
      </c>
      <c r="B67" s="17" t="inlineStr">
        <is>
          <t>All AI API calls logged</t>
        </is>
      </c>
      <c r="C67" s="24" t="inlineStr">
        <is>
          <t>Audit Checklist v1.0</t>
        </is>
      </c>
      <c r="D67" s="24" t="inlineStr">
        <is>
          <t>OM-2</t>
        </is>
      </c>
      <c r="E67" s="4" t="n"/>
      <c r="F67" s="4" t="n"/>
      <c r="G67" s="4" t="n"/>
      <c r="H67" s="4" t="n"/>
      <c r="K67" t="str">
        <f>IF(E67="Fail",COUNTIF($E$5:E67,"Fail"),"")</f>
        <v/>
      </c>
      <c r="L67" t="inlineStr">
        <is>
          <t>7. Logging, Monitoring &amp; Incident Response</t>
        </is>
      </c>
    </row>
    <row r="68" ht="20" customHeight="1">
      <c r="A68" s="10" t="inlineStr">
        <is>
          <t>7.1.2</t>
        </is>
      </c>
      <c r="B68" s="17" t="inlineStr">
        <is>
          <t>Authentication events logged</t>
        </is>
      </c>
      <c r="C68" s="24" t="inlineStr">
        <is>
          <t>Audit Checklist v1.0</t>
        </is>
      </c>
      <c r="D68" s="24" t="inlineStr">
        <is>
          <t>OM-2, SE-2</t>
        </is>
      </c>
      <c r="E68" s="4" t="n"/>
      <c r="F68" s="4" t="n"/>
      <c r="G68" s="4" t="n"/>
      <c r="H68" s="4" t="n"/>
      <c r="K68" t="str">
        <f>IF(E68="Fail",COUNTIF($E$5:E68,"Fail"),"")</f>
        <v/>
      </c>
      <c r="L68" t="inlineStr">
        <is>
          <t>7. Logging, Monitoring &amp; Incident Response</t>
        </is>
      </c>
    </row>
    <row r="69" ht="20" customHeight="1">
      <c r="A69" s="10" t="inlineStr">
        <is>
          <t>7.1.3</t>
        </is>
      </c>
      <c r="B69" s="17" t="inlineStr">
        <is>
          <t>Model deployments / changes logged</t>
        </is>
      </c>
      <c r="C69" s="24" t="inlineStr">
        <is>
          <t>Audit Checklist v1.0</t>
        </is>
      </c>
      <c r="D69" s="24" t="inlineStr">
        <is>
          <t>OM-2, LC-5</t>
        </is>
      </c>
      <c r="E69" s="4" t="n"/>
      <c r="F69" s="4" t="n"/>
      <c r="G69" s="4" t="n"/>
      <c r="H69" s="4" t="n"/>
      <c r="K69" t="str">
        <f>IF(E69="Fail",COUNTIF($E$5:E69,"Fail"),"")</f>
        <v/>
      </c>
      <c r="L69" t="inlineStr">
        <is>
          <t>7. Logging, Monitoring &amp; Incident Response</t>
        </is>
      </c>
    </row>
    <row r="70" ht="20" customHeight="1">
      <c r="A70" s="10" t="inlineStr">
        <is>
          <t>7.1.4</t>
        </is>
      </c>
      <c r="B70" s="17" t="inlineStr">
        <is>
          <t>Data-access events logged</t>
        </is>
      </c>
      <c r="C70" s="24" t="inlineStr">
        <is>
          <t>Audit Checklist v1.0</t>
        </is>
      </c>
      <c r="D70" s="24" t="inlineStr">
        <is>
          <t>OM-2</t>
        </is>
      </c>
      <c r="E70" s="4" t="n"/>
      <c r="F70" s="4" t="n"/>
      <c r="G70" s="4" t="n"/>
      <c r="H70" s="4" t="n"/>
      <c r="K70" t="str">
        <f>IF(E70="Fail",COUNTIF($E$5:E70,"Fail"),"")</f>
        <v/>
      </c>
      <c r="L70" t="inlineStr">
        <is>
          <t>7. Logging, Monitoring &amp; Incident Response</t>
        </is>
      </c>
    </row>
    <row r="71" ht="20" customHeight="1">
      <c r="A71" s="10" t="inlineStr">
        <is>
          <t>7.1.5</t>
        </is>
      </c>
      <c r="B71" s="17" t="inlineStr">
        <is>
          <t>Log integrity protected (tamper-evident)</t>
        </is>
      </c>
      <c r="C71" s="24" t="inlineStr">
        <is>
          <t>Audit Checklist v1.0</t>
        </is>
      </c>
      <c r="D71" s="24" t="inlineStr">
        <is>
          <t>OM-2</t>
        </is>
      </c>
      <c r="E71" s="4" t="n"/>
      <c r="F71" s="4" t="n"/>
      <c r="G71" s="4" t="n"/>
      <c r="H71" s="4" t="n"/>
      <c r="K71" t="str">
        <f>IF(E71="Fail",COUNTIF($E$5:E71,"Fail"),"")</f>
        <v/>
      </c>
      <c r="L71" t="inlineStr">
        <is>
          <t>7. Logging, Monitoring &amp; Incident Response</t>
        </is>
      </c>
    </row>
    <row r="72" ht="20" customHeight="1">
      <c r="A72" s="10" t="inlineStr">
        <is>
          <t>7.1.6</t>
        </is>
      </c>
      <c r="B72" s="17" t="inlineStr">
        <is>
          <t>Log retention meets regulatory requirements</t>
        </is>
      </c>
      <c r="C72" s="24" t="inlineStr">
        <is>
          <t>Audit Checklist v1.0</t>
        </is>
      </c>
      <c r="D72" s="24" t="inlineStr">
        <is>
          <t>OM-2, RO-3</t>
        </is>
      </c>
      <c r="E72" s="4" t="n"/>
      <c r="F72" s="4" t="n"/>
      <c r="G72" s="4" t="n"/>
      <c r="H72" s="4" t="n"/>
      <c r="K72" t="str">
        <f>IF(E72="Fail",COUNTIF($E$5:E72,"Fail"),"")</f>
        <v/>
      </c>
      <c r="L72" t="inlineStr">
        <is>
          <t>7. Logging, Monitoring &amp; Incident Response</t>
        </is>
      </c>
    </row>
    <row r="73" ht="20" customHeight="1">
      <c r="A73" s="10" t="inlineStr">
        <is>
          <t>7.2.1</t>
        </is>
      </c>
      <c r="B73" s="17" t="inlineStr">
        <is>
          <t>Anomalous usage patterns detected</t>
        </is>
      </c>
      <c r="C73" s="24" t="inlineStr">
        <is>
          <t>Audit Checklist v1.0</t>
        </is>
      </c>
      <c r="D73" s="24" t="inlineStr">
        <is>
          <t>OM-1, AT-2</t>
        </is>
      </c>
      <c r="E73" s="4" t="n"/>
      <c r="F73" s="4" t="n"/>
      <c r="G73" s="4" t="n"/>
      <c r="H73" s="4" t="n"/>
      <c r="K73" t="str">
        <f>IF(E73="Fail",COUNTIF($E$5:E73,"Fail"),"")</f>
        <v/>
      </c>
      <c r="L73" t="inlineStr">
        <is>
          <t>7. Logging, Monitoring &amp; Incident Response</t>
        </is>
      </c>
    </row>
    <row r="74" ht="20" customHeight="1">
      <c r="A74" s="10" t="inlineStr">
        <is>
          <t>7.2.2</t>
        </is>
      </c>
      <c r="B74" s="17" t="inlineStr">
        <is>
          <t>Model performance-degradation alerts</t>
        </is>
      </c>
      <c r="C74" s="24" t="inlineStr">
        <is>
          <t>Audit Checklist v1.0</t>
        </is>
      </c>
      <c r="D74" s="24" t="inlineStr">
        <is>
          <t>OM-1</t>
        </is>
      </c>
      <c r="E74" s="4" t="n"/>
      <c r="F74" s="4" t="n"/>
      <c r="G74" s="4" t="n"/>
      <c r="H74" s="4" t="n"/>
      <c r="K74" t="str">
        <f>IF(E74="Fail",COUNTIF($E$5:E74,"Fail"),"")</f>
        <v/>
      </c>
      <c r="L74" t="inlineStr">
        <is>
          <t>7. Logging, Monitoring &amp; Incident Response</t>
        </is>
      </c>
    </row>
    <row r="75" ht="20" customHeight="1">
      <c r="A75" s="10" t="inlineStr">
        <is>
          <t>7.2.3</t>
        </is>
      </c>
      <c r="B75" s="17" t="inlineStr">
        <is>
          <t>Data-drift detection in place</t>
        </is>
      </c>
      <c r="C75" s="24" t="inlineStr">
        <is>
          <t>Audit Checklist v1.0</t>
        </is>
      </c>
      <c r="D75" s="24" t="inlineStr">
        <is>
          <t>OM-1</t>
        </is>
      </c>
      <c r="E75" s="4" t="n"/>
      <c r="F75" s="4" t="n"/>
      <c r="G75" s="4" t="n"/>
      <c r="H75" s="4" t="n"/>
      <c r="K75" t="str">
        <f>IF(E75="Fail",COUNTIF($E$5:E75,"Fail"),"")</f>
        <v/>
      </c>
      <c r="L75" t="inlineStr">
        <is>
          <t>7. Logging, Monitoring &amp; Incident Response</t>
        </is>
      </c>
    </row>
    <row r="76" ht="20" customHeight="1">
      <c r="A76" s="10" t="inlineStr">
        <is>
          <t>7.2.4</t>
        </is>
      </c>
      <c r="B76" s="17" t="inlineStr">
        <is>
          <t>Cost-anomaly detection active</t>
        </is>
      </c>
      <c r="C76" s="24" t="inlineStr">
        <is>
          <t>Audit Checklist v1.0</t>
        </is>
      </c>
      <c r="D76" s="24" t="inlineStr">
        <is>
          <t>OM-4, GL-6</t>
        </is>
      </c>
      <c r="E76" s="4" t="n"/>
      <c r="F76" s="4" t="n"/>
      <c r="G76" s="4" t="n"/>
      <c r="H76" s="4" t="n"/>
      <c r="K76" t="str">
        <f>IF(E76="Fail",COUNTIF($E$5:E76,"Fail"),"")</f>
        <v/>
      </c>
      <c r="L76" t="inlineStr">
        <is>
          <t>7. Logging, Monitoring &amp; Incident Response</t>
        </is>
      </c>
    </row>
    <row r="77" ht="20" customHeight="1">
      <c r="A77" s="10" t="inlineStr">
        <is>
          <t>7.2.5</t>
        </is>
      </c>
      <c r="B77" s="17" t="inlineStr">
        <is>
          <t>Security alert escalation procedures defined</t>
        </is>
      </c>
      <c r="C77" s="24" t="inlineStr">
        <is>
          <t>Audit Checklist v1.0</t>
        </is>
      </c>
      <c r="D77" s="24" t="inlineStr">
        <is>
          <t>IM-1</t>
        </is>
      </c>
      <c r="E77" s="4" t="n"/>
      <c r="F77" s="4" t="n"/>
      <c r="G77" s="4" t="n"/>
      <c r="H77" s="4" t="n"/>
      <c r="K77" t="str">
        <f>IF(E77="Fail",COUNTIF($E$5:E77,"Fail"),"")</f>
        <v/>
      </c>
      <c r="L77" t="inlineStr">
        <is>
          <t>7. Logging, Monitoring &amp; Incident Response</t>
        </is>
      </c>
    </row>
    <row r="78" ht="20" customHeight="1">
      <c r="A78" s="10" t="inlineStr">
        <is>
          <t>7.3.1</t>
        </is>
      </c>
      <c r="B78" s="17" t="inlineStr">
        <is>
          <t>AI-specific incident response plan exists</t>
        </is>
      </c>
      <c r="C78" s="24" t="inlineStr">
        <is>
          <t>Audit Checklist v1.0</t>
        </is>
      </c>
      <c r="D78" s="24" t="inlineStr">
        <is>
          <t>IM-1</t>
        </is>
      </c>
      <c r="E78" s="4" t="n"/>
      <c r="F78" s="4" t="n"/>
      <c r="G78" s="4" t="n"/>
      <c r="H78" s="4" t="n"/>
      <c r="K78" t="str">
        <f>IF(E78="Fail",COUNTIF($E$5:E78,"Fail"),"")</f>
        <v/>
      </c>
      <c r="L78" t="inlineStr">
        <is>
          <t>7. Logging, Monitoring &amp; Incident Response</t>
        </is>
      </c>
    </row>
    <row r="79" ht="20" customHeight="1">
      <c r="A79" s="10" t="inlineStr">
        <is>
          <t>7.3.2</t>
        </is>
      </c>
      <c r="B79" s="17" t="inlineStr">
        <is>
          <t>Incident response tested (tabletop exercises)</t>
        </is>
      </c>
      <c r="C79" s="24" t="inlineStr">
        <is>
          <t>Audit Checklist v1.0</t>
        </is>
      </c>
      <c r="D79" s="24" t="inlineStr">
        <is>
          <t>IM-1, IM-3</t>
        </is>
      </c>
      <c r="E79" s="4" t="n"/>
      <c r="F79" s="4" t="n"/>
      <c r="G79" s="4" t="n"/>
      <c r="H79" s="4" t="n"/>
      <c r="K79" t="str">
        <f>IF(E79="Fail",COUNTIF($E$5:E79,"Fail"),"")</f>
        <v/>
      </c>
      <c r="L79" t="inlineStr">
        <is>
          <t>7. Logging, Monitoring &amp; Incident Response</t>
        </is>
      </c>
    </row>
    <row r="80" ht="20" customHeight="1">
      <c r="A80" s="10" t="inlineStr">
        <is>
          <t>7.3.3</t>
        </is>
      </c>
      <c r="B80" s="17" t="inlineStr">
        <is>
          <t>Model kill switch / emergency shutdown tested</t>
        </is>
      </c>
      <c r="C80" s="24" t="inlineStr">
        <is>
          <t>Audit Checklist v1.0</t>
        </is>
      </c>
      <c r="D80" s="24" t="inlineStr">
        <is>
          <t>OM-4</t>
        </is>
      </c>
      <c r="E80" s="4" t="n"/>
      <c r="F80" s="4" t="n"/>
      <c r="G80" s="4" t="n"/>
      <c r="H80" s="4" t="n"/>
      <c r="K80" t="str">
        <f>IF(E80="Fail",COUNTIF($E$5:E80,"Fail"),"")</f>
        <v/>
      </c>
      <c r="L80" t="inlineStr">
        <is>
          <t>7. Logging, Monitoring &amp; Incident Response</t>
        </is>
      </c>
    </row>
    <row r="81" ht="20" customHeight="1">
      <c r="A81" s="10" t="inlineStr">
        <is>
          <t>7.3.4</t>
        </is>
      </c>
      <c r="B81" s="17" t="inlineStr">
        <is>
          <t>Communication plan for AI security incidents</t>
        </is>
      </c>
      <c r="C81" s="24" t="inlineStr">
        <is>
          <t>Audit Checklist v1.0</t>
        </is>
      </c>
      <c r="D81" s="24" t="inlineStr">
        <is>
          <t>IM-2</t>
        </is>
      </c>
      <c r="E81" s="4" t="n"/>
      <c r="F81" s="4" t="n"/>
      <c r="G81" s="4" t="n"/>
      <c r="H81" s="4" t="n"/>
      <c r="K81" t="str">
        <f>IF(E81="Fail",COUNTIF($E$5:E81,"Fail"),"")</f>
        <v/>
      </c>
      <c r="L81" t="inlineStr">
        <is>
          <t>7. Logging, Monitoring &amp; Incident Response</t>
        </is>
      </c>
    </row>
    <row r="82" ht="20" customHeight="1">
      <c r="A82" s="23" t="inlineStr">
        <is>
          <t>8. Supply Chain Security</t>
        </is>
      </c>
      <c r="K82" t="str">
        <f>IF(E82="Fail",COUNTIF($E$5:E82,"Fail"),"")</f>
        <v/>
      </c>
    </row>
    <row r="83" ht="20" customHeight="1">
      <c r="A83" s="10" t="inlineStr">
        <is>
          <t>8.1</t>
        </is>
      </c>
      <c r="B83" s="17" t="inlineStr">
        <is>
          <t>Third-party model provenance verified</t>
        </is>
      </c>
      <c r="C83" s="24" t="inlineStr">
        <is>
          <t>Audit Checklist v1.0</t>
        </is>
      </c>
      <c r="D83" s="24" t="inlineStr">
        <is>
          <t>SE-7, LC-6</t>
        </is>
      </c>
      <c r="E83" s="4" t="n"/>
      <c r="F83" s="4" t="n"/>
      <c r="G83" s="4" t="n"/>
      <c r="H83" s="4" t="n"/>
      <c r="K83" t="str">
        <f>IF(E83="Fail",COUNTIF($E$5:E83,"Fail"),"")</f>
        <v/>
      </c>
      <c r="L83" t="inlineStr">
        <is>
          <t>8. Supply Chain Security</t>
        </is>
      </c>
    </row>
    <row r="84" ht="20" customHeight="1">
      <c r="A84" s="10" t="inlineStr">
        <is>
          <t>8.2</t>
        </is>
      </c>
      <c r="B84" s="17" t="inlineStr">
        <is>
          <t>Open-source model vulnerability scanning</t>
        </is>
      </c>
      <c r="C84" s="24" t="inlineStr">
        <is>
          <t>Audit Checklist v1.0</t>
        </is>
      </c>
      <c r="D84" s="24" t="inlineStr">
        <is>
          <t>SE-7</t>
        </is>
      </c>
      <c r="E84" s="4" t="n"/>
      <c r="F84" s="4" t="n"/>
      <c r="G84" s="4" t="n"/>
      <c r="H84" s="4" t="n"/>
      <c r="K84" t="str">
        <f>IF(E84="Fail",COUNTIF($E$5:E84,"Fail"),"")</f>
        <v/>
      </c>
      <c r="L84" t="inlineStr">
        <is>
          <t>8. Supply Chain Security</t>
        </is>
      </c>
    </row>
    <row r="85" ht="20" customHeight="1">
      <c r="A85" s="10" t="inlineStr">
        <is>
          <t>8.3</t>
        </is>
      </c>
      <c r="B85" s="17" t="inlineStr">
        <is>
          <t>ML library dependencies tracked (SBOM / AI-BOM)</t>
        </is>
      </c>
      <c r="C85" s="24" t="inlineStr">
        <is>
          <t>Audit Checklist v1.0</t>
        </is>
      </c>
      <c r="D85" s="24" t="inlineStr">
        <is>
          <t>SE-7</t>
        </is>
      </c>
      <c r="E85" s="4" t="n"/>
      <c r="F85" s="4" t="n"/>
      <c r="G85" s="4" t="n"/>
      <c r="H85" s="4" t="n"/>
      <c r="K85" t="str">
        <f>IF(E85="Fail",COUNTIF($E$5:E85,"Fail"),"")</f>
        <v/>
      </c>
      <c r="L85" t="inlineStr">
        <is>
          <t>8. Supply Chain Security</t>
        </is>
      </c>
    </row>
    <row r="86" ht="20" customHeight="1">
      <c r="A86" s="10" t="inlineStr">
        <is>
          <t>8.4</t>
        </is>
      </c>
      <c r="B86" s="17" t="inlineStr">
        <is>
          <t>Pre-trained model integrity verified</t>
        </is>
      </c>
      <c r="C86" s="24" t="inlineStr">
        <is>
          <t>Audit Checklist v1.0</t>
        </is>
      </c>
      <c r="D86" s="24" t="inlineStr">
        <is>
          <t>SE-7, LC-13</t>
        </is>
      </c>
      <c r="E86" s="4" t="n"/>
      <c r="F86" s="4" t="n"/>
      <c r="G86" s="4" t="n"/>
      <c r="H86" s="4" t="n"/>
      <c r="K86" t="str">
        <f>IF(E86="Fail",COUNTIF($E$5:E86,"Fail"),"")</f>
        <v/>
      </c>
      <c r="L86" t="inlineStr">
        <is>
          <t>8. Supply Chain Security</t>
        </is>
      </c>
    </row>
    <row r="87" ht="20" customHeight="1">
      <c r="A87" s="10" t="inlineStr">
        <is>
          <t>8.5</t>
        </is>
      </c>
      <c r="B87" s="17" t="inlineStr">
        <is>
          <t>Vendor security assessments current</t>
        </is>
      </c>
      <c r="C87" s="24" t="inlineStr">
        <is>
          <t>Audit Checklist v1.0</t>
        </is>
      </c>
      <c r="D87" s="24" t="inlineStr">
        <is>
          <t>TP-2, TP-3</t>
        </is>
      </c>
      <c r="E87" s="4" t="n"/>
      <c r="F87" s="4" t="n"/>
      <c r="G87" s="4" t="n"/>
      <c r="H87" s="4" t="n"/>
      <c r="K87" t="str">
        <f>IF(E87="Fail",COUNTIF($E$5:E87,"Fail"),"")</f>
        <v/>
      </c>
      <c r="L87" t="inlineStr">
        <is>
          <t>8. Supply Chain Security</t>
        </is>
      </c>
    </row>
    <row r="88" ht="20" customHeight="1">
      <c r="A88" s="10" t="inlineStr">
        <is>
          <t>8.6</t>
        </is>
      </c>
      <c r="B88" s="17" t="inlineStr">
        <is>
          <t>Dataset provenance and licensing verified</t>
        </is>
      </c>
      <c r="C88" s="24" t="inlineStr">
        <is>
          <t>Audit Checklist v1.0</t>
        </is>
      </c>
      <c r="D88" s="24" t="inlineStr">
        <is>
          <t>LC-11</t>
        </is>
      </c>
      <c r="E88" s="4" t="n"/>
      <c r="F88" s="4" t="n"/>
      <c r="G88" s="4" t="n"/>
      <c r="H88" s="4" t="n"/>
      <c r="K88" t="str">
        <f>IF(E88="Fail",COUNTIF($E$5:E88,"Fail"),"")</f>
        <v/>
      </c>
      <c r="L88" t="inlineStr">
        <is>
          <t>8. Supply Chain Security</t>
        </is>
      </c>
    </row>
    <row r="89" ht="20" customHeight="1">
      <c r="A89" s="23" t="inlineStr">
        <is>
          <t>9. Compliance &amp; Governance</t>
        </is>
      </c>
      <c r="K89" t="str">
        <f>IF(E89="Fail",COUNTIF($E$5:E89,"Fail"),"")</f>
        <v/>
      </c>
    </row>
    <row r="90" ht="20" customHeight="1">
      <c r="A90" s="10" t="inlineStr">
        <is>
          <t>9.1</t>
        </is>
      </c>
      <c r="B90" s="17" t="inlineStr">
        <is>
          <t>AI inventory / registry maintained</t>
        </is>
      </c>
      <c r="C90" s="24" t="inlineStr">
        <is>
          <t>Audit Checklist v1.0</t>
        </is>
      </c>
      <c r="D90" s="24" t="inlineStr">
        <is>
          <t>GL-8</t>
        </is>
      </c>
      <c r="E90" s="4" t="n"/>
      <c r="F90" s="4" t="n"/>
      <c r="G90" s="4" t="n"/>
      <c r="H90" s="4" t="n"/>
      <c r="K90" t="str">
        <f>IF(E90="Fail",COUNTIF($E$5:E90,"Fail"),"")</f>
        <v/>
      </c>
      <c r="L90" t="inlineStr">
        <is>
          <t>9. Compliance &amp; Governance</t>
        </is>
      </c>
    </row>
    <row r="91" ht="30" customHeight="1">
      <c r="A91" s="10" t="inlineStr">
        <is>
          <t>9.2</t>
        </is>
      </c>
      <c r="B91" s="17" t="inlineStr">
        <is>
          <t>Risk classification assigned (EU AI Act where applicable; GT risk tier)</t>
        </is>
      </c>
      <c r="C91" s="24" t="inlineStr">
        <is>
          <t>Audit Checklist v1.0</t>
        </is>
      </c>
      <c r="D91" s="24" t="inlineStr">
        <is>
          <t>RM-5</t>
        </is>
      </c>
      <c r="E91" s="4" t="n"/>
      <c r="F91" s="4" t="n"/>
      <c r="G91" s="4" t="n"/>
      <c r="H91" s="4" t="n"/>
      <c r="K91" t="str">
        <f>IF(E91="Fail",COUNTIF($E$5:E91,"Fail"),"")</f>
        <v/>
      </c>
      <c r="L91" t="inlineStr">
        <is>
          <t>9. Compliance &amp; Governance</t>
        </is>
      </c>
    </row>
    <row r="92" ht="20" customHeight="1">
      <c r="A92" s="10" t="inlineStr">
        <is>
          <t>9.3</t>
        </is>
      </c>
      <c r="B92" s="17" t="inlineStr">
        <is>
          <t>Data protection impact assessment (DPIA) completed</t>
        </is>
      </c>
      <c r="C92" s="24" t="inlineStr">
        <is>
          <t>Audit Checklist v1.0</t>
        </is>
      </c>
      <c r="D92" s="24" t="inlineStr">
        <is>
          <t>PR-1</t>
        </is>
      </c>
      <c r="E92" s="4" t="n"/>
      <c r="F92" s="4" t="n"/>
      <c r="G92" s="4" t="n"/>
      <c r="H92" s="4" t="n"/>
      <c r="K92" t="str">
        <f>IF(E92="Fail",COUNTIF($E$5:E92,"Fail"),"")</f>
        <v/>
      </c>
      <c r="L92" t="inlineStr">
        <is>
          <t>9. Compliance &amp; Governance</t>
        </is>
      </c>
    </row>
    <row r="93" ht="20" customHeight="1">
      <c r="A93" s="10" t="inlineStr">
        <is>
          <t>9.4</t>
        </is>
      </c>
      <c r="B93" s="17" t="inlineStr">
        <is>
          <t>AI ethics review conducted</t>
        </is>
      </c>
      <c r="C93" s="24" t="inlineStr">
        <is>
          <t>Audit Checklist v1.0</t>
        </is>
      </c>
      <c r="D93" s="24" t="inlineStr">
        <is>
          <t>GL-7</t>
        </is>
      </c>
      <c r="E93" s="4" t="n"/>
      <c r="F93" s="4" t="n"/>
      <c r="G93" s="4" t="n"/>
      <c r="H93" s="4" t="n"/>
      <c r="K93" t="str">
        <f>IF(E93="Fail",COUNTIF($E$5:E93,"Fail"),"")</f>
        <v/>
      </c>
      <c r="L93" t="inlineStr">
        <is>
          <t>9. Compliance &amp; Governance</t>
        </is>
      </c>
    </row>
    <row r="94" ht="20" customHeight="1">
      <c r="A94" s="10" t="inlineStr">
        <is>
          <t>9.5</t>
        </is>
      </c>
      <c r="B94" s="17" t="inlineStr">
        <is>
          <t>Documentation meets regulatory requirements</t>
        </is>
      </c>
      <c r="C94" s="24" t="inlineStr">
        <is>
          <t>Audit Checklist v1.0</t>
        </is>
      </c>
      <c r="D94" s="24" t="inlineStr">
        <is>
          <t>LC-4, RO-3</t>
        </is>
      </c>
      <c r="E94" s="4" t="n"/>
      <c r="F94" s="4" t="n"/>
      <c r="G94" s="4" t="n"/>
      <c r="H94" s="4" t="n"/>
      <c r="K94" t="str">
        <f>IF(E94="Fail",COUNTIF($E$5:E94,"Fail"),"")</f>
        <v/>
      </c>
      <c r="L94" t="inlineStr">
        <is>
          <t>9. Compliance &amp; Governance</t>
        </is>
      </c>
    </row>
    <row r="95" ht="20" customHeight="1">
      <c r="A95" s="10" t="inlineStr">
        <is>
          <t>9.6</t>
        </is>
      </c>
      <c r="B95" s="17" t="inlineStr">
        <is>
          <t>Audit trail for AI decisions maintained</t>
        </is>
      </c>
      <c r="C95" s="24" t="inlineStr">
        <is>
          <t>Audit Checklist v1.0</t>
        </is>
      </c>
      <c r="D95" s="24" t="inlineStr">
        <is>
          <t>OM-2</t>
        </is>
      </c>
      <c r="E95" s="4" t="n"/>
      <c r="F95" s="4" t="n"/>
      <c r="G95" s="4" t="n"/>
      <c r="H95" s="4" t="n"/>
      <c r="K95" t="str">
        <f>IF(E95="Fail",COUNTIF($E$5:E95,"Fail"),"")</f>
        <v/>
      </c>
      <c r="L95" t="inlineStr">
        <is>
          <t>9. Compliance &amp; Governance</t>
        </is>
      </c>
    </row>
    <row r="96" ht="20" customHeight="1">
      <c r="A96" s="23" t="inlineStr">
        <is>
          <t>10. AI Agent Security (ISACA 2026)</t>
        </is>
      </c>
      <c r="K96" t="str">
        <f>IF(E96="Fail",COUNTIF($E$5:E96,"Fail"),"")</f>
        <v/>
      </c>
    </row>
    <row r="97" ht="30" customHeight="1">
      <c r="A97" s="10" t="inlineStr">
        <is>
          <t>10.1</t>
        </is>
      </c>
      <c r="B97" s="17" t="inlineStr">
        <is>
          <t>Inventory covers agents, tools, plugins, models, memory / vector stores, data sources and providers</t>
        </is>
      </c>
      <c r="C97" s="24" t="inlineStr">
        <is>
          <t>ISACA 2026</t>
        </is>
      </c>
      <c r="D97" s="24" t="inlineStr">
        <is>
          <t>GL-8</t>
        </is>
      </c>
      <c r="E97" s="4" t="n"/>
      <c r="F97" s="4" t="n"/>
      <c r="G97" s="4" t="n"/>
      <c r="H97" s="4" t="n"/>
      <c r="K97" t="str">
        <f>IF(E97="Fail",COUNTIF($E$5:E97,"Fail"),"")</f>
        <v/>
      </c>
      <c r="L97" t="inlineStr">
        <is>
          <t>10. AI Agent Security (ISACA 2026)</t>
        </is>
      </c>
    </row>
    <row r="98" ht="30" customHeight="1">
      <c r="A98" s="10" t="inlineStr">
        <is>
          <t>10.2</t>
        </is>
      </c>
      <c r="B98" s="17" t="inlineStr">
        <is>
          <t>Trust boundaries defined (user, runtime, model provider, orchestration, tool layer, approvals) with named control owners</t>
        </is>
      </c>
      <c r="C98" s="24" t="inlineStr">
        <is>
          <t>ISACA 2026</t>
        </is>
      </c>
      <c r="D98" s="24" t="inlineStr">
        <is>
          <t>LC-8</t>
        </is>
      </c>
      <c r="E98" s="4" t="n"/>
      <c r="F98" s="4" t="n"/>
      <c r="G98" s="4" t="n"/>
      <c r="H98" s="4" t="n"/>
      <c r="K98" t="str">
        <f>IF(E98="Fail",COUNTIF($E$5:E98,"Fail"),"")</f>
        <v/>
      </c>
      <c r="L98" t="inlineStr">
        <is>
          <t>10. AI Agent Security (ISACA 2026)</t>
        </is>
      </c>
    </row>
    <row r="99" ht="30" customHeight="1">
      <c r="A99" s="10" t="inlineStr">
        <is>
          <t>10.3</t>
        </is>
      </c>
      <c r="B99" s="17" t="inlineStr">
        <is>
          <t>Each agent has its own workload identity; no shared accounts or long-lived tokens</t>
        </is>
      </c>
      <c r="C99" s="24" t="inlineStr">
        <is>
          <t>ISACA 2026</t>
        </is>
      </c>
      <c r="D99" s="24" t="inlineStr">
        <is>
          <t>LC-8, SE-2</t>
        </is>
      </c>
      <c r="E99" s="4" t="n"/>
      <c r="F99" s="4" t="n"/>
      <c r="G99" s="4" t="n"/>
      <c r="H99" s="4" t="n"/>
      <c r="K99" t="str">
        <f>IF(E99="Fail",COUNTIF($E$5:E99,"Fail"),"")</f>
        <v/>
      </c>
      <c r="L99" t="inlineStr">
        <is>
          <t>10. AI Agent Security (ISACA 2026)</t>
        </is>
      </c>
    </row>
    <row r="100" ht="30" customHeight="1">
      <c r="A100" s="10" t="inlineStr">
        <is>
          <t>10.4</t>
        </is>
      </c>
      <c r="B100" s="17" t="inlineStr">
        <is>
          <t>Short-lived, auto-rotated credentials or federated workload identity used</t>
        </is>
      </c>
      <c r="C100" s="24" t="inlineStr">
        <is>
          <t>ISACA 2026</t>
        </is>
      </c>
      <c r="D100" s="24" t="inlineStr">
        <is>
          <t>SE-8</t>
        </is>
      </c>
      <c r="E100" s="4" t="n"/>
      <c r="F100" s="4" t="n"/>
      <c r="G100" s="4" t="n"/>
      <c r="H100" s="4" t="n"/>
      <c r="K100" t="str">
        <f>IF(E100="Fail",COUNTIF($E$5:E100,"Fail"),"")</f>
        <v/>
      </c>
      <c r="L100" t="inlineStr">
        <is>
          <t>10. AI Agent Security (ISACA 2026)</t>
        </is>
      </c>
    </row>
    <row r="101" ht="30" customHeight="1">
      <c r="A101" s="10" t="inlineStr">
        <is>
          <t>10.5</t>
        </is>
      </c>
      <c r="B101" s="17" t="inlineStr">
        <is>
          <t>Least privilege on every tool, API, knowledge source and data store; authorisation enforced on memory retrieval</t>
        </is>
      </c>
      <c r="C101" s="24" t="inlineStr">
        <is>
          <t>ISACA 2026</t>
        </is>
      </c>
      <c r="D101" s="24" t="inlineStr">
        <is>
          <t>SE-2, SE-8</t>
        </is>
      </c>
      <c r="E101" s="4" t="n"/>
      <c r="F101" s="4" t="n"/>
      <c r="G101" s="4" t="n"/>
      <c r="H101" s="4" t="n"/>
      <c r="K101" t="str">
        <f>IF(E101="Fail",COUNTIF($E$5:E101,"Fail"),"")</f>
        <v/>
      </c>
      <c r="L101" t="inlineStr">
        <is>
          <t>10. AI Agent Security (ISACA 2026)</t>
        </is>
      </c>
    </row>
    <row r="102" ht="30" customHeight="1">
      <c r="A102" s="10" t="inlineStr">
        <is>
          <t>10.6</t>
        </is>
      </c>
      <c r="B102" s="17" t="inlineStr">
        <is>
          <t>Tool execution, code interpretation, browser automation and file parsing run in sandboxes</t>
        </is>
      </c>
      <c r="C102" s="24" t="inlineStr">
        <is>
          <t>ISACA 2026</t>
        </is>
      </c>
      <c r="D102" s="24" t="inlineStr">
        <is>
          <t>SE-9</t>
        </is>
      </c>
      <c r="E102" s="4" t="n"/>
      <c r="F102" s="4" t="n"/>
      <c r="G102" s="4" t="n"/>
      <c r="H102" s="4" t="n"/>
      <c r="K102" t="str">
        <f>IF(E102="Fail",COUNTIF($E$5:E102,"Fail"),"")</f>
        <v/>
      </c>
      <c r="L102" t="inlineStr">
        <is>
          <t>10. AI Agent Security (ISACA 2026)</t>
        </is>
      </c>
    </row>
    <row r="103" ht="30" customHeight="1">
      <c r="A103" s="10" t="inlineStr">
        <is>
          <t>10.7</t>
        </is>
      </c>
      <c r="B103" s="17" t="inlineStr">
        <is>
          <t>Outbound access denied by default; egress allow-listed; cloud metadata and admin interfaces blocked</t>
        </is>
      </c>
      <c r="C103" s="24" t="inlineStr">
        <is>
          <t>ISACA 2026</t>
        </is>
      </c>
      <c r="D103" s="24" t="inlineStr">
        <is>
          <t>SE-9</t>
        </is>
      </c>
      <c r="E103" s="4" t="n"/>
      <c r="F103" s="4" t="n"/>
      <c r="G103" s="4" t="n"/>
      <c r="H103" s="4" t="n"/>
      <c r="K103" t="str">
        <f>IF(E103="Fail",COUNTIF($E$5:E103,"Fail"),"")</f>
        <v/>
      </c>
      <c r="L103" t="inlineStr">
        <is>
          <t>10. AI Agent Security (ISACA 2026)</t>
        </is>
      </c>
    </row>
    <row r="104" ht="30" customHeight="1">
      <c r="A104" s="10" t="inlineStr">
        <is>
          <t>10.8</t>
        </is>
      </c>
      <c r="B104" s="17" t="inlineStr">
        <is>
          <t>All retrieved content and tool output treated as untrusted; instruction hierarchy and content boundaries enforced</t>
        </is>
      </c>
      <c r="C104" s="24" t="inlineStr">
        <is>
          <t>ISACA 2026</t>
        </is>
      </c>
      <c r="D104" s="24" t="inlineStr">
        <is>
          <t>SE-6</t>
        </is>
      </c>
      <c r="E104" s="4" t="n"/>
      <c r="F104" s="4" t="n"/>
      <c r="G104" s="4" t="n"/>
      <c r="H104" s="4" t="n"/>
      <c r="K104" t="str">
        <f>IF(E104="Fail",COUNTIF($E$5:E104,"Fail"),"")</f>
        <v/>
      </c>
      <c r="L104" t="inlineStr">
        <is>
          <t>10. AI Agent Security (ISACA 2026)</t>
        </is>
      </c>
    </row>
    <row r="105" ht="30" customHeight="1">
      <c r="A105" s="10" t="inlineStr">
        <is>
          <t>10.9</t>
        </is>
      </c>
      <c r="B105" s="17" t="inlineStr">
        <is>
          <t>Retrieved content cannot trigger actions without a separate policy decision; source trust levels tracked</t>
        </is>
      </c>
      <c r="C105" s="24" t="inlineStr">
        <is>
          <t>ISACA 2026</t>
        </is>
      </c>
      <c r="D105" s="24" t="inlineStr">
        <is>
          <t>SE-10</t>
        </is>
      </c>
      <c r="E105" s="4" t="n"/>
      <c r="F105" s="4" t="n"/>
      <c r="G105" s="4" t="n"/>
      <c r="H105" s="4" t="n"/>
      <c r="K105" t="str">
        <f>IF(E105="Fail",COUNTIF($E$5:E105,"Fail"),"")</f>
        <v/>
      </c>
      <c r="L105" t="inlineStr">
        <is>
          <t>10. AI Agent Security (ISACA 2026)</t>
        </is>
      </c>
    </row>
    <row r="106" ht="30" customHeight="1">
      <c r="A106" s="10" t="inlineStr">
        <is>
          <t>10.10</t>
        </is>
      </c>
      <c r="B106" s="17" t="inlineStr">
        <is>
          <t>Memory isolated by tenant / user / session with TTL retention and integrity validation</t>
        </is>
      </c>
      <c r="C106" s="24" t="inlineStr">
        <is>
          <t>ISACA 2026</t>
        </is>
      </c>
      <c r="D106" s="24" t="inlineStr">
        <is>
          <t>SE-8</t>
        </is>
      </c>
      <c r="E106" s="4" t="n"/>
      <c r="F106" s="4" t="n"/>
      <c r="G106" s="4" t="n"/>
      <c r="H106" s="4" t="n"/>
      <c r="K106" t="str">
        <f>IF(E106="Fail",COUNTIF($E$5:E106,"Fail"),"")</f>
        <v/>
      </c>
      <c r="L106" t="inlineStr">
        <is>
          <t>10. AI Agent Security (ISACA 2026)</t>
        </is>
      </c>
    </row>
    <row r="107" ht="20" customHeight="1">
      <c r="A107" s="10" t="inlineStr">
        <is>
          <t>10.11</t>
        </is>
      </c>
      <c r="B107" s="17" t="inlineStr">
        <is>
          <t>No secrets in prompts; secrets manager and scoped tokens used</t>
        </is>
      </c>
      <c r="C107" s="24" t="inlineStr">
        <is>
          <t>ISACA 2026</t>
        </is>
      </c>
      <c r="D107" s="24" t="inlineStr">
        <is>
          <t>SE-8</t>
        </is>
      </c>
      <c r="E107" s="4" t="n"/>
      <c r="F107" s="4" t="n"/>
      <c r="G107" s="4" t="n"/>
      <c r="H107" s="4" t="n"/>
      <c r="K107" t="str">
        <f>IF(E107="Fail",COUNTIF($E$5:E107,"Fail"),"")</f>
        <v/>
      </c>
      <c r="L107" t="inlineStr">
        <is>
          <t>10. AI Agent Security (ISACA 2026)</t>
        </is>
      </c>
    </row>
    <row r="108" ht="30" customHeight="1">
      <c r="A108" s="10" t="inlineStr">
        <is>
          <t>10.12</t>
        </is>
      </c>
      <c r="B108" s="17" t="inlineStr">
        <is>
          <t>Tools behind an API gateway / action broker with schema, parameter constraints, quotas; dangerous primitives and SSRF blocked</t>
        </is>
      </c>
      <c r="C108" s="24" t="inlineStr">
        <is>
          <t>ISACA 2026</t>
        </is>
      </c>
      <c r="D108" s="24" t="inlineStr">
        <is>
          <t>SE-10</t>
        </is>
      </c>
      <c r="E108" s="4" t="n"/>
      <c r="F108" s="4" t="n"/>
      <c r="G108" s="4" t="n"/>
      <c r="H108" s="4" t="n"/>
      <c r="K108" t="str">
        <f>IF(E108="Fail",COUNTIF($E$5:E108,"Fail"),"")</f>
        <v/>
      </c>
      <c r="L108" t="inlineStr">
        <is>
          <t>10. AI Agent Security (ISACA 2026)</t>
        </is>
      </c>
    </row>
    <row r="109" ht="30" customHeight="1">
      <c r="A109" s="10" t="inlineStr">
        <is>
          <t>10.13</t>
        </is>
      </c>
      <c r="B109" s="17" t="inlineStr">
        <is>
          <t>Deterministic policy enforcement point validates action, target, identity, business rules and approvals</t>
        </is>
      </c>
      <c r="C109" s="24" t="inlineStr">
        <is>
          <t>ISACA 2026</t>
        </is>
      </c>
      <c r="D109" s="24" t="inlineStr">
        <is>
          <t>SE-10</t>
        </is>
      </c>
      <c r="E109" s="4" t="n"/>
      <c r="F109" s="4" t="n"/>
      <c r="G109" s="4" t="n"/>
      <c r="H109" s="4" t="n"/>
      <c r="K109" t="str">
        <f>IF(E109="Fail",COUNTIF($E$5:E109,"Fail"),"")</f>
        <v/>
      </c>
      <c r="L109" t="inlineStr">
        <is>
          <t>10. AI Agent Security (ISACA 2026)</t>
        </is>
      </c>
    </row>
    <row r="110" ht="30" customHeight="1">
      <c r="A110" s="10" t="inlineStr">
        <is>
          <t>10.14</t>
        </is>
      </c>
      <c r="B110" s="17" t="inlineStr">
        <is>
          <t>Human approval for destructive, financial, legal or irreversible actions, with clear execution summaries</t>
        </is>
      </c>
      <c r="C110" s="24" t="inlineStr">
        <is>
          <t>ISACA 2026</t>
        </is>
      </c>
      <c r="D110" s="24" t="inlineStr">
        <is>
          <t>LC-8, RS-1</t>
        </is>
      </c>
      <c r="E110" s="4" t="n"/>
      <c r="F110" s="4" t="n"/>
      <c r="G110" s="4" t="n"/>
      <c r="H110" s="4" t="n"/>
      <c r="K110" t="str">
        <f>IF(E110="Fail",COUNTIF($E$5:E110,"Fail"),"")</f>
        <v/>
      </c>
      <c r="L110" t="inlineStr">
        <is>
          <t>10. AI Agent Security (ISACA 2026)</t>
        </is>
      </c>
    </row>
    <row r="111" ht="30" customHeight="1">
      <c r="A111" s="10" t="inlineStr">
        <is>
          <t>10.15</t>
        </is>
      </c>
      <c r="B111" s="17" t="inlineStr">
        <is>
          <t>Read-only / recommendation-only mode available for higher-risk use cases</t>
        </is>
      </c>
      <c r="C111" s="24" t="inlineStr">
        <is>
          <t>ISACA 2026</t>
        </is>
      </c>
      <c r="D111" s="24" t="inlineStr">
        <is>
          <t>OM-4</t>
        </is>
      </c>
      <c r="E111" s="4" t="n"/>
      <c r="F111" s="4" t="n"/>
      <c r="G111" s="4" t="n"/>
      <c r="H111" s="4" t="n"/>
      <c r="K111" t="str">
        <f>IF(E111="Fail",COUNTIF($E$5:E111,"Fail"),"")</f>
        <v/>
      </c>
      <c r="L111" t="inlineStr">
        <is>
          <t>10. AI Agent Security (ISACA 2026)</t>
        </is>
      </c>
    </row>
    <row r="112" ht="30" customHeight="1">
      <c r="A112" s="10" t="inlineStr">
        <is>
          <t>10.16</t>
        </is>
      </c>
      <c r="B112" s="17" t="inlineStr">
        <is>
          <t>Prompts, tool calls, decisions and approvals logged centrally, redacted and tamper-resistant</t>
        </is>
      </c>
      <c r="C112" s="24" t="inlineStr">
        <is>
          <t>ISACA 2026</t>
        </is>
      </c>
      <c r="D112" s="24" t="inlineStr">
        <is>
          <t>OM-2</t>
        </is>
      </c>
      <c r="E112" s="4" t="n"/>
      <c r="F112" s="4" t="n"/>
      <c r="G112" s="4" t="n"/>
      <c r="H112" s="4" t="n"/>
      <c r="K112" t="str">
        <f>IF(E112="Fail",COUNTIF($E$5:E112,"Fail"),"")</f>
        <v/>
      </c>
      <c r="L112" t="inlineStr">
        <is>
          <t>10. AI Agent Security (ISACA 2026)</t>
        </is>
      </c>
    </row>
    <row r="113" ht="30" customHeight="1">
      <c r="A113" s="10" t="inlineStr">
        <is>
          <t>10.17</t>
        </is>
      </c>
      <c r="B113" s="17" t="inlineStr">
        <is>
          <t>Agent-specific incident playbooks (prompt injection, tool compromise, memory poisoning, cross-tenant exposure)</t>
        </is>
      </c>
      <c r="C113" s="24" t="inlineStr">
        <is>
          <t>ISACA 2026</t>
        </is>
      </c>
      <c r="D113" s="24" t="inlineStr">
        <is>
          <t>IM-1</t>
        </is>
      </c>
      <c r="E113" s="4" t="n"/>
      <c r="F113" s="4" t="n"/>
      <c r="G113" s="4" t="n"/>
      <c r="H113" s="4" t="n"/>
      <c r="K113" t="str">
        <f>IF(E113="Fail",COUNTIF($E$5:E113,"Fail"),"")</f>
        <v/>
      </c>
      <c r="L113" t="inlineStr">
        <is>
          <t>10. AI Agent Security (ISACA 2026)</t>
        </is>
      </c>
    </row>
    <row r="114" ht="30" customHeight="1">
      <c r="A114" s="10" t="inlineStr">
        <is>
          <t>10.18</t>
        </is>
      </c>
      <c r="B114" s="17" t="inlineStr">
        <is>
          <t>Change and version control with rollback for prompts, policies, tool permissions and memory configuration</t>
        </is>
      </c>
      <c r="C114" s="24" t="inlineStr">
        <is>
          <t>ISACA 2026</t>
        </is>
      </c>
      <c r="D114" s="24" t="inlineStr">
        <is>
          <t>LC-12</t>
        </is>
      </c>
      <c r="E114" s="4" t="n"/>
      <c r="F114" s="4" t="n"/>
      <c r="G114" s="4" t="n"/>
      <c r="H114" s="4" t="n"/>
      <c r="K114" t="str">
        <f>IF(E114="Fail",COUNTIF($E$5:E114,"Fail"),"")</f>
        <v/>
      </c>
      <c r="L114" t="inlineStr">
        <is>
          <t>10. AI Agent Security (ISACA 2026)</t>
        </is>
      </c>
    </row>
    <row r="115" ht="20" customHeight="1">
      <c r="A115" s="10" t="inlineStr">
        <is>
          <t>10.19</t>
        </is>
      </c>
      <c r="B115" s="17" t="inlineStr">
        <is>
          <t>LLM regression tests for known attack patterns run before each release</t>
        </is>
      </c>
      <c r="C115" s="24" t="inlineStr">
        <is>
          <t>ISACA 2026</t>
        </is>
      </c>
      <c r="D115" s="24" t="inlineStr">
        <is>
          <t>LC-12</t>
        </is>
      </c>
      <c r="E115" s="4" t="n"/>
      <c r="F115" s="4" t="n"/>
      <c r="G115" s="4" t="n"/>
      <c r="H115" s="4" t="n"/>
      <c r="K115" t="str">
        <f>IF(E115="Fail",COUNTIF($E$5:E115,"Fail"),"")</f>
        <v/>
      </c>
      <c r="L115" t="inlineStr">
        <is>
          <t>10. AI Agent Security (ISACA 2026)</t>
        </is>
      </c>
    </row>
    <row r="116" ht="20" customHeight="1">
      <c r="A116" s="10" t="inlineStr">
        <is>
          <t>10.20</t>
        </is>
      </c>
      <c r="B116" s="17" t="inlineStr">
        <is>
          <t>Continuous red teaming for prompt injection and tool misuse</t>
        </is>
      </c>
      <c r="C116" s="24" t="inlineStr">
        <is>
          <t>ISACA 2026</t>
        </is>
      </c>
      <c r="D116" s="24" t="inlineStr">
        <is>
          <t>AT-4, AA-3</t>
        </is>
      </c>
      <c r="E116" s="4" t="n"/>
      <c r="F116" s="4" t="n"/>
      <c r="G116" s="4" t="n"/>
      <c r="H116" s="4" t="n"/>
      <c r="K116" t="str">
        <f>IF(E116="Fail",COUNTIF($E$5:E116,"Fail"),"")</f>
        <v/>
      </c>
      <c r="L116" t="inlineStr">
        <is>
          <t>10. AI Agent Security (ISACA 2026)</t>
        </is>
      </c>
    </row>
    <row r="117" ht="20" customHeight="1">
      <c r="A117" s="10" t="inlineStr">
        <is>
          <t>10.21</t>
        </is>
      </c>
      <c r="B117" s="17" t="inlineStr">
        <is>
          <t>Rate limits, token budgets, loop limits and circuit breakers enforced</t>
        </is>
      </c>
      <c r="C117" s="24" t="inlineStr">
        <is>
          <t>ISACA 2026</t>
        </is>
      </c>
      <c r="D117" s="24" t="inlineStr">
        <is>
          <t>OM-4</t>
        </is>
      </c>
      <c r="E117" s="4" t="n"/>
      <c r="F117" s="4" t="n"/>
      <c r="G117" s="4" t="n"/>
      <c r="H117" s="4" t="n"/>
      <c r="K117" t="str">
        <f>IF(E117="Fail",COUNTIF($E$5:E117,"Fail"),"")</f>
        <v/>
      </c>
      <c r="L117" t="inlineStr">
        <is>
          <t>10. AI Agent Security (ISACA 2026)</t>
        </is>
      </c>
    </row>
    <row r="118" ht="30" customHeight="1">
      <c r="A118" s="10" t="inlineStr">
        <is>
          <t>10.22</t>
        </is>
      </c>
      <c r="B118" s="17" t="inlineStr">
        <is>
          <t>Global and per-capability kill switches tested; critical workflows can revert to manual</t>
        </is>
      </c>
      <c r="C118" s="24" t="inlineStr">
        <is>
          <t>ISACA 2026</t>
        </is>
      </c>
      <c r="D118" s="24" t="inlineStr">
        <is>
          <t>OM-4</t>
        </is>
      </c>
      <c r="E118" s="4" t="n"/>
      <c r="F118" s="4" t="n"/>
      <c r="G118" s="4" t="n"/>
      <c r="H118" s="4" t="n"/>
      <c r="K118" t="str">
        <f>IF(E118="Fail",COUNTIF($E$5:E118,"Fail"),"")</f>
        <v/>
      </c>
      <c r="L118" t="inlineStr">
        <is>
          <t>10. AI Agent Security (ISACA 2026)</t>
        </is>
      </c>
    </row>
    <row r="119" ht="20" customHeight="1">
      <c r="A119" s="10" t="inlineStr">
        <is>
          <t>10.23</t>
        </is>
      </c>
      <c r="B119" s="17" t="inlineStr">
        <is>
          <t>Behavioural, performance and governance drift of agents monitored</t>
        </is>
      </c>
      <c r="C119" s="24" t="inlineStr">
        <is>
          <t>ISACA 2026</t>
        </is>
      </c>
      <c r="D119" s="24" t="inlineStr">
        <is>
          <t>OM-1</t>
        </is>
      </c>
      <c r="E119" s="4" t="n"/>
      <c r="F119" s="4" t="n"/>
      <c r="G119" s="4" t="n"/>
      <c r="H119" s="4" t="n"/>
      <c r="K119" t="str">
        <f>IF(E119="Fail",COUNTIF($E$5:E119,"Fail"),"")</f>
        <v/>
      </c>
      <c r="L119" t="inlineStr">
        <is>
          <t>10. AI Agent Security (ISACA 2026)</t>
        </is>
      </c>
    </row>
    <row r="120" ht="20" customHeight="1">
      <c r="A120" s="23" t="inlineStr">
        <is>
          <t>11. AI Management System (ISO/IEC 42001)</t>
        </is>
      </c>
      <c r="K120" t="str">
        <f>IF(E120="Fail",COUNTIF($E$5:E120,"Fail"),"")</f>
        <v/>
      </c>
    </row>
    <row r="121" ht="20" customHeight="1">
      <c r="A121" s="10" t="inlineStr">
        <is>
          <t>11.1</t>
        </is>
      </c>
      <c r="B121" s="17" t="inlineStr">
        <is>
          <t>AIMS scope documented and approved by top management (cl. 4.3)</t>
        </is>
      </c>
      <c r="C121" s="24" t="inlineStr">
        <is>
          <t>ISO/IEC 42001</t>
        </is>
      </c>
      <c r="D121" s="24" t="inlineStr">
        <is>
          <t>GL-1</t>
        </is>
      </c>
      <c r="E121" s="4" t="n"/>
      <c r="F121" s="4" t="n"/>
      <c r="G121" s="4" t="n"/>
      <c r="H121" s="4" t="n"/>
      <c r="K121" t="str">
        <f>IF(E121="Fail",COUNTIF($E$5:E121,"Fail"),"")</f>
        <v/>
      </c>
      <c r="L121" t="inlineStr">
        <is>
          <t>11. AI Management System (ISO/IEC 42001)</t>
        </is>
      </c>
    </row>
    <row r="122" ht="30" customHeight="1">
      <c r="A122" s="10" t="inlineStr">
        <is>
          <t>11.2</t>
        </is>
      </c>
      <c r="B122" s="17" t="inlineStr">
        <is>
          <t>Signed AI policy with purpose, reach and limits, accessible to staff (cl. 5.2)</t>
        </is>
      </c>
      <c r="C122" s="24" t="inlineStr">
        <is>
          <t>ISO/IEC 42001</t>
        </is>
      </c>
      <c r="D122" s="24" t="inlineStr">
        <is>
          <t>GL-1, GL-5</t>
        </is>
      </c>
      <c r="E122" s="4" t="n"/>
      <c r="F122" s="4" t="n"/>
      <c r="G122" s="4" t="n"/>
      <c r="H122" s="4" t="n"/>
      <c r="K122" t="str">
        <f>IF(E122="Fail",COUNTIF($E$5:E122,"Fail"),"")</f>
        <v/>
      </c>
      <c r="L122" t="inlineStr">
        <is>
          <t>11. AI Management System (ISO/IEC 42001)</t>
        </is>
      </c>
    </row>
    <row r="123" ht="30" customHeight="1">
      <c r="A123" s="10" t="inlineStr">
        <is>
          <t>11.3</t>
        </is>
      </c>
      <c r="B123" s="17" t="inlineStr">
        <is>
          <t>Roles assigned incl. owners for AI operations, AI risk and ethics (cl. 5.3)</t>
        </is>
      </c>
      <c r="C123" s="24" t="inlineStr">
        <is>
          <t>ISO/IEC 42001</t>
        </is>
      </c>
      <c r="D123" s="24" t="inlineStr">
        <is>
          <t>GL-2</t>
        </is>
      </c>
      <c r="E123" s="4" t="n"/>
      <c r="F123" s="4" t="n"/>
      <c r="G123" s="4" t="n"/>
      <c r="H123" s="4" t="n"/>
      <c r="K123" t="str">
        <f>IF(E123="Fail",COUNTIF($E$5:E123,"Fail"),"")</f>
        <v/>
      </c>
      <c r="L123" t="inlineStr">
        <is>
          <t>11. AI Management System (ISO/IEC 42001)</t>
        </is>
      </c>
    </row>
    <row r="124" ht="20" customHeight="1">
      <c r="A124" s="10" t="inlineStr">
        <is>
          <t>11.4</t>
        </is>
      </c>
      <c r="B124" s="17" t="inlineStr">
        <is>
          <t>AI risk criteria and acceptance thresholds approved (cl. 6.1.2)</t>
        </is>
      </c>
      <c r="C124" s="24" t="inlineStr">
        <is>
          <t>ISO/IEC 42001</t>
        </is>
      </c>
      <c r="D124" s="24" t="inlineStr">
        <is>
          <t>RM-6</t>
        </is>
      </c>
      <c r="E124" s="4" t="n"/>
      <c r="F124" s="4" t="n"/>
      <c r="G124" s="4" t="n"/>
      <c r="H124" s="4" t="n"/>
      <c r="K124" t="str">
        <f>IF(E124="Fail",COUNTIF($E$5:E124,"Fail"),"")</f>
        <v/>
      </c>
      <c r="L124" t="inlineStr">
        <is>
          <t>11. AI Management System (ISO/IEC 42001)</t>
        </is>
      </c>
    </row>
    <row r="125" ht="30" customHeight="1">
      <c r="A125" s="10" t="inlineStr">
        <is>
          <t>11.5</t>
        </is>
      </c>
      <c r="B125" s="17" t="inlineStr">
        <is>
          <t>Risk assessment covers bias, explainability, robustness and security (cl. 6.1.2)</t>
        </is>
      </c>
      <c r="C125" s="24" t="inlineStr">
        <is>
          <t>ISO/IEC 42001</t>
        </is>
      </c>
      <c r="D125" s="24" t="inlineStr">
        <is>
          <t>RM-2</t>
        </is>
      </c>
      <c r="E125" s="4" t="n"/>
      <c r="F125" s="4" t="n"/>
      <c r="G125" s="4" t="n"/>
      <c r="H125" s="4" t="n"/>
      <c r="K125" t="str">
        <f>IF(E125="Fail",COUNTIF($E$5:E125,"Fail"),"")</f>
        <v/>
      </c>
      <c r="L125" t="inlineStr">
        <is>
          <t>11. AI Management System (ISO/IEC 42001)</t>
        </is>
      </c>
    </row>
    <row r="126" ht="30" customHeight="1">
      <c r="A126" s="10" t="inlineStr">
        <is>
          <t>11.6</t>
        </is>
      </c>
      <c r="B126" s="17" t="inlineStr">
        <is>
          <t>Risk treatment reconciled with Annex A; Statement of Applicability maintained (cl. 6.1.3)</t>
        </is>
      </c>
      <c r="C126" s="24" t="inlineStr">
        <is>
          <t>ISO/IEC 42001</t>
        </is>
      </c>
      <c r="D126" s="24" t="inlineStr">
        <is>
          <t>GL-9</t>
        </is>
      </c>
      <c r="E126" s="4" t="n"/>
      <c r="F126" s="4" t="n"/>
      <c r="G126" s="4" t="n"/>
      <c r="H126" s="4" t="n"/>
      <c r="K126" t="str">
        <f>IF(E126="Fail",COUNTIF($E$5:E126,"Fail"),"")</f>
        <v/>
      </c>
      <c r="L126" t="inlineStr">
        <is>
          <t>11. AI Management System (ISO/IEC 42001)</t>
        </is>
      </c>
    </row>
    <row r="127" ht="30" customHeight="1">
      <c r="A127" s="10" t="inlineStr">
        <is>
          <t>11.7</t>
        </is>
      </c>
      <c r="B127" s="17" t="inlineStr">
        <is>
          <t>Impacts on individuals, groups and society assessed before deployment (cl. 6.1.4)</t>
        </is>
      </c>
      <c r="C127" s="24" t="inlineStr">
        <is>
          <t>ISO/IEC 42001</t>
        </is>
      </c>
      <c r="D127" s="24" t="inlineStr">
        <is>
          <t>RM-2</t>
        </is>
      </c>
      <c r="E127" s="4" t="n"/>
      <c r="F127" s="4" t="n"/>
      <c r="G127" s="4" t="n"/>
      <c r="H127" s="4" t="n"/>
      <c r="K127" t="str">
        <f>IF(E127="Fail",COUNTIF($E$5:E127,"Fail"),"")</f>
        <v/>
      </c>
      <c r="L127" t="inlineStr">
        <is>
          <t>11. AI Management System (ISO/IEC 42001)</t>
        </is>
      </c>
    </row>
    <row r="128" ht="30" customHeight="1">
      <c r="A128" s="10" t="inlineStr">
        <is>
          <t>11.8</t>
        </is>
      </c>
      <c r="B128" s="17" t="inlineStr">
        <is>
          <t>Assessments repeated at planned intervals and on material change; triggers documented (cl. 8.2)</t>
        </is>
      </c>
      <c r="C128" s="24" t="inlineStr">
        <is>
          <t>ISO/IEC 42001</t>
        </is>
      </c>
      <c r="D128" s="24" t="inlineStr">
        <is>
          <t>RM-5</t>
        </is>
      </c>
      <c r="E128" s="4" t="n"/>
      <c r="F128" s="4" t="n"/>
      <c r="G128" s="4" t="n"/>
      <c r="H128" s="4" t="n"/>
      <c r="K128" t="str">
        <f>IF(E128="Fail",COUNTIF($E$5:E128,"Fail"),"")</f>
        <v/>
      </c>
      <c r="L128" t="inlineStr">
        <is>
          <t>11. AI Management System (ISO/IEC 42001)</t>
        </is>
      </c>
    </row>
    <row r="129" ht="30" customHeight="1">
      <c r="A129" s="10" t="inlineStr">
        <is>
          <t>11.9</t>
        </is>
      </c>
      <c r="B129" s="17" t="inlineStr">
        <is>
          <t>Data provenance, collection and preparation criteria documented per dataset (A.7)</t>
        </is>
      </c>
      <c r="C129" s="24" t="inlineStr">
        <is>
          <t>ISO/IEC 42001</t>
        </is>
      </c>
      <c r="D129" s="24" t="inlineStr">
        <is>
          <t>LC-1, LC-11</t>
        </is>
      </c>
      <c r="E129" s="4" t="n"/>
      <c r="F129" s="4" t="n"/>
      <c r="G129" s="4" t="n"/>
      <c r="H129" s="4" t="n"/>
      <c r="K129" t="str">
        <f>IF(E129="Fail",COUNTIF($E$5:E129,"Fail"),"")</f>
        <v/>
      </c>
      <c r="L129" t="inlineStr">
        <is>
          <t>11. AI Management System (ISO/IEC 42001)</t>
        </is>
      </c>
    </row>
    <row r="130" ht="30" customHeight="1">
      <c r="A130" s="10" t="inlineStr">
        <is>
          <t>11.10</t>
        </is>
      </c>
      <c r="B130" s="17" t="inlineStr">
        <is>
          <t>Models tested for memorisation / regurgitation of personal data (practice)</t>
        </is>
      </c>
      <c r="C130" s="24" t="inlineStr">
        <is>
          <t>ISO/IEC 42001</t>
        </is>
      </c>
      <c r="D130" s="24" t="inlineStr">
        <is>
          <t>PR-7</t>
        </is>
      </c>
      <c r="E130" s="4" t="n"/>
      <c r="F130" s="4" t="n"/>
      <c r="G130" s="4" t="n"/>
      <c r="H130" s="4" t="n"/>
      <c r="K130" t="str">
        <f>IF(E130="Fail",COUNTIF($E$5:E130,"Fail"),"")</f>
        <v/>
      </c>
      <c r="L130" t="inlineStr">
        <is>
          <t>11. AI Management System (ISO/IEC 42001)</t>
        </is>
      </c>
    </row>
    <row r="131" ht="30" customHeight="1">
      <c r="A131" s="10" t="inlineStr">
        <is>
          <t>11.11</t>
        </is>
      </c>
      <c r="B131" s="17" t="inlineStr">
        <is>
          <t>Data-subject rights honoured against training data and models (Bahrain PDPL)</t>
        </is>
      </c>
      <c r="C131" s="24" t="inlineStr">
        <is>
          <t>ISO/IEC 42001</t>
        </is>
      </c>
      <c r="D131" s="24" t="inlineStr">
        <is>
          <t>PR-5</t>
        </is>
      </c>
      <c r="E131" s="4" t="n"/>
      <c r="F131" s="4" t="n"/>
      <c r="G131" s="4" t="n"/>
      <c r="H131" s="4" t="n"/>
      <c r="K131" t="str">
        <f>IF(E131="Fail",COUNTIF($E$5:E131,"Fail"),"")</f>
        <v/>
      </c>
      <c r="L131" t="inlineStr">
        <is>
          <t>11. AI Management System (ISO/IEC 42001)</t>
        </is>
      </c>
    </row>
    <row r="132" ht="30" customHeight="1">
      <c r="A132" s="10" t="inlineStr">
        <is>
          <t>11.12</t>
        </is>
      </c>
      <c r="B132" s="17" t="inlineStr">
        <is>
          <t>AI procurement uses fixed assessment questions; terms of use analysed before use (A.10)</t>
        </is>
      </c>
      <c r="C132" s="24" t="inlineStr">
        <is>
          <t>ISO/IEC 42001</t>
        </is>
      </c>
      <c r="D132" s="24" t="inlineStr">
        <is>
          <t>TP-3</t>
        </is>
      </c>
      <c r="E132" s="4" t="n"/>
      <c r="F132" s="4" t="n"/>
      <c r="G132" s="4" t="n"/>
      <c r="H132" s="4" t="n"/>
      <c r="K132" t="str">
        <f>IF(E132="Fail",COUNTIF($E$5:E132,"Fail"),"")</f>
        <v/>
      </c>
      <c r="L132" t="inlineStr">
        <is>
          <t>11. AI Management System (ISO/IEC 42001)</t>
        </is>
      </c>
    </row>
    <row r="133" ht="20" customHeight="1">
      <c r="A133" s="10" t="inlineStr">
        <is>
          <t>11.13</t>
        </is>
      </c>
      <c r="B133" s="17" t="inlineStr">
        <is>
          <t>Sub-contractors of AI suppliers known and assessed (A.10)</t>
        </is>
      </c>
      <c r="C133" s="24" t="inlineStr">
        <is>
          <t>ISO/IEC 42001</t>
        </is>
      </c>
      <c r="D133" s="24" t="inlineStr">
        <is>
          <t>TP-2</t>
        </is>
      </c>
      <c r="E133" s="4" t="n"/>
      <c r="F133" s="4" t="n"/>
      <c r="G133" s="4" t="n"/>
      <c r="H133" s="4" t="n"/>
      <c r="K133" t="str">
        <f>IF(E133="Fail",COUNTIF($E$5:E133,"Fail"),"")</f>
        <v/>
      </c>
      <c r="L133" t="inlineStr">
        <is>
          <t>11. AI Management System (ISO/IEC 42001)</t>
        </is>
      </c>
    </row>
    <row r="134" ht="30" customHeight="1">
      <c r="A134" s="10" t="inlineStr">
        <is>
          <t>11.14</t>
        </is>
      </c>
      <c r="B134" s="17" t="inlineStr">
        <is>
          <t>Affected persons have an accessible route to complain about AI-assisted decisions (A.8)</t>
        </is>
      </c>
      <c r="C134" s="24" t="inlineStr">
        <is>
          <t>ISO/IEC 42001</t>
        </is>
      </c>
      <c r="D134" s="24" t="inlineStr">
        <is>
          <t>CO-3</t>
        </is>
      </c>
      <c r="E134" s="4" t="n"/>
      <c r="F134" s="4" t="n"/>
      <c r="G134" s="4" t="n"/>
      <c r="H134" s="4" t="n"/>
      <c r="K134" t="str">
        <f>IF(E134="Fail",COUNTIF($E$5:E134,"Fail"),"")</f>
        <v/>
      </c>
      <c r="L134" t="inlineStr">
        <is>
          <t>11. AI Management System (ISO/IEC 42001)</t>
        </is>
      </c>
    </row>
    <row r="135" ht="30" customHeight="1">
      <c r="A135" s="10" t="inlineStr">
        <is>
          <t>11.15</t>
        </is>
      </c>
      <c r="B135" s="17" t="inlineStr">
        <is>
          <t>Confidential speak-up channel for AI concerns feeds management review (practice)</t>
        </is>
      </c>
      <c r="C135" s="24" t="inlineStr">
        <is>
          <t>ISO/IEC 42001</t>
        </is>
      </c>
      <c r="D135" s="24" t="inlineStr">
        <is>
          <t>CO-4</t>
        </is>
      </c>
      <c r="E135" s="4" t="n"/>
      <c r="F135" s="4" t="n"/>
      <c r="G135" s="4" t="n"/>
      <c r="H135" s="4" t="n"/>
      <c r="K135" t="str">
        <f>IF(E135="Fail",COUNTIF($E$5:E135,"Fail"),"")</f>
        <v/>
      </c>
      <c r="L135" t="inlineStr">
        <is>
          <t>11. AI Management System (ISO/IEC 42001)</t>
        </is>
      </c>
    </row>
    <row r="136" ht="30" customHeight="1">
      <c r="A136" s="10" t="inlineStr">
        <is>
          <t>11.16</t>
        </is>
      </c>
      <c r="B136" s="17" t="inlineStr">
        <is>
          <t>Internal audit programme for the AIMS; findings tracked to closure (cl. 9.2)</t>
        </is>
      </c>
      <c r="C136" s="24" t="inlineStr">
        <is>
          <t>ISO/IEC 42001</t>
        </is>
      </c>
      <c r="D136" s="24" t="inlineStr">
        <is>
          <t>AA-1</t>
        </is>
      </c>
      <c r="E136" s="4" t="n"/>
      <c r="F136" s="4" t="n"/>
      <c r="G136" s="4" t="n"/>
      <c r="H136" s="4" t="n"/>
      <c r="K136" t="str">
        <f>IF(E136="Fail",COUNTIF($E$5:E136,"Fail"),"")</f>
        <v/>
      </c>
      <c r="L136" t="inlineStr">
        <is>
          <t>11. AI Management System (ISO/IEC 42001)</t>
        </is>
      </c>
    </row>
    <row r="137" ht="20" customHeight="1">
      <c r="A137" s="10" t="inlineStr">
        <is>
          <t>11.17</t>
        </is>
      </c>
      <c r="B137" s="17" t="inlineStr">
        <is>
          <t>Management review of the AIMS performed (cl. 9.3)</t>
        </is>
      </c>
      <c r="C137" s="24" t="inlineStr">
        <is>
          <t>ISO/IEC 42001</t>
        </is>
      </c>
      <c r="D137" s="24" t="inlineStr">
        <is>
          <t>GL-1</t>
        </is>
      </c>
      <c r="E137" s="4" t="n"/>
      <c r="F137" s="4" t="n"/>
      <c r="G137" s="4" t="n"/>
      <c r="H137" s="4" t="n"/>
      <c r="K137" t="str">
        <f>IF(E137="Fail",COUNTIF($E$5:E137,"Fail"),"")</f>
        <v/>
      </c>
      <c r="L137" t="inlineStr">
        <is>
          <t>11. AI Management System (ISO/IEC 42001)</t>
        </is>
      </c>
    </row>
  </sheetData>
  <autoFilter ref="A3:H137"/>
  <mergeCells count="10">
    <mergeCell ref="A4:H4"/>
    <mergeCell ref="A120:H120"/>
    <mergeCell ref="A57:H57"/>
    <mergeCell ref="A38:H38"/>
    <mergeCell ref="A96:H96"/>
    <mergeCell ref="A82:H82"/>
    <mergeCell ref="A66:H66"/>
    <mergeCell ref="A1:H1"/>
    <mergeCell ref="A89:H89"/>
    <mergeCell ref="A22:H22"/>
  </mergeCells>
  <conditionalFormatting sqref="E5:E137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5">
      <formula>"N/A"</formula>
    </cfRule>
  </conditionalFormatting>
  <conditionalFormatting sqref="F5:F137">
    <cfRule type="cellIs" priority="4" operator="equal" dxfId="3">
      <formula>"Critical"</formula>
    </cfRule>
    <cfRule type="cellIs" priority="5" operator="equal" dxfId="2">
      <formula>"High"</formula>
    </cfRule>
    <cfRule type="cellIs" priority="6" operator="equal" dxfId="1">
      <formula>"Medium"</formula>
    </cfRule>
    <cfRule type="cellIs" priority="7" operator="equal" dxfId="0">
      <formula>"Low"</formula>
    </cfRule>
  </conditionalFormatting>
  <dataValidations count="2">
    <dataValidation sqref="E5:E137" showDropDown="0" showInputMessage="0" showErrorMessage="1" allowBlank="0" type="list">
      <formula1>"Pass,Fail,N/A"</formula1>
    </dataValidation>
    <dataValidation sqref="F5:F137" showDropDown="0" showInputMessage="0" showErrorMessage="0" allowBlank="0" type="list">
      <formula1>"Critical,High,Medium,Low"</formula1>
    </dataValidation>
  </dataValidations>
  <printOptions gridLines="0"/>
  <pageMargins left="0.4" right="0.4" top="0.6" bottom="0.6" header="0.25" footer="0.2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J1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10" customWidth="1" min="4" max="4"/>
    <col width="22" customWidth="1" min="5" max="5"/>
    <col width="14" customWidth="1" min="6" max="6"/>
    <col width="40" customWidth="1" min="7" max="7"/>
    <col width="16" customWidth="1" min="8" max="8"/>
    <col width="12" customWidth="1" min="9" max="9"/>
    <col width="12" customWidth="1" min="10" max="10"/>
  </cols>
  <sheetData>
    <row r="1" ht="30" customHeight="1">
      <c r="A1" s="25" t="inlineStr">
        <is>
          <t>FINDINGS &amp; REMEDIATION PLAN  -  failed items are listed automatically; complete remediation, owner, due date, status</t>
        </is>
      </c>
    </row>
    <row r="3">
      <c r="A3" s="6" t="inlineStr">
        <is>
          <t>#</t>
        </is>
      </c>
      <c r="B3" s="6" t="inlineStr">
        <is>
          <t>Item</t>
        </is>
      </c>
      <c r="C3" s="6" t="inlineStr">
        <is>
          <t>Finding (failed check)</t>
        </is>
      </c>
      <c r="D3" s="6" t="inlineStr">
        <is>
          <t>Severity</t>
        </is>
      </c>
      <c r="E3" s="6" t="inlineStr">
        <is>
          <t>Section</t>
        </is>
      </c>
      <c r="F3" s="6" t="inlineStr">
        <is>
          <t>GT AI RCM v2.1</t>
        </is>
      </c>
      <c r="G3" s="6" t="inlineStr">
        <is>
          <t>Remediation</t>
        </is>
      </c>
      <c r="H3" s="6" t="inlineStr">
        <is>
          <t>Owner</t>
        </is>
      </c>
      <c r="I3" s="6" t="inlineStr">
        <is>
          <t>Due date</t>
        </is>
      </c>
      <c r="J3" s="6" t="inlineStr">
        <is>
          <t>Status</t>
        </is>
      </c>
    </row>
    <row r="4" ht="28" customHeight="1">
      <c r="A4" s="8" t="n">
        <v>1</v>
      </c>
      <c r="B4" s="10" t="str">
        <f>IFERROR(INDEX(Checklist!$A$5:$A$137,MATCH(1,Checklist!$K$5:$K$137,0)),"")</f>
        <v/>
      </c>
      <c r="C4" s="17" t="str">
        <f>IFERROR(INDEX(Checklist!$B$5:$B$137,MATCH(1,Checklist!$K$5:$K$137,0)),"")</f>
        <v/>
      </c>
      <c r="D4" s="10" t="str">
        <f>IFERROR(INDEX(Checklist!$F$5:$F$137,MATCH(1,Checklist!$K$5:$K$137,0))&amp;"","")</f>
        <v/>
      </c>
      <c r="E4" s="26" t="str">
        <f>IFERROR(INDEX(Checklist!$L$5:$L$137,MATCH(1,Checklist!$K$5:$K$137,0)),"")</f>
        <v/>
      </c>
      <c r="F4" s="24" t="str">
        <f>IFERROR(INDEX(Checklist!$D$5:$D$137,MATCH(1,Checklist!$K$5:$K$137,0)),"")</f>
        <v/>
      </c>
      <c r="G4" s="4" t="n"/>
      <c r="H4" s="4" t="n"/>
      <c r="I4" s="4" t="n"/>
      <c r="J4" s="4" t="n"/>
    </row>
    <row r="5" ht="28" customHeight="1">
      <c r="A5" s="8" t="n">
        <v>2</v>
      </c>
      <c r="B5" s="10" t="str">
        <f>IFERROR(INDEX(Checklist!$A$5:$A$137,MATCH(2,Checklist!$K$5:$K$137,0)),"")</f>
        <v/>
      </c>
      <c r="C5" s="17" t="str">
        <f>IFERROR(INDEX(Checklist!$B$5:$B$137,MATCH(2,Checklist!$K$5:$K$137,0)),"")</f>
        <v/>
      </c>
      <c r="D5" s="10" t="str">
        <f>IFERROR(INDEX(Checklist!$F$5:$F$137,MATCH(2,Checklist!$K$5:$K$137,0))&amp;"","")</f>
        <v/>
      </c>
      <c r="E5" s="26" t="str">
        <f>IFERROR(INDEX(Checklist!$L$5:$L$137,MATCH(2,Checklist!$K$5:$K$137,0)),"")</f>
        <v/>
      </c>
      <c r="F5" s="24" t="str">
        <f>IFERROR(INDEX(Checklist!$D$5:$D$137,MATCH(2,Checklist!$K$5:$K$137,0)),"")</f>
        <v/>
      </c>
      <c r="G5" s="4" t="n"/>
      <c r="H5" s="4" t="n"/>
      <c r="I5" s="4" t="n"/>
      <c r="J5" s="4" t="n"/>
    </row>
    <row r="6" ht="28" customHeight="1">
      <c r="A6" s="8" t="n">
        <v>3</v>
      </c>
      <c r="B6" s="10" t="str">
        <f>IFERROR(INDEX(Checklist!$A$5:$A$137,MATCH(3,Checklist!$K$5:$K$137,0)),"")</f>
        <v/>
      </c>
      <c r="C6" s="17" t="str">
        <f>IFERROR(INDEX(Checklist!$B$5:$B$137,MATCH(3,Checklist!$K$5:$K$137,0)),"")</f>
        <v/>
      </c>
      <c r="D6" s="10" t="str">
        <f>IFERROR(INDEX(Checklist!$F$5:$F$137,MATCH(3,Checklist!$K$5:$K$137,0))&amp;"","")</f>
        <v/>
      </c>
      <c r="E6" s="26" t="str">
        <f>IFERROR(INDEX(Checklist!$L$5:$L$137,MATCH(3,Checklist!$K$5:$K$137,0)),"")</f>
        <v/>
      </c>
      <c r="F6" s="24" t="str">
        <f>IFERROR(INDEX(Checklist!$D$5:$D$137,MATCH(3,Checklist!$K$5:$K$137,0)),"")</f>
        <v/>
      </c>
      <c r="G6" s="4" t="n"/>
      <c r="H6" s="4" t="n"/>
      <c r="I6" s="4" t="n"/>
      <c r="J6" s="4" t="n"/>
    </row>
    <row r="7" ht="28" customHeight="1">
      <c r="A7" s="8" t="n">
        <v>4</v>
      </c>
      <c r="B7" s="10" t="str">
        <f>IFERROR(INDEX(Checklist!$A$5:$A$137,MATCH(4,Checklist!$K$5:$K$137,0)),"")</f>
        <v/>
      </c>
      <c r="C7" s="17" t="str">
        <f>IFERROR(INDEX(Checklist!$B$5:$B$137,MATCH(4,Checklist!$K$5:$K$137,0)),"")</f>
        <v/>
      </c>
      <c r="D7" s="10" t="str">
        <f>IFERROR(INDEX(Checklist!$F$5:$F$137,MATCH(4,Checklist!$K$5:$K$137,0))&amp;"","")</f>
        <v/>
      </c>
      <c r="E7" s="26" t="str">
        <f>IFERROR(INDEX(Checklist!$L$5:$L$137,MATCH(4,Checklist!$K$5:$K$137,0)),"")</f>
        <v/>
      </c>
      <c r="F7" s="24" t="str">
        <f>IFERROR(INDEX(Checklist!$D$5:$D$137,MATCH(4,Checklist!$K$5:$K$137,0)),"")</f>
        <v/>
      </c>
      <c r="G7" s="4" t="n"/>
      <c r="H7" s="4" t="n"/>
      <c r="I7" s="4" t="n"/>
      <c r="J7" s="4" t="n"/>
    </row>
    <row r="8" ht="28" customHeight="1">
      <c r="A8" s="8" t="n">
        <v>5</v>
      </c>
      <c r="B8" s="10" t="str">
        <f>IFERROR(INDEX(Checklist!$A$5:$A$137,MATCH(5,Checklist!$K$5:$K$137,0)),"")</f>
        <v/>
      </c>
      <c r="C8" s="17" t="str">
        <f>IFERROR(INDEX(Checklist!$B$5:$B$137,MATCH(5,Checklist!$K$5:$K$137,0)),"")</f>
        <v/>
      </c>
      <c r="D8" s="10" t="str">
        <f>IFERROR(INDEX(Checklist!$F$5:$F$137,MATCH(5,Checklist!$K$5:$K$137,0))&amp;"","")</f>
        <v/>
      </c>
      <c r="E8" s="26" t="str">
        <f>IFERROR(INDEX(Checklist!$L$5:$L$137,MATCH(5,Checklist!$K$5:$K$137,0)),"")</f>
        <v/>
      </c>
      <c r="F8" s="24" t="str">
        <f>IFERROR(INDEX(Checklist!$D$5:$D$137,MATCH(5,Checklist!$K$5:$K$137,0)),"")</f>
        <v/>
      </c>
      <c r="G8" s="4" t="n"/>
      <c r="H8" s="4" t="n"/>
      <c r="I8" s="4" t="n"/>
      <c r="J8" s="4" t="n"/>
    </row>
    <row r="9" ht="28" customHeight="1">
      <c r="A9" s="8" t="n">
        <v>6</v>
      </c>
      <c r="B9" s="10" t="str">
        <f>IFERROR(INDEX(Checklist!$A$5:$A$137,MATCH(6,Checklist!$K$5:$K$137,0)),"")</f>
        <v/>
      </c>
      <c r="C9" s="17" t="str">
        <f>IFERROR(INDEX(Checklist!$B$5:$B$137,MATCH(6,Checklist!$K$5:$K$137,0)),"")</f>
        <v/>
      </c>
      <c r="D9" s="10" t="str">
        <f>IFERROR(INDEX(Checklist!$F$5:$F$137,MATCH(6,Checklist!$K$5:$K$137,0))&amp;"","")</f>
        <v/>
      </c>
      <c r="E9" s="26" t="str">
        <f>IFERROR(INDEX(Checklist!$L$5:$L$137,MATCH(6,Checklist!$K$5:$K$137,0)),"")</f>
        <v/>
      </c>
      <c r="F9" s="24" t="str">
        <f>IFERROR(INDEX(Checklist!$D$5:$D$137,MATCH(6,Checklist!$K$5:$K$137,0)),"")</f>
        <v/>
      </c>
      <c r="G9" s="4" t="n"/>
      <c r="H9" s="4" t="n"/>
      <c r="I9" s="4" t="n"/>
      <c r="J9" s="4" t="n"/>
    </row>
    <row r="10" ht="28" customHeight="1">
      <c r="A10" s="8" t="n">
        <v>7</v>
      </c>
      <c r="B10" s="10" t="str">
        <f>IFERROR(INDEX(Checklist!$A$5:$A$137,MATCH(7,Checklist!$K$5:$K$137,0)),"")</f>
        <v/>
      </c>
      <c r="C10" s="17" t="str">
        <f>IFERROR(INDEX(Checklist!$B$5:$B$137,MATCH(7,Checklist!$K$5:$K$137,0)),"")</f>
        <v/>
      </c>
      <c r="D10" s="10" t="str">
        <f>IFERROR(INDEX(Checklist!$F$5:$F$137,MATCH(7,Checklist!$K$5:$K$137,0))&amp;"","")</f>
        <v/>
      </c>
      <c r="E10" s="26" t="str">
        <f>IFERROR(INDEX(Checklist!$L$5:$L$137,MATCH(7,Checklist!$K$5:$K$137,0)),"")</f>
        <v/>
      </c>
      <c r="F10" s="24" t="str">
        <f>IFERROR(INDEX(Checklist!$D$5:$D$137,MATCH(7,Checklist!$K$5:$K$137,0)),"")</f>
        <v/>
      </c>
      <c r="G10" s="4" t="n"/>
      <c r="H10" s="4" t="n"/>
      <c r="I10" s="4" t="n"/>
      <c r="J10" s="4" t="n"/>
    </row>
    <row r="11" ht="28" customHeight="1">
      <c r="A11" s="8" t="n">
        <v>8</v>
      </c>
      <c r="B11" s="10" t="str">
        <f>IFERROR(INDEX(Checklist!$A$5:$A$137,MATCH(8,Checklist!$K$5:$K$137,0)),"")</f>
        <v/>
      </c>
      <c r="C11" s="17" t="str">
        <f>IFERROR(INDEX(Checklist!$B$5:$B$137,MATCH(8,Checklist!$K$5:$K$137,0)),"")</f>
        <v/>
      </c>
      <c r="D11" s="10" t="str">
        <f>IFERROR(INDEX(Checklist!$F$5:$F$137,MATCH(8,Checklist!$K$5:$K$137,0))&amp;"","")</f>
        <v/>
      </c>
      <c r="E11" s="26" t="str">
        <f>IFERROR(INDEX(Checklist!$L$5:$L$137,MATCH(8,Checklist!$K$5:$K$137,0)),"")</f>
        <v/>
      </c>
      <c r="F11" s="24" t="str">
        <f>IFERROR(INDEX(Checklist!$D$5:$D$137,MATCH(8,Checklist!$K$5:$K$137,0)),"")</f>
        <v/>
      </c>
      <c r="G11" s="4" t="n"/>
      <c r="H11" s="4" t="n"/>
      <c r="I11" s="4" t="n"/>
      <c r="J11" s="4" t="n"/>
    </row>
    <row r="12" ht="28" customHeight="1">
      <c r="A12" s="8" t="n">
        <v>9</v>
      </c>
      <c r="B12" s="10" t="str">
        <f>IFERROR(INDEX(Checklist!$A$5:$A$137,MATCH(9,Checklist!$K$5:$K$137,0)),"")</f>
        <v/>
      </c>
      <c r="C12" s="17" t="str">
        <f>IFERROR(INDEX(Checklist!$B$5:$B$137,MATCH(9,Checklist!$K$5:$K$137,0)),"")</f>
        <v/>
      </c>
      <c r="D12" s="10" t="str">
        <f>IFERROR(INDEX(Checklist!$F$5:$F$137,MATCH(9,Checklist!$K$5:$K$137,0))&amp;"","")</f>
        <v/>
      </c>
      <c r="E12" s="26" t="str">
        <f>IFERROR(INDEX(Checklist!$L$5:$L$137,MATCH(9,Checklist!$K$5:$K$137,0)),"")</f>
        <v/>
      </c>
      <c r="F12" s="24" t="str">
        <f>IFERROR(INDEX(Checklist!$D$5:$D$137,MATCH(9,Checklist!$K$5:$K$137,0)),"")</f>
        <v/>
      </c>
      <c r="G12" s="4" t="n"/>
      <c r="H12" s="4" t="n"/>
      <c r="I12" s="4" t="n"/>
      <c r="J12" s="4" t="n"/>
    </row>
    <row r="13" ht="28" customHeight="1">
      <c r="A13" s="8" t="n">
        <v>10</v>
      </c>
      <c r="B13" s="10" t="str">
        <f>IFERROR(INDEX(Checklist!$A$5:$A$137,MATCH(10,Checklist!$K$5:$K$137,0)),"")</f>
        <v/>
      </c>
      <c r="C13" s="17" t="str">
        <f>IFERROR(INDEX(Checklist!$B$5:$B$137,MATCH(10,Checklist!$K$5:$K$137,0)),"")</f>
        <v/>
      </c>
      <c r="D13" s="10" t="str">
        <f>IFERROR(INDEX(Checklist!$F$5:$F$137,MATCH(10,Checklist!$K$5:$K$137,0))&amp;"","")</f>
        <v/>
      </c>
      <c r="E13" s="26" t="str">
        <f>IFERROR(INDEX(Checklist!$L$5:$L$137,MATCH(10,Checklist!$K$5:$K$137,0)),"")</f>
        <v/>
      </c>
      <c r="F13" s="24" t="str">
        <f>IFERROR(INDEX(Checklist!$D$5:$D$137,MATCH(10,Checklist!$K$5:$K$137,0)),"")</f>
        <v/>
      </c>
      <c r="G13" s="4" t="n"/>
      <c r="H13" s="4" t="n"/>
      <c r="I13" s="4" t="n"/>
      <c r="J13" s="4" t="n"/>
    </row>
    <row r="14" ht="28" customHeight="1">
      <c r="A14" s="8" t="n">
        <v>11</v>
      </c>
      <c r="B14" s="10" t="str">
        <f>IFERROR(INDEX(Checklist!$A$5:$A$137,MATCH(11,Checklist!$K$5:$K$137,0)),"")</f>
        <v/>
      </c>
      <c r="C14" s="17" t="str">
        <f>IFERROR(INDEX(Checklist!$B$5:$B$137,MATCH(11,Checklist!$K$5:$K$137,0)),"")</f>
        <v/>
      </c>
      <c r="D14" s="10" t="str">
        <f>IFERROR(INDEX(Checklist!$F$5:$F$137,MATCH(11,Checklist!$K$5:$K$137,0))&amp;"","")</f>
        <v/>
      </c>
      <c r="E14" s="26" t="str">
        <f>IFERROR(INDEX(Checklist!$L$5:$L$137,MATCH(11,Checklist!$K$5:$K$137,0)),"")</f>
        <v/>
      </c>
      <c r="F14" s="24" t="str">
        <f>IFERROR(INDEX(Checklist!$D$5:$D$137,MATCH(11,Checklist!$K$5:$K$137,0)),"")</f>
        <v/>
      </c>
      <c r="G14" s="4" t="n"/>
      <c r="H14" s="4" t="n"/>
      <c r="I14" s="4" t="n"/>
      <c r="J14" s="4" t="n"/>
    </row>
    <row r="15" ht="28" customHeight="1">
      <c r="A15" s="8" t="n">
        <v>12</v>
      </c>
      <c r="B15" s="10" t="str">
        <f>IFERROR(INDEX(Checklist!$A$5:$A$137,MATCH(12,Checklist!$K$5:$K$137,0)),"")</f>
        <v/>
      </c>
      <c r="C15" s="17" t="str">
        <f>IFERROR(INDEX(Checklist!$B$5:$B$137,MATCH(12,Checklist!$K$5:$K$137,0)),"")</f>
        <v/>
      </c>
      <c r="D15" s="10" t="str">
        <f>IFERROR(INDEX(Checklist!$F$5:$F$137,MATCH(12,Checklist!$K$5:$K$137,0))&amp;"","")</f>
        <v/>
      </c>
      <c r="E15" s="26" t="str">
        <f>IFERROR(INDEX(Checklist!$L$5:$L$137,MATCH(12,Checklist!$K$5:$K$137,0)),"")</f>
        <v/>
      </c>
      <c r="F15" s="24" t="str">
        <f>IFERROR(INDEX(Checklist!$D$5:$D$137,MATCH(12,Checklist!$K$5:$K$137,0)),"")</f>
        <v/>
      </c>
      <c r="G15" s="4" t="n"/>
      <c r="H15" s="4" t="n"/>
      <c r="I15" s="4" t="n"/>
      <c r="J15" s="4" t="n"/>
    </row>
    <row r="16" ht="28" customHeight="1">
      <c r="A16" s="8" t="n">
        <v>13</v>
      </c>
      <c r="B16" s="10" t="str">
        <f>IFERROR(INDEX(Checklist!$A$5:$A$137,MATCH(13,Checklist!$K$5:$K$137,0)),"")</f>
        <v/>
      </c>
      <c r="C16" s="17" t="str">
        <f>IFERROR(INDEX(Checklist!$B$5:$B$137,MATCH(13,Checklist!$K$5:$K$137,0)),"")</f>
        <v/>
      </c>
      <c r="D16" s="10" t="str">
        <f>IFERROR(INDEX(Checklist!$F$5:$F$137,MATCH(13,Checklist!$K$5:$K$137,0))&amp;"","")</f>
        <v/>
      </c>
      <c r="E16" s="26" t="str">
        <f>IFERROR(INDEX(Checklist!$L$5:$L$137,MATCH(13,Checklist!$K$5:$K$137,0)),"")</f>
        <v/>
      </c>
      <c r="F16" s="24" t="str">
        <f>IFERROR(INDEX(Checklist!$D$5:$D$137,MATCH(13,Checklist!$K$5:$K$137,0)),"")</f>
        <v/>
      </c>
      <c r="G16" s="4" t="n"/>
      <c r="H16" s="4" t="n"/>
      <c r="I16" s="4" t="n"/>
      <c r="J16" s="4" t="n"/>
    </row>
    <row r="17" ht="28" customHeight="1">
      <c r="A17" s="8" t="n">
        <v>14</v>
      </c>
      <c r="B17" s="10" t="str">
        <f>IFERROR(INDEX(Checklist!$A$5:$A$137,MATCH(14,Checklist!$K$5:$K$137,0)),"")</f>
        <v/>
      </c>
      <c r="C17" s="17" t="str">
        <f>IFERROR(INDEX(Checklist!$B$5:$B$137,MATCH(14,Checklist!$K$5:$K$137,0)),"")</f>
        <v/>
      </c>
      <c r="D17" s="10" t="str">
        <f>IFERROR(INDEX(Checklist!$F$5:$F$137,MATCH(14,Checklist!$K$5:$K$137,0))&amp;"","")</f>
        <v/>
      </c>
      <c r="E17" s="26" t="str">
        <f>IFERROR(INDEX(Checklist!$L$5:$L$137,MATCH(14,Checklist!$K$5:$K$137,0)),"")</f>
        <v/>
      </c>
      <c r="F17" s="24" t="str">
        <f>IFERROR(INDEX(Checklist!$D$5:$D$137,MATCH(14,Checklist!$K$5:$K$137,0)),"")</f>
        <v/>
      </c>
      <c r="G17" s="4" t="n"/>
      <c r="H17" s="4" t="n"/>
      <c r="I17" s="4" t="n"/>
      <c r="J17" s="4" t="n"/>
    </row>
    <row r="18" ht="28" customHeight="1">
      <c r="A18" s="8" t="n">
        <v>15</v>
      </c>
      <c r="B18" s="10" t="str">
        <f>IFERROR(INDEX(Checklist!$A$5:$A$137,MATCH(15,Checklist!$K$5:$K$137,0)),"")</f>
        <v/>
      </c>
      <c r="C18" s="17" t="str">
        <f>IFERROR(INDEX(Checklist!$B$5:$B$137,MATCH(15,Checklist!$K$5:$K$137,0)),"")</f>
        <v/>
      </c>
      <c r="D18" s="10" t="str">
        <f>IFERROR(INDEX(Checklist!$F$5:$F$137,MATCH(15,Checklist!$K$5:$K$137,0))&amp;"","")</f>
        <v/>
      </c>
      <c r="E18" s="26" t="str">
        <f>IFERROR(INDEX(Checklist!$L$5:$L$137,MATCH(15,Checklist!$K$5:$K$137,0)),"")</f>
        <v/>
      </c>
      <c r="F18" s="24" t="str">
        <f>IFERROR(INDEX(Checklist!$D$5:$D$137,MATCH(15,Checklist!$K$5:$K$137,0)),"")</f>
        <v/>
      </c>
      <c r="G18" s="4" t="n"/>
      <c r="H18" s="4" t="n"/>
      <c r="I18" s="4" t="n"/>
      <c r="J18" s="4" t="n"/>
    </row>
    <row r="19" ht="28" customHeight="1">
      <c r="A19" s="8" t="n">
        <v>16</v>
      </c>
      <c r="B19" s="10" t="str">
        <f>IFERROR(INDEX(Checklist!$A$5:$A$137,MATCH(16,Checklist!$K$5:$K$137,0)),"")</f>
        <v/>
      </c>
      <c r="C19" s="17" t="str">
        <f>IFERROR(INDEX(Checklist!$B$5:$B$137,MATCH(16,Checklist!$K$5:$K$137,0)),"")</f>
        <v/>
      </c>
      <c r="D19" s="10" t="str">
        <f>IFERROR(INDEX(Checklist!$F$5:$F$137,MATCH(16,Checklist!$K$5:$K$137,0))&amp;"","")</f>
        <v/>
      </c>
      <c r="E19" s="26" t="str">
        <f>IFERROR(INDEX(Checklist!$L$5:$L$137,MATCH(16,Checklist!$K$5:$K$137,0)),"")</f>
        <v/>
      </c>
      <c r="F19" s="24" t="str">
        <f>IFERROR(INDEX(Checklist!$D$5:$D$137,MATCH(16,Checklist!$K$5:$K$137,0)),"")</f>
        <v/>
      </c>
      <c r="G19" s="4" t="n"/>
      <c r="H19" s="4" t="n"/>
      <c r="I19" s="4" t="n"/>
      <c r="J19" s="4" t="n"/>
    </row>
    <row r="20" ht="28" customHeight="1">
      <c r="A20" s="8" t="n">
        <v>17</v>
      </c>
      <c r="B20" s="10" t="str">
        <f>IFERROR(INDEX(Checklist!$A$5:$A$137,MATCH(17,Checklist!$K$5:$K$137,0)),"")</f>
        <v/>
      </c>
      <c r="C20" s="17" t="str">
        <f>IFERROR(INDEX(Checklist!$B$5:$B$137,MATCH(17,Checklist!$K$5:$K$137,0)),"")</f>
        <v/>
      </c>
      <c r="D20" s="10" t="str">
        <f>IFERROR(INDEX(Checklist!$F$5:$F$137,MATCH(17,Checklist!$K$5:$K$137,0))&amp;"","")</f>
        <v/>
      </c>
      <c r="E20" s="26" t="str">
        <f>IFERROR(INDEX(Checklist!$L$5:$L$137,MATCH(17,Checklist!$K$5:$K$137,0)),"")</f>
        <v/>
      </c>
      <c r="F20" s="24" t="str">
        <f>IFERROR(INDEX(Checklist!$D$5:$D$137,MATCH(17,Checklist!$K$5:$K$137,0)),"")</f>
        <v/>
      </c>
      <c r="G20" s="4" t="n"/>
      <c r="H20" s="4" t="n"/>
      <c r="I20" s="4" t="n"/>
      <c r="J20" s="4" t="n"/>
    </row>
    <row r="21" ht="28" customHeight="1">
      <c r="A21" s="8" t="n">
        <v>18</v>
      </c>
      <c r="B21" s="10" t="str">
        <f>IFERROR(INDEX(Checklist!$A$5:$A$137,MATCH(18,Checklist!$K$5:$K$137,0)),"")</f>
        <v/>
      </c>
      <c r="C21" s="17" t="str">
        <f>IFERROR(INDEX(Checklist!$B$5:$B$137,MATCH(18,Checklist!$K$5:$K$137,0)),"")</f>
        <v/>
      </c>
      <c r="D21" s="10" t="str">
        <f>IFERROR(INDEX(Checklist!$F$5:$F$137,MATCH(18,Checklist!$K$5:$K$137,0))&amp;"","")</f>
        <v/>
      </c>
      <c r="E21" s="26" t="str">
        <f>IFERROR(INDEX(Checklist!$L$5:$L$137,MATCH(18,Checklist!$K$5:$K$137,0)),"")</f>
        <v/>
      </c>
      <c r="F21" s="24" t="str">
        <f>IFERROR(INDEX(Checklist!$D$5:$D$137,MATCH(18,Checklist!$K$5:$K$137,0)),"")</f>
        <v/>
      </c>
      <c r="G21" s="4" t="n"/>
      <c r="H21" s="4" t="n"/>
      <c r="I21" s="4" t="n"/>
      <c r="J21" s="4" t="n"/>
    </row>
    <row r="22" ht="28" customHeight="1">
      <c r="A22" s="8" t="n">
        <v>19</v>
      </c>
      <c r="B22" s="10" t="str">
        <f>IFERROR(INDEX(Checklist!$A$5:$A$137,MATCH(19,Checklist!$K$5:$K$137,0)),"")</f>
        <v/>
      </c>
      <c r="C22" s="17" t="str">
        <f>IFERROR(INDEX(Checklist!$B$5:$B$137,MATCH(19,Checklist!$K$5:$K$137,0)),"")</f>
        <v/>
      </c>
      <c r="D22" s="10" t="str">
        <f>IFERROR(INDEX(Checklist!$F$5:$F$137,MATCH(19,Checklist!$K$5:$K$137,0))&amp;"","")</f>
        <v/>
      </c>
      <c r="E22" s="26" t="str">
        <f>IFERROR(INDEX(Checklist!$L$5:$L$137,MATCH(19,Checklist!$K$5:$K$137,0)),"")</f>
        <v/>
      </c>
      <c r="F22" s="24" t="str">
        <f>IFERROR(INDEX(Checklist!$D$5:$D$137,MATCH(19,Checklist!$K$5:$K$137,0)),"")</f>
        <v/>
      </c>
      <c r="G22" s="4" t="n"/>
      <c r="H22" s="4" t="n"/>
      <c r="I22" s="4" t="n"/>
      <c r="J22" s="4" t="n"/>
    </row>
    <row r="23" ht="28" customHeight="1">
      <c r="A23" s="8" t="n">
        <v>20</v>
      </c>
      <c r="B23" s="10" t="str">
        <f>IFERROR(INDEX(Checklist!$A$5:$A$137,MATCH(20,Checklist!$K$5:$K$137,0)),"")</f>
        <v/>
      </c>
      <c r="C23" s="17" t="str">
        <f>IFERROR(INDEX(Checklist!$B$5:$B$137,MATCH(20,Checklist!$K$5:$K$137,0)),"")</f>
        <v/>
      </c>
      <c r="D23" s="10" t="str">
        <f>IFERROR(INDEX(Checklist!$F$5:$F$137,MATCH(20,Checklist!$K$5:$K$137,0))&amp;"","")</f>
        <v/>
      </c>
      <c r="E23" s="26" t="str">
        <f>IFERROR(INDEX(Checklist!$L$5:$L$137,MATCH(20,Checklist!$K$5:$K$137,0)),"")</f>
        <v/>
      </c>
      <c r="F23" s="24" t="str">
        <f>IFERROR(INDEX(Checklist!$D$5:$D$137,MATCH(20,Checklist!$K$5:$K$137,0)),"")</f>
        <v/>
      </c>
      <c r="G23" s="4" t="n"/>
      <c r="H23" s="4" t="n"/>
      <c r="I23" s="4" t="n"/>
      <c r="J23" s="4" t="n"/>
    </row>
    <row r="24" ht="28" customHeight="1">
      <c r="A24" s="8" t="n">
        <v>21</v>
      </c>
      <c r="B24" s="10" t="str">
        <f>IFERROR(INDEX(Checklist!$A$5:$A$137,MATCH(21,Checklist!$K$5:$K$137,0)),"")</f>
        <v/>
      </c>
      <c r="C24" s="17" t="str">
        <f>IFERROR(INDEX(Checklist!$B$5:$B$137,MATCH(21,Checklist!$K$5:$K$137,0)),"")</f>
        <v/>
      </c>
      <c r="D24" s="10" t="str">
        <f>IFERROR(INDEX(Checklist!$F$5:$F$137,MATCH(21,Checklist!$K$5:$K$137,0))&amp;"","")</f>
        <v/>
      </c>
      <c r="E24" s="26" t="str">
        <f>IFERROR(INDEX(Checklist!$L$5:$L$137,MATCH(21,Checklist!$K$5:$K$137,0)),"")</f>
        <v/>
      </c>
      <c r="F24" s="24" t="str">
        <f>IFERROR(INDEX(Checklist!$D$5:$D$137,MATCH(21,Checklist!$K$5:$K$137,0)),"")</f>
        <v/>
      </c>
      <c r="G24" s="4" t="n"/>
      <c r="H24" s="4" t="n"/>
      <c r="I24" s="4" t="n"/>
      <c r="J24" s="4" t="n"/>
    </row>
    <row r="25" ht="28" customHeight="1">
      <c r="A25" s="8" t="n">
        <v>22</v>
      </c>
      <c r="B25" s="10" t="str">
        <f>IFERROR(INDEX(Checklist!$A$5:$A$137,MATCH(22,Checklist!$K$5:$K$137,0)),"")</f>
        <v/>
      </c>
      <c r="C25" s="17" t="str">
        <f>IFERROR(INDEX(Checklist!$B$5:$B$137,MATCH(22,Checklist!$K$5:$K$137,0)),"")</f>
        <v/>
      </c>
      <c r="D25" s="10" t="str">
        <f>IFERROR(INDEX(Checklist!$F$5:$F$137,MATCH(22,Checklist!$K$5:$K$137,0))&amp;"","")</f>
        <v/>
      </c>
      <c r="E25" s="26" t="str">
        <f>IFERROR(INDEX(Checklist!$L$5:$L$137,MATCH(22,Checklist!$K$5:$K$137,0)),"")</f>
        <v/>
      </c>
      <c r="F25" s="24" t="str">
        <f>IFERROR(INDEX(Checklist!$D$5:$D$137,MATCH(22,Checklist!$K$5:$K$137,0)),"")</f>
        <v/>
      </c>
      <c r="G25" s="4" t="n"/>
      <c r="H25" s="4" t="n"/>
      <c r="I25" s="4" t="n"/>
      <c r="J25" s="4" t="n"/>
    </row>
    <row r="26" ht="28" customHeight="1">
      <c r="A26" s="8" t="n">
        <v>23</v>
      </c>
      <c r="B26" s="10" t="str">
        <f>IFERROR(INDEX(Checklist!$A$5:$A$137,MATCH(23,Checklist!$K$5:$K$137,0)),"")</f>
        <v/>
      </c>
      <c r="C26" s="17" t="str">
        <f>IFERROR(INDEX(Checklist!$B$5:$B$137,MATCH(23,Checklist!$K$5:$K$137,0)),"")</f>
        <v/>
      </c>
      <c r="D26" s="10" t="str">
        <f>IFERROR(INDEX(Checklist!$F$5:$F$137,MATCH(23,Checklist!$K$5:$K$137,0))&amp;"","")</f>
        <v/>
      </c>
      <c r="E26" s="26" t="str">
        <f>IFERROR(INDEX(Checklist!$L$5:$L$137,MATCH(23,Checklist!$K$5:$K$137,0)),"")</f>
        <v/>
      </c>
      <c r="F26" s="24" t="str">
        <f>IFERROR(INDEX(Checklist!$D$5:$D$137,MATCH(23,Checklist!$K$5:$K$137,0)),"")</f>
        <v/>
      </c>
      <c r="G26" s="4" t="n"/>
      <c r="H26" s="4" t="n"/>
      <c r="I26" s="4" t="n"/>
      <c r="J26" s="4" t="n"/>
    </row>
    <row r="27" ht="28" customHeight="1">
      <c r="A27" s="8" t="n">
        <v>24</v>
      </c>
      <c r="B27" s="10" t="str">
        <f>IFERROR(INDEX(Checklist!$A$5:$A$137,MATCH(24,Checklist!$K$5:$K$137,0)),"")</f>
        <v/>
      </c>
      <c r="C27" s="17" t="str">
        <f>IFERROR(INDEX(Checklist!$B$5:$B$137,MATCH(24,Checklist!$K$5:$K$137,0)),"")</f>
        <v/>
      </c>
      <c r="D27" s="10" t="str">
        <f>IFERROR(INDEX(Checklist!$F$5:$F$137,MATCH(24,Checklist!$K$5:$K$137,0))&amp;"","")</f>
        <v/>
      </c>
      <c r="E27" s="26" t="str">
        <f>IFERROR(INDEX(Checklist!$L$5:$L$137,MATCH(24,Checklist!$K$5:$K$137,0)),"")</f>
        <v/>
      </c>
      <c r="F27" s="24" t="str">
        <f>IFERROR(INDEX(Checklist!$D$5:$D$137,MATCH(24,Checklist!$K$5:$K$137,0)),"")</f>
        <v/>
      </c>
      <c r="G27" s="4" t="n"/>
      <c r="H27" s="4" t="n"/>
      <c r="I27" s="4" t="n"/>
      <c r="J27" s="4" t="n"/>
    </row>
    <row r="28" ht="28" customHeight="1">
      <c r="A28" s="8" t="n">
        <v>25</v>
      </c>
      <c r="B28" s="10" t="str">
        <f>IFERROR(INDEX(Checklist!$A$5:$A$137,MATCH(25,Checklist!$K$5:$K$137,0)),"")</f>
        <v/>
      </c>
      <c r="C28" s="17" t="str">
        <f>IFERROR(INDEX(Checklist!$B$5:$B$137,MATCH(25,Checklist!$K$5:$K$137,0)),"")</f>
        <v/>
      </c>
      <c r="D28" s="10" t="str">
        <f>IFERROR(INDEX(Checklist!$F$5:$F$137,MATCH(25,Checklist!$K$5:$K$137,0))&amp;"","")</f>
        <v/>
      </c>
      <c r="E28" s="26" t="str">
        <f>IFERROR(INDEX(Checklist!$L$5:$L$137,MATCH(25,Checklist!$K$5:$K$137,0)),"")</f>
        <v/>
      </c>
      <c r="F28" s="24" t="str">
        <f>IFERROR(INDEX(Checklist!$D$5:$D$137,MATCH(25,Checklist!$K$5:$K$137,0)),"")</f>
        <v/>
      </c>
      <c r="G28" s="4" t="n"/>
      <c r="H28" s="4" t="n"/>
      <c r="I28" s="4" t="n"/>
      <c r="J28" s="4" t="n"/>
    </row>
    <row r="29" ht="28" customHeight="1">
      <c r="A29" s="8" t="n">
        <v>26</v>
      </c>
      <c r="B29" s="10" t="str">
        <f>IFERROR(INDEX(Checklist!$A$5:$A$137,MATCH(26,Checklist!$K$5:$K$137,0)),"")</f>
        <v/>
      </c>
      <c r="C29" s="17" t="str">
        <f>IFERROR(INDEX(Checklist!$B$5:$B$137,MATCH(26,Checklist!$K$5:$K$137,0)),"")</f>
        <v/>
      </c>
      <c r="D29" s="10" t="str">
        <f>IFERROR(INDEX(Checklist!$F$5:$F$137,MATCH(26,Checklist!$K$5:$K$137,0))&amp;"","")</f>
        <v/>
      </c>
      <c r="E29" s="26" t="str">
        <f>IFERROR(INDEX(Checklist!$L$5:$L$137,MATCH(26,Checklist!$K$5:$K$137,0)),"")</f>
        <v/>
      </c>
      <c r="F29" s="24" t="str">
        <f>IFERROR(INDEX(Checklist!$D$5:$D$137,MATCH(26,Checklist!$K$5:$K$137,0)),"")</f>
        <v/>
      </c>
      <c r="G29" s="4" t="n"/>
      <c r="H29" s="4" t="n"/>
      <c r="I29" s="4" t="n"/>
      <c r="J29" s="4" t="n"/>
    </row>
    <row r="30" ht="28" customHeight="1">
      <c r="A30" s="8" t="n">
        <v>27</v>
      </c>
      <c r="B30" s="10" t="str">
        <f>IFERROR(INDEX(Checklist!$A$5:$A$137,MATCH(27,Checklist!$K$5:$K$137,0)),"")</f>
        <v/>
      </c>
      <c r="C30" s="17" t="str">
        <f>IFERROR(INDEX(Checklist!$B$5:$B$137,MATCH(27,Checklist!$K$5:$K$137,0)),"")</f>
        <v/>
      </c>
      <c r="D30" s="10" t="str">
        <f>IFERROR(INDEX(Checklist!$F$5:$F$137,MATCH(27,Checklist!$K$5:$K$137,0))&amp;"","")</f>
        <v/>
      </c>
      <c r="E30" s="26" t="str">
        <f>IFERROR(INDEX(Checklist!$L$5:$L$137,MATCH(27,Checklist!$K$5:$K$137,0)),"")</f>
        <v/>
      </c>
      <c r="F30" s="24" t="str">
        <f>IFERROR(INDEX(Checklist!$D$5:$D$137,MATCH(27,Checklist!$K$5:$K$137,0)),"")</f>
        <v/>
      </c>
      <c r="G30" s="4" t="n"/>
      <c r="H30" s="4" t="n"/>
      <c r="I30" s="4" t="n"/>
      <c r="J30" s="4" t="n"/>
    </row>
    <row r="31" ht="28" customHeight="1">
      <c r="A31" s="8" t="n">
        <v>28</v>
      </c>
      <c r="B31" s="10" t="str">
        <f>IFERROR(INDEX(Checklist!$A$5:$A$137,MATCH(28,Checklist!$K$5:$K$137,0)),"")</f>
        <v/>
      </c>
      <c r="C31" s="17" t="str">
        <f>IFERROR(INDEX(Checklist!$B$5:$B$137,MATCH(28,Checklist!$K$5:$K$137,0)),"")</f>
        <v/>
      </c>
      <c r="D31" s="10" t="str">
        <f>IFERROR(INDEX(Checklist!$F$5:$F$137,MATCH(28,Checklist!$K$5:$K$137,0))&amp;"","")</f>
        <v/>
      </c>
      <c r="E31" s="26" t="str">
        <f>IFERROR(INDEX(Checklist!$L$5:$L$137,MATCH(28,Checklist!$K$5:$K$137,0)),"")</f>
        <v/>
      </c>
      <c r="F31" s="24" t="str">
        <f>IFERROR(INDEX(Checklist!$D$5:$D$137,MATCH(28,Checklist!$K$5:$K$137,0)),"")</f>
        <v/>
      </c>
      <c r="G31" s="4" t="n"/>
      <c r="H31" s="4" t="n"/>
      <c r="I31" s="4" t="n"/>
      <c r="J31" s="4" t="n"/>
    </row>
    <row r="32" ht="28" customHeight="1">
      <c r="A32" s="8" t="n">
        <v>29</v>
      </c>
      <c r="B32" s="10" t="str">
        <f>IFERROR(INDEX(Checklist!$A$5:$A$137,MATCH(29,Checklist!$K$5:$K$137,0)),"")</f>
        <v/>
      </c>
      <c r="C32" s="17" t="str">
        <f>IFERROR(INDEX(Checklist!$B$5:$B$137,MATCH(29,Checklist!$K$5:$K$137,0)),"")</f>
        <v/>
      </c>
      <c r="D32" s="10" t="str">
        <f>IFERROR(INDEX(Checklist!$F$5:$F$137,MATCH(29,Checklist!$K$5:$K$137,0))&amp;"","")</f>
        <v/>
      </c>
      <c r="E32" s="26" t="str">
        <f>IFERROR(INDEX(Checklist!$L$5:$L$137,MATCH(29,Checklist!$K$5:$K$137,0)),"")</f>
        <v/>
      </c>
      <c r="F32" s="24" t="str">
        <f>IFERROR(INDEX(Checklist!$D$5:$D$137,MATCH(29,Checklist!$K$5:$K$137,0)),"")</f>
        <v/>
      </c>
      <c r="G32" s="4" t="n"/>
      <c r="H32" s="4" t="n"/>
      <c r="I32" s="4" t="n"/>
      <c r="J32" s="4" t="n"/>
    </row>
    <row r="33" ht="28" customHeight="1">
      <c r="A33" s="8" t="n">
        <v>30</v>
      </c>
      <c r="B33" s="10" t="str">
        <f>IFERROR(INDEX(Checklist!$A$5:$A$137,MATCH(30,Checklist!$K$5:$K$137,0)),"")</f>
        <v/>
      </c>
      <c r="C33" s="17" t="str">
        <f>IFERROR(INDEX(Checklist!$B$5:$B$137,MATCH(30,Checklist!$K$5:$K$137,0)),"")</f>
        <v/>
      </c>
      <c r="D33" s="10" t="str">
        <f>IFERROR(INDEX(Checklist!$F$5:$F$137,MATCH(30,Checklist!$K$5:$K$137,0))&amp;"","")</f>
        <v/>
      </c>
      <c r="E33" s="26" t="str">
        <f>IFERROR(INDEX(Checklist!$L$5:$L$137,MATCH(30,Checklist!$K$5:$K$137,0)),"")</f>
        <v/>
      </c>
      <c r="F33" s="24" t="str">
        <f>IFERROR(INDEX(Checklist!$D$5:$D$137,MATCH(30,Checklist!$K$5:$K$137,0)),"")</f>
        <v/>
      </c>
      <c r="G33" s="4" t="n"/>
      <c r="H33" s="4" t="n"/>
      <c r="I33" s="4" t="n"/>
      <c r="J33" s="4" t="n"/>
    </row>
    <row r="34" ht="28" customHeight="1">
      <c r="A34" s="8" t="n">
        <v>31</v>
      </c>
      <c r="B34" s="10" t="str">
        <f>IFERROR(INDEX(Checklist!$A$5:$A$137,MATCH(31,Checklist!$K$5:$K$137,0)),"")</f>
        <v/>
      </c>
      <c r="C34" s="17" t="str">
        <f>IFERROR(INDEX(Checklist!$B$5:$B$137,MATCH(31,Checklist!$K$5:$K$137,0)),"")</f>
        <v/>
      </c>
      <c r="D34" s="10" t="str">
        <f>IFERROR(INDEX(Checklist!$F$5:$F$137,MATCH(31,Checklist!$K$5:$K$137,0))&amp;"","")</f>
        <v/>
      </c>
      <c r="E34" s="26" t="str">
        <f>IFERROR(INDEX(Checklist!$L$5:$L$137,MATCH(31,Checklist!$K$5:$K$137,0)),"")</f>
        <v/>
      </c>
      <c r="F34" s="24" t="str">
        <f>IFERROR(INDEX(Checklist!$D$5:$D$137,MATCH(31,Checklist!$K$5:$K$137,0)),"")</f>
        <v/>
      </c>
      <c r="G34" s="4" t="n"/>
      <c r="H34" s="4" t="n"/>
      <c r="I34" s="4" t="n"/>
      <c r="J34" s="4" t="n"/>
    </row>
    <row r="35" ht="28" customHeight="1">
      <c r="A35" s="8" t="n">
        <v>32</v>
      </c>
      <c r="B35" s="10" t="str">
        <f>IFERROR(INDEX(Checklist!$A$5:$A$137,MATCH(32,Checklist!$K$5:$K$137,0)),"")</f>
        <v/>
      </c>
      <c r="C35" s="17" t="str">
        <f>IFERROR(INDEX(Checklist!$B$5:$B$137,MATCH(32,Checklist!$K$5:$K$137,0)),"")</f>
        <v/>
      </c>
      <c r="D35" s="10" t="str">
        <f>IFERROR(INDEX(Checklist!$F$5:$F$137,MATCH(32,Checklist!$K$5:$K$137,0))&amp;"","")</f>
        <v/>
      </c>
      <c r="E35" s="26" t="str">
        <f>IFERROR(INDEX(Checklist!$L$5:$L$137,MATCH(32,Checklist!$K$5:$K$137,0)),"")</f>
        <v/>
      </c>
      <c r="F35" s="24" t="str">
        <f>IFERROR(INDEX(Checklist!$D$5:$D$137,MATCH(32,Checklist!$K$5:$K$137,0)),"")</f>
        <v/>
      </c>
      <c r="G35" s="4" t="n"/>
      <c r="H35" s="4" t="n"/>
      <c r="I35" s="4" t="n"/>
      <c r="J35" s="4" t="n"/>
    </row>
    <row r="36" ht="28" customHeight="1">
      <c r="A36" s="8" t="n">
        <v>33</v>
      </c>
      <c r="B36" s="10" t="str">
        <f>IFERROR(INDEX(Checklist!$A$5:$A$137,MATCH(33,Checklist!$K$5:$K$137,0)),"")</f>
        <v/>
      </c>
      <c r="C36" s="17" t="str">
        <f>IFERROR(INDEX(Checklist!$B$5:$B$137,MATCH(33,Checklist!$K$5:$K$137,0)),"")</f>
        <v/>
      </c>
      <c r="D36" s="10" t="str">
        <f>IFERROR(INDEX(Checklist!$F$5:$F$137,MATCH(33,Checklist!$K$5:$K$137,0))&amp;"","")</f>
        <v/>
      </c>
      <c r="E36" s="26" t="str">
        <f>IFERROR(INDEX(Checklist!$L$5:$L$137,MATCH(33,Checklist!$K$5:$K$137,0)),"")</f>
        <v/>
      </c>
      <c r="F36" s="24" t="str">
        <f>IFERROR(INDEX(Checklist!$D$5:$D$137,MATCH(33,Checklist!$K$5:$K$137,0)),"")</f>
        <v/>
      </c>
      <c r="G36" s="4" t="n"/>
      <c r="H36" s="4" t="n"/>
      <c r="I36" s="4" t="n"/>
      <c r="J36" s="4" t="n"/>
    </row>
    <row r="37" ht="28" customHeight="1">
      <c r="A37" s="8" t="n">
        <v>34</v>
      </c>
      <c r="B37" s="10" t="str">
        <f>IFERROR(INDEX(Checklist!$A$5:$A$137,MATCH(34,Checklist!$K$5:$K$137,0)),"")</f>
        <v/>
      </c>
      <c r="C37" s="17" t="str">
        <f>IFERROR(INDEX(Checklist!$B$5:$B$137,MATCH(34,Checklist!$K$5:$K$137,0)),"")</f>
        <v/>
      </c>
      <c r="D37" s="10" t="str">
        <f>IFERROR(INDEX(Checklist!$F$5:$F$137,MATCH(34,Checklist!$K$5:$K$137,0))&amp;"","")</f>
        <v/>
      </c>
      <c r="E37" s="26" t="str">
        <f>IFERROR(INDEX(Checklist!$L$5:$L$137,MATCH(34,Checklist!$K$5:$K$137,0)),"")</f>
        <v/>
      </c>
      <c r="F37" s="24" t="str">
        <f>IFERROR(INDEX(Checklist!$D$5:$D$137,MATCH(34,Checklist!$K$5:$K$137,0)),"")</f>
        <v/>
      </c>
      <c r="G37" s="4" t="n"/>
      <c r="H37" s="4" t="n"/>
      <c r="I37" s="4" t="n"/>
      <c r="J37" s="4" t="n"/>
    </row>
    <row r="38" ht="28" customHeight="1">
      <c r="A38" s="8" t="n">
        <v>35</v>
      </c>
      <c r="B38" s="10" t="str">
        <f>IFERROR(INDEX(Checklist!$A$5:$A$137,MATCH(35,Checklist!$K$5:$K$137,0)),"")</f>
        <v/>
      </c>
      <c r="C38" s="17" t="str">
        <f>IFERROR(INDEX(Checklist!$B$5:$B$137,MATCH(35,Checklist!$K$5:$K$137,0)),"")</f>
        <v/>
      </c>
      <c r="D38" s="10" t="str">
        <f>IFERROR(INDEX(Checklist!$F$5:$F$137,MATCH(35,Checklist!$K$5:$K$137,0))&amp;"","")</f>
        <v/>
      </c>
      <c r="E38" s="26" t="str">
        <f>IFERROR(INDEX(Checklist!$L$5:$L$137,MATCH(35,Checklist!$K$5:$K$137,0)),"")</f>
        <v/>
      </c>
      <c r="F38" s="24" t="str">
        <f>IFERROR(INDEX(Checklist!$D$5:$D$137,MATCH(35,Checklist!$K$5:$K$137,0)),"")</f>
        <v/>
      </c>
      <c r="G38" s="4" t="n"/>
      <c r="H38" s="4" t="n"/>
      <c r="I38" s="4" t="n"/>
      <c r="J38" s="4" t="n"/>
    </row>
    <row r="39" ht="28" customHeight="1">
      <c r="A39" s="8" t="n">
        <v>36</v>
      </c>
      <c r="B39" s="10" t="str">
        <f>IFERROR(INDEX(Checklist!$A$5:$A$137,MATCH(36,Checklist!$K$5:$K$137,0)),"")</f>
        <v/>
      </c>
      <c r="C39" s="17" t="str">
        <f>IFERROR(INDEX(Checklist!$B$5:$B$137,MATCH(36,Checklist!$K$5:$K$137,0)),"")</f>
        <v/>
      </c>
      <c r="D39" s="10" t="str">
        <f>IFERROR(INDEX(Checklist!$F$5:$F$137,MATCH(36,Checklist!$K$5:$K$137,0))&amp;"","")</f>
        <v/>
      </c>
      <c r="E39" s="26" t="str">
        <f>IFERROR(INDEX(Checklist!$L$5:$L$137,MATCH(36,Checklist!$K$5:$K$137,0)),"")</f>
        <v/>
      </c>
      <c r="F39" s="24" t="str">
        <f>IFERROR(INDEX(Checklist!$D$5:$D$137,MATCH(36,Checklist!$K$5:$K$137,0)),"")</f>
        <v/>
      </c>
      <c r="G39" s="4" t="n"/>
      <c r="H39" s="4" t="n"/>
      <c r="I39" s="4" t="n"/>
      <c r="J39" s="4" t="n"/>
    </row>
    <row r="40" ht="28" customHeight="1">
      <c r="A40" s="8" t="n">
        <v>37</v>
      </c>
      <c r="B40" s="10" t="str">
        <f>IFERROR(INDEX(Checklist!$A$5:$A$137,MATCH(37,Checklist!$K$5:$K$137,0)),"")</f>
        <v/>
      </c>
      <c r="C40" s="17" t="str">
        <f>IFERROR(INDEX(Checklist!$B$5:$B$137,MATCH(37,Checklist!$K$5:$K$137,0)),"")</f>
        <v/>
      </c>
      <c r="D40" s="10" t="str">
        <f>IFERROR(INDEX(Checklist!$F$5:$F$137,MATCH(37,Checklist!$K$5:$K$137,0))&amp;"","")</f>
        <v/>
      </c>
      <c r="E40" s="26" t="str">
        <f>IFERROR(INDEX(Checklist!$L$5:$L$137,MATCH(37,Checklist!$K$5:$K$137,0)),"")</f>
        <v/>
      </c>
      <c r="F40" s="24" t="str">
        <f>IFERROR(INDEX(Checklist!$D$5:$D$137,MATCH(37,Checklist!$K$5:$K$137,0)),"")</f>
        <v/>
      </c>
      <c r="G40" s="4" t="n"/>
      <c r="H40" s="4" t="n"/>
      <c r="I40" s="4" t="n"/>
      <c r="J40" s="4" t="n"/>
    </row>
    <row r="41" ht="28" customHeight="1">
      <c r="A41" s="8" t="n">
        <v>38</v>
      </c>
      <c r="B41" s="10" t="str">
        <f>IFERROR(INDEX(Checklist!$A$5:$A$137,MATCH(38,Checklist!$K$5:$K$137,0)),"")</f>
        <v/>
      </c>
      <c r="C41" s="17" t="str">
        <f>IFERROR(INDEX(Checklist!$B$5:$B$137,MATCH(38,Checklist!$K$5:$K$137,0)),"")</f>
        <v/>
      </c>
      <c r="D41" s="10" t="str">
        <f>IFERROR(INDEX(Checklist!$F$5:$F$137,MATCH(38,Checklist!$K$5:$K$137,0))&amp;"","")</f>
        <v/>
      </c>
      <c r="E41" s="26" t="str">
        <f>IFERROR(INDEX(Checklist!$L$5:$L$137,MATCH(38,Checklist!$K$5:$K$137,0)),"")</f>
        <v/>
      </c>
      <c r="F41" s="24" t="str">
        <f>IFERROR(INDEX(Checklist!$D$5:$D$137,MATCH(38,Checklist!$K$5:$K$137,0)),"")</f>
        <v/>
      </c>
      <c r="G41" s="4" t="n"/>
      <c r="H41" s="4" t="n"/>
      <c r="I41" s="4" t="n"/>
      <c r="J41" s="4" t="n"/>
    </row>
    <row r="42" ht="28" customHeight="1">
      <c r="A42" s="8" t="n">
        <v>39</v>
      </c>
      <c r="B42" s="10" t="str">
        <f>IFERROR(INDEX(Checklist!$A$5:$A$137,MATCH(39,Checklist!$K$5:$K$137,0)),"")</f>
        <v/>
      </c>
      <c r="C42" s="17" t="str">
        <f>IFERROR(INDEX(Checklist!$B$5:$B$137,MATCH(39,Checklist!$K$5:$K$137,0)),"")</f>
        <v/>
      </c>
      <c r="D42" s="10" t="str">
        <f>IFERROR(INDEX(Checklist!$F$5:$F$137,MATCH(39,Checklist!$K$5:$K$137,0))&amp;"","")</f>
        <v/>
      </c>
      <c r="E42" s="26" t="str">
        <f>IFERROR(INDEX(Checklist!$L$5:$L$137,MATCH(39,Checklist!$K$5:$K$137,0)),"")</f>
        <v/>
      </c>
      <c r="F42" s="24" t="str">
        <f>IFERROR(INDEX(Checklist!$D$5:$D$137,MATCH(39,Checklist!$K$5:$K$137,0)),"")</f>
        <v/>
      </c>
      <c r="G42" s="4" t="n"/>
      <c r="H42" s="4" t="n"/>
      <c r="I42" s="4" t="n"/>
      <c r="J42" s="4" t="n"/>
    </row>
    <row r="43" ht="28" customHeight="1">
      <c r="A43" s="8" t="n">
        <v>40</v>
      </c>
      <c r="B43" s="10" t="str">
        <f>IFERROR(INDEX(Checklist!$A$5:$A$137,MATCH(40,Checklist!$K$5:$K$137,0)),"")</f>
        <v/>
      </c>
      <c r="C43" s="17" t="str">
        <f>IFERROR(INDEX(Checklist!$B$5:$B$137,MATCH(40,Checklist!$K$5:$K$137,0)),"")</f>
        <v/>
      </c>
      <c r="D43" s="10" t="str">
        <f>IFERROR(INDEX(Checklist!$F$5:$F$137,MATCH(40,Checklist!$K$5:$K$137,0))&amp;"","")</f>
        <v/>
      </c>
      <c r="E43" s="26" t="str">
        <f>IFERROR(INDEX(Checklist!$L$5:$L$137,MATCH(40,Checklist!$K$5:$K$137,0)),"")</f>
        <v/>
      </c>
      <c r="F43" s="24" t="str">
        <f>IFERROR(INDEX(Checklist!$D$5:$D$137,MATCH(40,Checklist!$K$5:$K$137,0)),"")</f>
        <v/>
      </c>
      <c r="G43" s="4" t="n"/>
      <c r="H43" s="4" t="n"/>
      <c r="I43" s="4" t="n"/>
      <c r="J43" s="4" t="n"/>
    </row>
    <row r="44" ht="28" customHeight="1">
      <c r="A44" s="8" t="n">
        <v>41</v>
      </c>
      <c r="B44" s="10" t="str">
        <f>IFERROR(INDEX(Checklist!$A$5:$A$137,MATCH(41,Checklist!$K$5:$K$137,0)),"")</f>
        <v/>
      </c>
      <c r="C44" s="17" t="str">
        <f>IFERROR(INDEX(Checklist!$B$5:$B$137,MATCH(41,Checklist!$K$5:$K$137,0)),"")</f>
        <v/>
      </c>
      <c r="D44" s="10" t="str">
        <f>IFERROR(INDEX(Checklist!$F$5:$F$137,MATCH(41,Checklist!$K$5:$K$137,0))&amp;"","")</f>
        <v/>
      </c>
      <c r="E44" s="26" t="str">
        <f>IFERROR(INDEX(Checklist!$L$5:$L$137,MATCH(41,Checklist!$K$5:$K$137,0)),"")</f>
        <v/>
      </c>
      <c r="F44" s="24" t="str">
        <f>IFERROR(INDEX(Checklist!$D$5:$D$137,MATCH(41,Checklist!$K$5:$K$137,0)),"")</f>
        <v/>
      </c>
      <c r="G44" s="4" t="n"/>
      <c r="H44" s="4" t="n"/>
      <c r="I44" s="4" t="n"/>
      <c r="J44" s="4" t="n"/>
    </row>
    <row r="45" ht="28" customHeight="1">
      <c r="A45" s="8" t="n">
        <v>42</v>
      </c>
      <c r="B45" s="10" t="str">
        <f>IFERROR(INDEX(Checklist!$A$5:$A$137,MATCH(42,Checklist!$K$5:$K$137,0)),"")</f>
        <v/>
      </c>
      <c r="C45" s="17" t="str">
        <f>IFERROR(INDEX(Checklist!$B$5:$B$137,MATCH(42,Checklist!$K$5:$K$137,0)),"")</f>
        <v/>
      </c>
      <c r="D45" s="10" t="str">
        <f>IFERROR(INDEX(Checklist!$F$5:$F$137,MATCH(42,Checklist!$K$5:$K$137,0))&amp;"","")</f>
        <v/>
      </c>
      <c r="E45" s="26" t="str">
        <f>IFERROR(INDEX(Checklist!$L$5:$L$137,MATCH(42,Checklist!$K$5:$K$137,0)),"")</f>
        <v/>
      </c>
      <c r="F45" s="24" t="str">
        <f>IFERROR(INDEX(Checklist!$D$5:$D$137,MATCH(42,Checklist!$K$5:$K$137,0)),"")</f>
        <v/>
      </c>
      <c r="G45" s="4" t="n"/>
      <c r="H45" s="4" t="n"/>
      <c r="I45" s="4" t="n"/>
      <c r="J45" s="4" t="n"/>
    </row>
    <row r="46" ht="28" customHeight="1">
      <c r="A46" s="8" t="n">
        <v>43</v>
      </c>
      <c r="B46" s="10" t="str">
        <f>IFERROR(INDEX(Checklist!$A$5:$A$137,MATCH(43,Checklist!$K$5:$K$137,0)),"")</f>
        <v/>
      </c>
      <c r="C46" s="17" t="str">
        <f>IFERROR(INDEX(Checklist!$B$5:$B$137,MATCH(43,Checklist!$K$5:$K$137,0)),"")</f>
        <v/>
      </c>
      <c r="D46" s="10" t="str">
        <f>IFERROR(INDEX(Checklist!$F$5:$F$137,MATCH(43,Checklist!$K$5:$K$137,0))&amp;"","")</f>
        <v/>
      </c>
      <c r="E46" s="26" t="str">
        <f>IFERROR(INDEX(Checklist!$L$5:$L$137,MATCH(43,Checklist!$K$5:$K$137,0)),"")</f>
        <v/>
      </c>
      <c r="F46" s="24" t="str">
        <f>IFERROR(INDEX(Checklist!$D$5:$D$137,MATCH(43,Checklist!$K$5:$K$137,0)),"")</f>
        <v/>
      </c>
      <c r="G46" s="4" t="n"/>
      <c r="H46" s="4" t="n"/>
      <c r="I46" s="4" t="n"/>
      <c r="J46" s="4" t="n"/>
    </row>
    <row r="47" ht="28" customHeight="1">
      <c r="A47" s="8" t="n">
        <v>44</v>
      </c>
      <c r="B47" s="10" t="str">
        <f>IFERROR(INDEX(Checklist!$A$5:$A$137,MATCH(44,Checklist!$K$5:$K$137,0)),"")</f>
        <v/>
      </c>
      <c r="C47" s="17" t="str">
        <f>IFERROR(INDEX(Checklist!$B$5:$B$137,MATCH(44,Checklist!$K$5:$K$137,0)),"")</f>
        <v/>
      </c>
      <c r="D47" s="10" t="str">
        <f>IFERROR(INDEX(Checklist!$F$5:$F$137,MATCH(44,Checklist!$K$5:$K$137,0))&amp;"","")</f>
        <v/>
      </c>
      <c r="E47" s="26" t="str">
        <f>IFERROR(INDEX(Checklist!$L$5:$L$137,MATCH(44,Checklist!$K$5:$K$137,0)),"")</f>
        <v/>
      </c>
      <c r="F47" s="24" t="str">
        <f>IFERROR(INDEX(Checklist!$D$5:$D$137,MATCH(44,Checklist!$K$5:$K$137,0)),"")</f>
        <v/>
      </c>
      <c r="G47" s="4" t="n"/>
      <c r="H47" s="4" t="n"/>
      <c r="I47" s="4" t="n"/>
      <c r="J47" s="4" t="n"/>
    </row>
    <row r="48" ht="28" customHeight="1">
      <c r="A48" s="8" t="n">
        <v>45</v>
      </c>
      <c r="B48" s="10" t="str">
        <f>IFERROR(INDEX(Checklist!$A$5:$A$137,MATCH(45,Checklist!$K$5:$K$137,0)),"")</f>
        <v/>
      </c>
      <c r="C48" s="17" t="str">
        <f>IFERROR(INDEX(Checklist!$B$5:$B$137,MATCH(45,Checklist!$K$5:$K$137,0)),"")</f>
        <v/>
      </c>
      <c r="D48" s="10" t="str">
        <f>IFERROR(INDEX(Checklist!$F$5:$F$137,MATCH(45,Checklist!$K$5:$K$137,0))&amp;"","")</f>
        <v/>
      </c>
      <c r="E48" s="26" t="str">
        <f>IFERROR(INDEX(Checklist!$L$5:$L$137,MATCH(45,Checklist!$K$5:$K$137,0)),"")</f>
        <v/>
      </c>
      <c r="F48" s="24" t="str">
        <f>IFERROR(INDEX(Checklist!$D$5:$D$137,MATCH(45,Checklist!$K$5:$K$137,0)),"")</f>
        <v/>
      </c>
      <c r="G48" s="4" t="n"/>
      <c r="H48" s="4" t="n"/>
      <c r="I48" s="4" t="n"/>
      <c r="J48" s="4" t="n"/>
    </row>
    <row r="49" ht="28" customHeight="1">
      <c r="A49" s="8" t="n">
        <v>46</v>
      </c>
      <c r="B49" s="10" t="str">
        <f>IFERROR(INDEX(Checklist!$A$5:$A$137,MATCH(46,Checklist!$K$5:$K$137,0)),"")</f>
        <v/>
      </c>
      <c r="C49" s="17" t="str">
        <f>IFERROR(INDEX(Checklist!$B$5:$B$137,MATCH(46,Checklist!$K$5:$K$137,0)),"")</f>
        <v/>
      </c>
      <c r="D49" s="10" t="str">
        <f>IFERROR(INDEX(Checklist!$F$5:$F$137,MATCH(46,Checklist!$K$5:$K$137,0))&amp;"","")</f>
        <v/>
      </c>
      <c r="E49" s="26" t="str">
        <f>IFERROR(INDEX(Checklist!$L$5:$L$137,MATCH(46,Checklist!$K$5:$K$137,0)),"")</f>
        <v/>
      </c>
      <c r="F49" s="24" t="str">
        <f>IFERROR(INDEX(Checklist!$D$5:$D$137,MATCH(46,Checklist!$K$5:$K$137,0)),"")</f>
        <v/>
      </c>
      <c r="G49" s="4" t="n"/>
      <c r="H49" s="4" t="n"/>
      <c r="I49" s="4" t="n"/>
      <c r="J49" s="4" t="n"/>
    </row>
    <row r="50" ht="28" customHeight="1">
      <c r="A50" s="8" t="n">
        <v>47</v>
      </c>
      <c r="B50" s="10" t="str">
        <f>IFERROR(INDEX(Checklist!$A$5:$A$137,MATCH(47,Checklist!$K$5:$K$137,0)),"")</f>
        <v/>
      </c>
      <c r="C50" s="17" t="str">
        <f>IFERROR(INDEX(Checklist!$B$5:$B$137,MATCH(47,Checklist!$K$5:$K$137,0)),"")</f>
        <v/>
      </c>
      <c r="D50" s="10" t="str">
        <f>IFERROR(INDEX(Checklist!$F$5:$F$137,MATCH(47,Checklist!$K$5:$K$137,0))&amp;"","")</f>
        <v/>
      </c>
      <c r="E50" s="26" t="str">
        <f>IFERROR(INDEX(Checklist!$L$5:$L$137,MATCH(47,Checklist!$K$5:$K$137,0)),"")</f>
        <v/>
      </c>
      <c r="F50" s="24" t="str">
        <f>IFERROR(INDEX(Checklist!$D$5:$D$137,MATCH(47,Checklist!$K$5:$K$137,0)),"")</f>
        <v/>
      </c>
      <c r="G50" s="4" t="n"/>
      <c r="H50" s="4" t="n"/>
      <c r="I50" s="4" t="n"/>
      <c r="J50" s="4" t="n"/>
    </row>
    <row r="51" ht="28" customHeight="1">
      <c r="A51" s="8" t="n">
        <v>48</v>
      </c>
      <c r="B51" s="10" t="str">
        <f>IFERROR(INDEX(Checklist!$A$5:$A$137,MATCH(48,Checklist!$K$5:$K$137,0)),"")</f>
        <v/>
      </c>
      <c r="C51" s="17" t="str">
        <f>IFERROR(INDEX(Checklist!$B$5:$B$137,MATCH(48,Checklist!$K$5:$K$137,0)),"")</f>
        <v/>
      </c>
      <c r="D51" s="10" t="str">
        <f>IFERROR(INDEX(Checklist!$F$5:$F$137,MATCH(48,Checklist!$K$5:$K$137,0))&amp;"","")</f>
        <v/>
      </c>
      <c r="E51" s="26" t="str">
        <f>IFERROR(INDEX(Checklist!$L$5:$L$137,MATCH(48,Checklist!$K$5:$K$137,0)),"")</f>
        <v/>
      </c>
      <c r="F51" s="24" t="str">
        <f>IFERROR(INDEX(Checklist!$D$5:$D$137,MATCH(48,Checklist!$K$5:$K$137,0)),"")</f>
        <v/>
      </c>
      <c r="G51" s="4" t="n"/>
      <c r="H51" s="4" t="n"/>
      <c r="I51" s="4" t="n"/>
      <c r="J51" s="4" t="n"/>
    </row>
    <row r="52" ht="28" customHeight="1">
      <c r="A52" s="8" t="n">
        <v>49</v>
      </c>
      <c r="B52" s="10" t="str">
        <f>IFERROR(INDEX(Checklist!$A$5:$A$137,MATCH(49,Checklist!$K$5:$K$137,0)),"")</f>
        <v/>
      </c>
      <c r="C52" s="17" t="str">
        <f>IFERROR(INDEX(Checklist!$B$5:$B$137,MATCH(49,Checklist!$K$5:$K$137,0)),"")</f>
        <v/>
      </c>
      <c r="D52" s="10" t="str">
        <f>IFERROR(INDEX(Checklist!$F$5:$F$137,MATCH(49,Checklist!$K$5:$K$137,0))&amp;"","")</f>
        <v/>
      </c>
      <c r="E52" s="26" t="str">
        <f>IFERROR(INDEX(Checklist!$L$5:$L$137,MATCH(49,Checklist!$K$5:$K$137,0)),"")</f>
        <v/>
      </c>
      <c r="F52" s="24" t="str">
        <f>IFERROR(INDEX(Checklist!$D$5:$D$137,MATCH(49,Checklist!$K$5:$K$137,0)),"")</f>
        <v/>
      </c>
      <c r="G52" s="4" t="n"/>
      <c r="H52" s="4" t="n"/>
      <c r="I52" s="4" t="n"/>
      <c r="J52" s="4" t="n"/>
    </row>
    <row r="53" ht="28" customHeight="1">
      <c r="A53" s="8" t="n">
        <v>50</v>
      </c>
      <c r="B53" s="10" t="str">
        <f>IFERROR(INDEX(Checklist!$A$5:$A$137,MATCH(50,Checklist!$K$5:$K$137,0)),"")</f>
        <v/>
      </c>
      <c r="C53" s="17" t="str">
        <f>IFERROR(INDEX(Checklist!$B$5:$B$137,MATCH(50,Checklist!$K$5:$K$137,0)),"")</f>
        <v/>
      </c>
      <c r="D53" s="10" t="str">
        <f>IFERROR(INDEX(Checklist!$F$5:$F$137,MATCH(50,Checklist!$K$5:$K$137,0))&amp;"","")</f>
        <v/>
      </c>
      <c r="E53" s="26" t="str">
        <f>IFERROR(INDEX(Checklist!$L$5:$L$137,MATCH(50,Checklist!$K$5:$K$137,0)),"")</f>
        <v/>
      </c>
      <c r="F53" s="24" t="str">
        <f>IFERROR(INDEX(Checklist!$D$5:$D$137,MATCH(50,Checklist!$K$5:$K$137,0)),"")</f>
        <v/>
      </c>
      <c r="G53" s="4" t="n"/>
      <c r="H53" s="4" t="n"/>
      <c r="I53" s="4" t="n"/>
      <c r="J53" s="4" t="n"/>
    </row>
    <row r="54" ht="28" customHeight="1">
      <c r="A54" s="8" t="n">
        <v>51</v>
      </c>
      <c r="B54" s="10" t="str">
        <f>IFERROR(INDEX(Checklist!$A$5:$A$137,MATCH(51,Checklist!$K$5:$K$137,0)),"")</f>
        <v/>
      </c>
      <c r="C54" s="17" t="str">
        <f>IFERROR(INDEX(Checklist!$B$5:$B$137,MATCH(51,Checklist!$K$5:$K$137,0)),"")</f>
        <v/>
      </c>
      <c r="D54" s="10" t="str">
        <f>IFERROR(INDEX(Checklist!$F$5:$F$137,MATCH(51,Checklist!$K$5:$K$137,0))&amp;"","")</f>
        <v/>
      </c>
      <c r="E54" s="26" t="str">
        <f>IFERROR(INDEX(Checklist!$L$5:$L$137,MATCH(51,Checklist!$K$5:$K$137,0)),"")</f>
        <v/>
      </c>
      <c r="F54" s="24" t="str">
        <f>IFERROR(INDEX(Checklist!$D$5:$D$137,MATCH(51,Checklist!$K$5:$K$137,0)),"")</f>
        <v/>
      </c>
      <c r="G54" s="4" t="n"/>
      <c r="H54" s="4" t="n"/>
      <c r="I54" s="4" t="n"/>
      <c r="J54" s="4" t="n"/>
    </row>
    <row r="55" ht="28" customHeight="1">
      <c r="A55" s="8" t="n">
        <v>52</v>
      </c>
      <c r="B55" s="10" t="str">
        <f>IFERROR(INDEX(Checklist!$A$5:$A$137,MATCH(52,Checklist!$K$5:$K$137,0)),"")</f>
        <v/>
      </c>
      <c r="C55" s="17" t="str">
        <f>IFERROR(INDEX(Checklist!$B$5:$B$137,MATCH(52,Checklist!$K$5:$K$137,0)),"")</f>
        <v/>
      </c>
      <c r="D55" s="10" t="str">
        <f>IFERROR(INDEX(Checklist!$F$5:$F$137,MATCH(52,Checklist!$K$5:$K$137,0))&amp;"","")</f>
        <v/>
      </c>
      <c r="E55" s="26" t="str">
        <f>IFERROR(INDEX(Checklist!$L$5:$L$137,MATCH(52,Checklist!$K$5:$K$137,0)),"")</f>
        <v/>
      </c>
      <c r="F55" s="24" t="str">
        <f>IFERROR(INDEX(Checklist!$D$5:$D$137,MATCH(52,Checklist!$K$5:$K$137,0)),"")</f>
        <v/>
      </c>
      <c r="G55" s="4" t="n"/>
      <c r="H55" s="4" t="n"/>
      <c r="I55" s="4" t="n"/>
      <c r="J55" s="4" t="n"/>
    </row>
    <row r="56" ht="28" customHeight="1">
      <c r="A56" s="8" t="n">
        <v>53</v>
      </c>
      <c r="B56" s="10" t="str">
        <f>IFERROR(INDEX(Checklist!$A$5:$A$137,MATCH(53,Checklist!$K$5:$K$137,0)),"")</f>
        <v/>
      </c>
      <c r="C56" s="17" t="str">
        <f>IFERROR(INDEX(Checklist!$B$5:$B$137,MATCH(53,Checklist!$K$5:$K$137,0)),"")</f>
        <v/>
      </c>
      <c r="D56" s="10" t="str">
        <f>IFERROR(INDEX(Checklist!$F$5:$F$137,MATCH(53,Checklist!$K$5:$K$137,0))&amp;"","")</f>
        <v/>
      </c>
      <c r="E56" s="26" t="str">
        <f>IFERROR(INDEX(Checklist!$L$5:$L$137,MATCH(53,Checklist!$K$5:$K$137,0)),"")</f>
        <v/>
      </c>
      <c r="F56" s="24" t="str">
        <f>IFERROR(INDEX(Checklist!$D$5:$D$137,MATCH(53,Checklist!$K$5:$K$137,0)),"")</f>
        <v/>
      </c>
      <c r="G56" s="4" t="n"/>
      <c r="H56" s="4" t="n"/>
      <c r="I56" s="4" t="n"/>
      <c r="J56" s="4" t="n"/>
    </row>
    <row r="57" ht="28" customHeight="1">
      <c r="A57" s="8" t="n">
        <v>54</v>
      </c>
      <c r="B57" s="10" t="str">
        <f>IFERROR(INDEX(Checklist!$A$5:$A$137,MATCH(54,Checklist!$K$5:$K$137,0)),"")</f>
        <v/>
      </c>
      <c r="C57" s="17" t="str">
        <f>IFERROR(INDEX(Checklist!$B$5:$B$137,MATCH(54,Checklist!$K$5:$K$137,0)),"")</f>
        <v/>
      </c>
      <c r="D57" s="10" t="str">
        <f>IFERROR(INDEX(Checklist!$F$5:$F$137,MATCH(54,Checklist!$K$5:$K$137,0))&amp;"","")</f>
        <v/>
      </c>
      <c r="E57" s="26" t="str">
        <f>IFERROR(INDEX(Checklist!$L$5:$L$137,MATCH(54,Checklist!$K$5:$K$137,0)),"")</f>
        <v/>
      </c>
      <c r="F57" s="24" t="str">
        <f>IFERROR(INDEX(Checklist!$D$5:$D$137,MATCH(54,Checklist!$K$5:$K$137,0)),"")</f>
        <v/>
      </c>
      <c r="G57" s="4" t="n"/>
      <c r="H57" s="4" t="n"/>
      <c r="I57" s="4" t="n"/>
      <c r="J57" s="4" t="n"/>
    </row>
    <row r="58" ht="28" customHeight="1">
      <c r="A58" s="8" t="n">
        <v>55</v>
      </c>
      <c r="B58" s="10" t="str">
        <f>IFERROR(INDEX(Checklist!$A$5:$A$137,MATCH(55,Checklist!$K$5:$K$137,0)),"")</f>
        <v/>
      </c>
      <c r="C58" s="17" t="str">
        <f>IFERROR(INDEX(Checklist!$B$5:$B$137,MATCH(55,Checklist!$K$5:$K$137,0)),"")</f>
        <v/>
      </c>
      <c r="D58" s="10" t="str">
        <f>IFERROR(INDEX(Checklist!$F$5:$F$137,MATCH(55,Checklist!$K$5:$K$137,0))&amp;"","")</f>
        <v/>
      </c>
      <c r="E58" s="26" t="str">
        <f>IFERROR(INDEX(Checklist!$L$5:$L$137,MATCH(55,Checklist!$K$5:$K$137,0)),"")</f>
        <v/>
      </c>
      <c r="F58" s="24" t="str">
        <f>IFERROR(INDEX(Checklist!$D$5:$D$137,MATCH(55,Checklist!$K$5:$K$137,0)),"")</f>
        <v/>
      </c>
      <c r="G58" s="4" t="n"/>
      <c r="H58" s="4" t="n"/>
      <c r="I58" s="4" t="n"/>
      <c r="J58" s="4" t="n"/>
    </row>
    <row r="59" ht="28" customHeight="1">
      <c r="A59" s="8" t="n">
        <v>56</v>
      </c>
      <c r="B59" s="10" t="str">
        <f>IFERROR(INDEX(Checklist!$A$5:$A$137,MATCH(56,Checklist!$K$5:$K$137,0)),"")</f>
        <v/>
      </c>
      <c r="C59" s="17" t="str">
        <f>IFERROR(INDEX(Checklist!$B$5:$B$137,MATCH(56,Checklist!$K$5:$K$137,0)),"")</f>
        <v/>
      </c>
      <c r="D59" s="10" t="str">
        <f>IFERROR(INDEX(Checklist!$F$5:$F$137,MATCH(56,Checklist!$K$5:$K$137,0))&amp;"","")</f>
        <v/>
      </c>
      <c r="E59" s="26" t="str">
        <f>IFERROR(INDEX(Checklist!$L$5:$L$137,MATCH(56,Checklist!$K$5:$K$137,0)),"")</f>
        <v/>
      </c>
      <c r="F59" s="24" t="str">
        <f>IFERROR(INDEX(Checklist!$D$5:$D$137,MATCH(56,Checklist!$K$5:$K$137,0)),"")</f>
        <v/>
      </c>
      <c r="G59" s="4" t="n"/>
      <c r="H59" s="4" t="n"/>
      <c r="I59" s="4" t="n"/>
      <c r="J59" s="4" t="n"/>
    </row>
    <row r="60" ht="28" customHeight="1">
      <c r="A60" s="8" t="n">
        <v>57</v>
      </c>
      <c r="B60" s="10" t="str">
        <f>IFERROR(INDEX(Checklist!$A$5:$A$137,MATCH(57,Checklist!$K$5:$K$137,0)),"")</f>
        <v/>
      </c>
      <c r="C60" s="17" t="str">
        <f>IFERROR(INDEX(Checklist!$B$5:$B$137,MATCH(57,Checklist!$K$5:$K$137,0)),"")</f>
        <v/>
      </c>
      <c r="D60" s="10" t="str">
        <f>IFERROR(INDEX(Checklist!$F$5:$F$137,MATCH(57,Checklist!$K$5:$K$137,0))&amp;"","")</f>
        <v/>
      </c>
      <c r="E60" s="26" t="str">
        <f>IFERROR(INDEX(Checklist!$L$5:$L$137,MATCH(57,Checklist!$K$5:$K$137,0)),"")</f>
        <v/>
      </c>
      <c r="F60" s="24" t="str">
        <f>IFERROR(INDEX(Checklist!$D$5:$D$137,MATCH(57,Checklist!$K$5:$K$137,0)),"")</f>
        <v/>
      </c>
      <c r="G60" s="4" t="n"/>
      <c r="H60" s="4" t="n"/>
      <c r="I60" s="4" t="n"/>
      <c r="J60" s="4" t="n"/>
    </row>
    <row r="61" ht="28" customHeight="1">
      <c r="A61" s="8" t="n">
        <v>58</v>
      </c>
      <c r="B61" s="10" t="str">
        <f>IFERROR(INDEX(Checklist!$A$5:$A$137,MATCH(58,Checklist!$K$5:$K$137,0)),"")</f>
        <v/>
      </c>
      <c r="C61" s="17" t="str">
        <f>IFERROR(INDEX(Checklist!$B$5:$B$137,MATCH(58,Checklist!$K$5:$K$137,0)),"")</f>
        <v/>
      </c>
      <c r="D61" s="10" t="str">
        <f>IFERROR(INDEX(Checklist!$F$5:$F$137,MATCH(58,Checklist!$K$5:$K$137,0))&amp;"","")</f>
        <v/>
      </c>
      <c r="E61" s="26" t="str">
        <f>IFERROR(INDEX(Checklist!$L$5:$L$137,MATCH(58,Checklist!$K$5:$K$137,0)),"")</f>
        <v/>
      </c>
      <c r="F61" s="24" t="str">
        <f>IFERROR(INDEX(Checklist!$D$5:$D$137,MATCH(58,Checklist!$K$5:$K$137,0)),"")</f>
        <v/>
      </c>
      <c r="G61" s="4" t="n"/>
      <c r="H61" s="4" t="n"/>
      <c r="I61" s="4" t="n"/>
      <c r="J61" s="4" t="n"/>
    </row>
    <row r="62" ht="28" customHeight="1">
      <c r="A62" s="8" t="n">
        <v>59</v>
      </c>
      <c r="B62" s="10" t="str">
        <f>IFERROR(INDEX(Checklist!$A$5:$A$137,MATCH(59,Checklist!$K$5:$K$137,0)),"")</f>
        <v/>
      </c>
      <c r="C62" s="17" t="str">
        <f>IFERROR(INDEX(Checklist!$B$5:$B$137,MATCH(59,Checklist!$K$5:$K$137,0)),"")</f>
        <v/>
      </c>
      <c r="D62" s="10" t="str">
        <f>IFERROR(INDEX(Checklist!$F$5:$F$137,MATCH(59,Checklist!$K$5:$K$137,0))&amp;"","")</f>
        <v/>
      </c>
      <c r="E62" s="26" t="str">
        <f>IFERROR(INDEX(Checklist!$L$5:$L$137,MATCH(59,Checklist!$K$5:$K$137,0)),"")</f>
        <v/>
      </c>
      <c r="F62" s="24" t="str">
        <f>IFERROR(INDEX(Checklist!$D$5:$D$137,MATCH(59,Checklist!$K$5:$K$137,0)),"")</f>
        <v/>
      </c>
      <c r="G62" s="4" t="n"/>
      <c r="H62" s="4" t="n"/>
      <c r="I62" s="4" t="n"/>
      <c r="J62" s="4" t="n"/>
    </row>
    <row r="63" ht="28" customHeight="1">
      <c r="A63" s="8" t="n">
        <v>60</v>
      </c>
      <c r="B63" s="10" t="str">
        <f>IFERROR(INDEX(Checklist!$A$5:$A$137,MATCH(60,Checklist!$K$5:$K$137,0)),"")</f>
        <v/>
      </c>
      <c r="C63" s="17" t="str">
        <f>IFERROR(INDEX(Checklist!$B$5:$B$137,MATCH(60,Checklist!$K$5:$K$137,0)),"")</f>
        <v/>
      </c>
      <c r="D63" s="10" t="str">
        <f>IFERROR(INDEX(Checklist!$F$5:$F$137,MATCH(60,Checklist!$K$5:$K$137,0))&amp;"","")</f>
        <v/>
      </c>
      <c r="E63" s="26" t="str">
        <f>IFERROR(INDEX(Checklist!$L$5:$L$137,MATCH(60,Checklist!$K$5:$K$137,0)),"")</f>
        <v/>
      </c>
      <c r="F63" s="24" t="str">
        <f>IFERROR(INDEX(Checklist!$D$5:$D$137,MATCH(60,Checklist!$K$5:$K$137,0)),"")</f>
        <v/>
      </c>
      <c r="G63" s="4" t="n"/>
      <c r="H63" s="4" t="n"/>
      <c r="I63" s="4" t="n"/>
      <c r="J63" s="4" t="n"/>
    </row>
    <row r="64" ht="28" customHeight="1">
      <c r="A64" s="8" t="n">
        <v>61</v>
      </c>
      <c r="B64" s="10" t="str">
        <f>IFERROR(INDEX(Checklist!$A$5:$A$137,MATCH(61,Checklist!$K$5:$K$137,0)),"")</f>
        <v/>
      </c>
      <c r="C64" s="17" t="str">
        <f>IFERROR(INDEX(Checklist!$B$5:$B$137,MATCH(61,Checklist!$K$5:$K$137,0)),"")</f>
        <v/>
      </c>
      <c r="D64" s="10" t="str">
        <f>IFERROR(INDEX(Checklist!$F$5:$F$137,MATCH(61,Checklist!$K$5:$K$137,0))&amp;"","")</f>
        <v/>
      </c>
      <c r="E64" s="26" t="str">
        <f>IFERROR(INDEX(Checklist!$L$5:$L$137,MATCH(61,Checklist!$K$5:$K$137,0)),"")</f>
        <v/>
      </c>
      <c r="F64" s="24" t="str">
        <f>IFERROR(INDEX(Checklist!$D$5:$D$137,MATCH(61,Checklist!$K$5:$K$137,0)),"")</f>
        <v/>
      </c>
      <c r="G64" s="4" t="n"/>
      <c r="H64" s="4" t="n"/>
      <c r="I64" s="4" t="n"/>
      <c r="J64" s="4" t="n"/>
    </row>
    <row r="65" ht="28" customHeight="1">
      <c r="A65" s="8" t="n">
        <v>62</v>
      </c>
      <c r="B65" s="10" t="str">
        <f>IFERROR(INDEX(Checklist!$A$5:$A$137,MATCH(62,Checklist!$K$5:$K$137,0)),"")</f>
        <v/>
      </c>
      <c r="C65" s="17" t="str">
        <f>IFERROR(INDEX(Checklist!$B$5:$B$137,MATCH(62,Checklist!$K$5:$K$137,0)),"")</f>
        <v/>
      </c>
      <c r="D65" s="10" t="str">
        <f>IFERROR(INDEX(Checklist!$F$5:$F$137,MATCH(62,Checklist!$K$5:$K$137,0))&amp;"","")</f>
        <v/>
      </c>
      <c r="E65" s="26" t="str">
        <f>IFERROR(INDEX(Checklist!$L$5:$L$137,MATCH(62,Checklist!$K$5:$K$137,0)),"")</f>
        <v/>
      </c>
      <c r="F65" s="24" t="str">
        <f>IFERROR(INDEX(Checklist!$D$5:$D$137,MATCH(62,Checklist!$K$5:$K$137,0)),"")</f>
        <v/>
      </c>
      <c r="G65" s="4" t="n"/>
      <c r="H65" s="4" t="n"/>
      <c r="I65" s="4" t="n"/>
      <c r="J65" s="4" t="n"/>
    </row>
    <row r="66" ht="28" customHeight="1">
      <c r="A66" s="8" t="n">
        <v>63</v>
      </c>
      <c r="B66" s="10" t="str">
        <f>IFERROR(INDEX(Checklist!$A$5:$A$137,MATCH(63,Checklist!$K$5:$K$137,0)),"")</f>
        <v/>
      </c>
      <c r="C66" s="17" t="str">
        <f>IFERROR(INDEX(Checklist!$B$5:$B$137,MATCH(63,Checklist!$K$5:$K$137,0)),"")</f>
        <v/>
      </c>
      <c r="D66" s="10" t="str">
        <f>IFERROR(INDEX(Checklist!$F$5:$F$137,MATCH(63,Checklist!$K$5:$K$137,0))&amp;"","")</f>
        <v/>
      </c>
      <c r="E66" s="26" t="str">
        <f>IFERROR(INDEX(Checklist!$L$5:$L$137,MATCH(63,Checklist!$K$5:$K$137,0)),"")</f>
        <v/>
      </c>
      <c r="F66" s="24" t="str">
        <f>IFERROR(INDEX(Checklist!$D$5:$D$137,MATCH(63,Checklist!$K$5:$K$137,0)),"")</f>
        <v/>
      </c>
      <c r="G66" s="4" t="n"/>
      <c r="H66" s="4" t="n"/>
      <c r="I66" s="4" t="n"/>
      <c r="J66" s="4" t="n"/>
    </row>
    <row r="67" ht="28" customHeight="1">
      <c r="A67" s="8" t="n">
        <v>64</v>
      </c>
      <c r="B67" s="10" t="str">
        <f>IFERROR(INDEX(Checklist!$A$5:$A$137,MATCH(64,Checklist!$K$5:$K$137,0)),"")</f>
        <v/>
      </c>
      <c r="C67" s="17" t="str">
        <f>IFERROR(INDEX(Checklist!$B$5:$B$137,MATCH(64,Checklist!$K$5:$K$137,0)),"")</f>
        <v/>
      </c>
      <c r="D67" s="10" t="str">
        <f>IFERROR(INDEX(Checklist!$F$5:$F$137,MATCH(64,Checklist!$K$5:$K$137,0))&amp;"","")</f>
        <v/>
      </c>
      <c r="E67" s="26" t="str">
        <f>IFERROR(INDEX(Checklist!$L$5:$L$137,MATCH(64,Checklist!$K$5:$K$137,0)),"")</f>
        <v/>
      </c>
      <c r="F67" s="24" t="str">
        <f>IFERROR(INDEX(Checklist!$D$5:$D$137,MATCH(64,Checklist!$K$5:$K$137,0)),"")</f>
        <v/>
      </c>
      <c r="G67" s="4" t="n"/>
      <c r="H67" s="4" t="n"/>
      <c r="I67" s="4" t="n"/>
      <c r="J67" s="4" t="n"/>
    </row>
    <row r="68" ht="28" customHeight="1">
      <c r="A68" s="8" t="n">
        <v>65</v>
      </c>
      <c r="B68" s="10" t="str">
        <f>IFERROR(INDEX(Checklist!$A$5:$A$137,MATCH(65,Checklist!$K$5:$K$137,0)),"")</f>
        <v/>
      </c>
      <c r="C68" s="17" t="str">
        <f>IFERROR(INDEX(Checklist!$B$5:$B$137,MATCH(65,Checklist!$K$5:$K$137,0)),"")</f>
        <v/>
      </c>
      <c r="D68" s="10" t="str">
        <f>IFERROR(INDEX(Checklist!$F$5:$F$137,MATCH(65,Checklist!$K$5:$K$137,0))&amp;"","")</f>
        <v/>
      </c>
      <c r="E68" s="26" t="str">
        <f>IFERROR(INDEX(Checklist!$L$5:$L$137,MATCH(65,Checklist!$K$5:$K$137,0)),"")</f>
        <v/>
      </c>
      <c r="F68" s="24" t="str">
        <f>IFERROR(INDEX(Checklist!$D$5:$D$137,MATCH(65,Checklist!$K$5:$K$137,0)),"")</f>
        <v/>
      </c>
      <c r="G68" s="4" t="n"/>
      <c r="H68" s="4" t="n"/>
      <c r="I68" s="4" t="n"/>
      <c r="J68" s="4" t="n"/>
    </row>
    <row r="69" ht="28" customHeight="1">
      <c r="A69" s="8" t="n">
        <v>66</v>
      </c>
      <c r="B69" s="10" t="str">
        <f>IFERROR(INDEX(Checklist!$A$5:$A$137,MATCH(66,Checklist!$K$5:$K$137,0)),"")</f>
        <v/>
      </c>
      <c r="C69" s="17" t="str">
        <f>IFERROR(INDEX(Checklist!$B$5:$B$137,MATCH(66,Checklist!$K$5:$K$137,0)),"")</f>
        <v/>
      </c>
      <c r="D69" s="10" t="str">
        <f>IFERROR(INDEX(Checklist!$F$5:$F$137,MATCH(66,Checklist!$K$5:$K$137,0))&amp;"","")</f>
        <v/>
      </c>
      <c r="E69" s="26" t="str">
        <f>IFERROR(INDEX(Checklist!$L$5:$L$137,MATCH(66,Checklist!$K$5:$K$137,0)),"")</f>
        <v/>
      </c>
      <c r="F69" s="24" t="str">
        <f>IFERROR(INDEX(Checklist!$D$5:$D$137,MATCH(66,Checklist!$K$5:$K$137,0)),"")</f>
        <v/>
      </c>
      <c r="G69" s="4" t="n"/>
      <c r="H69" s="4" t="n"/>
      <c r="I69" s="4" t="n"/>
      <c r="J69" s="4" t="n"/>
    </row>
    <row r="70" ht="28" customHeight="1">
      <c r="A70" s="8" t="n">
        <v>67</v>
      </c>
      <c r="B70" s="10" t="str">
        <f>IFERROR(INDEX(Checklist!$A$5:$A$137,MATCH(67,Checklist!$K$5:$K$137,0)),"")</f>
        <v/>
      </c>
      <c r="C70" s="17" t="str">
        <f>IFERROR(INDEX(Checklist!$B$5:$B$137,MATCH(67,Checklist!$K$5:$K$137,0)),"")</f>
        <v/>
      </c>
      <c r="D70" s="10" t="str">
        <f>IFERROR(INDEX(Checklist!$F$5:$F$137,MATCH(67,Checklist!$K$5:$K$137,0))&amp;"","")</f>
        <v/>
      </c>
      <c r="E70" s="26" t="str">
        <f>IFERROR(INDEX(Checklist!$L$5:$L$137,MATCH(67,Checklist!$K$5:$K$137,0)),"")</f>
        <v/>
      </c>
      <c r="F70" s="24" t="str">
        <f>IFERROR(INDEX(Checklist!$D$5:$D$137,MATCH(67,Checklist!$K$5:$K$137,0)),"")</f>
        <v/>
      </c>
      <c r="G70" s="4" t="n"/>
      <c r="H70" s="4" t="n"/>
      <c r="I70" s="4" t="n"/>
      <c r="J70" s="4" t="n"/>
    </row>
    <row r="71" ht="28" customHeight="1">
      <c r="A71" s="8" t="n">
        <v>68</v>
      </c>
      <c r="B71" s="10" t="str">
        <f>IFERROR(INDEX(Checklist!$A$5:$A$137,MATCH(68,Checklist!$K$5:$K$137,0)),"")</f>
        <v/>
      </c>
      <c r="C71" s="17" t="str">
        <f>IFERROR(INDEX(Checklist!$B$5:$B$137,MATCH(68,Checklist!$K$5:$K$137,0)),"")</f>
        <v/>
      </c>
      <c r="D71" s="10" t="str">
        <f>IFERROR(INDEX(Checklist!$F$5:$F$137,MATCH(68,Checklist!$K$5:$K$137,0))&amp;"","")</f>
        <v/>
      </c>
      <c r="E71" s="26" t="str">
        <f>IFERROR(INDEX(Checklist!$L$5:$L$137,MATCH(68,Checklist!$K$5:$K$137,0)),"")</f>
        <v/>
      </c>
      <c r="F71" s="24" t="str">
        <f>IFERROR(INDEX(Checklist!$D$5:$D$137,MATCH(68,Checklist!$K$5:$K$137,0)),"")</f>
        <v/>
      </c>
      <c r="G71" s="4" t="n"/>
      <c r="H71" s="4" t="n"/>
      <c r="I71" s="4" t="n"/>
      <c r="J71" s="4" t="n"/>
    </row>
    <row r="72" ht="28" customHeight="1">
      <c r="A72" s="8" t="n">
        <v>69</v>
      </c>
      <c r="B72" s="10" t="str">
        <f>IFERROR(INDEX(Checklist!$A$5:$A$137,MATCH(69,Checklist!$K$5:$K$137,0)),"")</f>
        <v/>
      </c>
      <c r="C72" s="17" t="str">
        <f>IFERROR(INDEX(Checklist!$B$5:$B$137,MATCH(69,Checklist!$K$5:$K$137,0)),"")</f>
        <v/>
      </c>
      <c r="D72" s="10" t="str">
        <f>IFERROR(INDEX(Checklist!$F$5:$F$137,MATCH(69,Checklist!$K$5:$K$137,0))&amp;"","")</f>
        <v/>
      </c>
      <c r="E72" s="26" t="str">
        <f>IFERROR(INDEX(Checklist!$L$5:$L$137,MATCH(69,Checklist!$K$5:$K$137,0)),"")</f>
        <v/>
      </c>
      <c r="F72" s="24" t="str">
        <f>IFERROR(INDEX(Checklist!$D$5:$D$137,MATCH(69,Checklist!$K$5:$K$137,0)),"")</f>
        <v/>
      </c>
      <c r="G72" s="4" t="n"/>
      <c r="H72" s="4" t="n"/>
      <c r="I72" s="4" t="n"/>
      <c r="J72" s="4" t="n"/>
    </row>
    <row r="73" ht="28" customHeight="1">
      <c r="A73" s="8" t="n">
        <v>70</v>
      </c>
      <c r="B73" s="10" t="str">
        <f>IFERROR(INDEX(Checklist!$A$5:$A$137,MATCH(70,Checklist!$K$5:$K$137,0)),"")</f>
        <v/>
      </c>
      <c r="C73" s="17" t="str">
        <f>IFERROR(INDEX(Checklist!$B$5:$B$137,MATCH(70,Checklist!$K$5:$K$137,0)),"")</f>
        <v/>
      </c>
      <c r="D73" s="10" t="str">
        <f>IFERROR(INDEX(Checklist!$F$5:$F$137,MATCH(70,Checklist!$K$5:$K$137,0))&amp;"","")</f>
        <v/>
      </c>
      <c r="E73" s="26" t="str">
        <f>IFERROR(INDEX(Checklist!$L$5:$L$137,MATCH(70,Checklist!$K$5:$K$137,0)),"")</f>
        <v/>
      </c>
      <c r="F73" s="24" t="str">
        <f>IFERROR(INDEX(Checklist!$D$5:$D$137,MATCH(70,Checklist!$K$5:$K$137,0)),"")</f>
        <v/>
      </c>
      <c r="G73" s="4" t="n"/>
      <c r="H73" s="4" t="n"/>
      <c r="I73" s="4" t="n"/>
      <c r="J73" s="4" t="n"/>
    </row>
    <row r="74" ht="28" customHeight="1">
      <c r="A74" s="8" t="n">
        <v>71</v>
      </c>
      <c r="B74" s="10" t="str">
        <f>IFERROR(INDEX(Checklist!$A$5:$A$137,MATCH(71,Checklist!$K$5:$K$137,0)),"")</f>
        <v/>
      </c>
      <c r="C74" s="17" t="str">
        <f>IFERROR(INDEX(Checklist!$B$5:$B$137,MATCH(71,Checklist!$K$5:$K$137,0)),"")</f>
        <v/>
      </c>
      <c r="D74" s="10" t="str">
        <f>IFERROR(INDEX(Checklist!$F$5:$F$137,MATCH(71,Checklist!$K$5:$K$137,0))&amp;"","")</f>
        <v/>
      </c>
      <c r="E74" s="26" t="str">
        <f>IFERROR(INDEX(Checklist!$L$5:$L$137,MATCH(71,Checklist!$K$5:$K$137,0)),"")</f>
        <v/>
      </c>
      <c r="F74" s="24" t="str">
        <f>IFERROR(INDEX(Checklist!$D$5:$D$137,MATCH(71,Checklist!$K$5:$K$137,0)),"")</f>
        <v/>
      </c>
      <c r="G74" s="4" t="n"/>
      <c r="H74" s="4" t="n"/>
      <c r="I74" s="4" t="n"/>
      <c r="J74" s="4" t="n"/>
    </row>
    <row r="75" ht="28" customHeight="1">
      <c r="A75" s="8" t="n">
        <v>72</v>
      </c>
      <c r="B75" s="10" t="str">
        <f>IFERROR(INDEX(Checklist!$A$5:$A$137,MATCH(72,Checklist!$K$5:$K$137,0)),"")</f>
        <v/>
      </c>
      <c r="C75" s="17" t="str">
        <f>IFERROR(INDEX(Checklist!$B$5:$B$137,MATCH(72,Checklist!$K$5:$K$137,0)),"")</f>
        <v/>
      </c>
      <c r="D75" s="10" t="str">
        <f>IFERROR(INDEX(Checklist!$F$5:$F$137,MATCH(72,Checklist!$K$5:$K$137,0))&amp;"","")</f>
        <v/>
      </c>
      <c r="E75" s="26" t="str">
        <f>IFERROR(INDEX(Checklist!$L$5:$L$137,MATCH(72,Checklist!$K$5:$K$137,0)),"")</f>
        <v/>
      </c>
      <c r="F75" s="24" t="str">
        <f>IFERROR(INDEX(Checklist!$D$5:$D$137,MATCH(72,Checklist!$K$5:$K$137,0)),"")</f>
        <v/>
      </c>
      <c r="G75" s="4" t="n"/>
      <c r="H75" s="4" t="n"/>
      <c r="I75" s="4" t="n"/>
      <c r="J75" s="4" t="n"/>
    </row>
    <row r="76" ht="28" customHeight="1">
      <c r="A76" s="8" t="n">
        <v>73</v>
      </c>
      <c r="B76" s="10" t="str">
        <f>IFERROR(INDEX(Checklist!$A$5:$A$137,MATCH(73,Checklist!$K$5:$K$137,0)),"")</f>
        <v/>
      </c>
      <c r="C76" s="17" t="str">
        <f>IFERROR(INDEX(Checklist!$B$5:$B$137,MATCH(73,Checklist!$K$5:$K$137,0)),"")</f>
        <v/>
      </c>
      <c r="D76" s="10" t="str">
        <f>IFERROR(INDEX(Checklist!$F$5:$F$137,MATCH(73,Checklist!$K$5:$K$137,0))&amp;"","")</f>
        <v/>
      </c>
      <c r="E76" s="26" t="str">
        <f>IFERROR(INDEX(Checklist!$L$5:$L$137,MATCH(73,Checklist!$K$5:$K$137,0)),"")</f>
        <v/>
      </c>
      <c r="F76" s="24" t="str">
        <f>IFERROR(INDEX(Checklist!$D$5:$D$137,MATCH(73,Checklist!$K$5:$K$137,0)),"")</f>
        <v/>
      </c>
      <c r="G76" s="4" t="n"/>
      <c r="H76" s="4" t="n"/>
      <c r="I76" s="4" t="n"/>
      <c r="J76" s="4" t="n"/>
    </row>
    <row r="77" ht="28" customHeight="1">
      <c r="A77" s="8" t="n">
        <v>74</v>
      </c>
      <c r="B77" s="10" t="str">
        <f>IFERROR(INDEX(Checklist!$A$5:$A$137,MATCH(74,Checklist!$K$5:$K$137,0)),"")</f>
        <v/>
      </c>
      <c r="C77" s="17" t="str">
        <f>IFERROR(INDEX(Checklist!$B$5:$B$137,MATCH(74,Checklist!$K$5:$K$137,0)),"")</f>
        <v/>
      </c>
      <c r="D77" s="10" t="str">
        <f>IFERROR(INDEX(Checklist!$F$5:$F$137,MATCH(74,Checklist!$K$5:$K$137,0))&amp;"","")</f>
        <v/>
      </c>
      <c r="E77" s="26" t="str">
        <f>IFERROR(INDEX(Checklist!$L$5:$L$137,MATCH(74,Checklist!$K$5:$K$137,0)),"")</f>
        <v/>
      </c>
      <c r="F77" s="24" t="str">
        <f>IFERROR(INDEX(Checklist!$D$5:$D$137,MATCH(74,Checklist!$K$5:$K$137,0)),"")</f>
        <v/>
      </c>
      <c r="G77" s="4" t="n"/>
      <c r="H77" s="4" t="n"/>
      <c r="I77" s="4" t="n"/>
      <c r="J77" s="4" t="n"/>
    </row>
    <row r="78" ht="28" customHeight="1">
      <c r="A78" s="8" t="n">
        <v>75</v>
      </c>
      <c r="B78" s="10" t="str">
        <f>IFERROR(INDEX(Checklist!$A$5:$A$137,MATCH(75,Checklist!$K$5:$K$137,0)),"")</f>
        <v/>
      </c>
      <c r="C78" s="17" t="str">
        <f>IFERROR(INDEX(Checklist!$B$5:$B$137,MATCH(75,Checklist!$K$5:$K$137,0)),"")</f>
        <v/>
      </c>
      <c r="D78" s="10" t="str">
        <f>IFERROR(INDEX(Checklist!$F$5:$F$137,MATCH(75,Checklist!$K$5:$K$137,0))&amp;"","")</f>
        <v/>
      </c>
      <c r="E78" s="26" t="str">
        <f>IFERROR(INDEX(Checklist!$L$5:$L$137,MATCH(75,Checklist!$K$5:$K$137,0)),"")</f>
        <v/>
      </c>
      <c r="F78" s="24" t="str">
        <f>IFERROR(INDEX(Checklist!$D$5:$D$137,MATCH(75,Checklist!$K$5:$K$137,0)),"")</f>
        <v/>
      </c>
      <c r="G78" s="4" t="n"/>
      <c r="H78" s="4" t="n"/>
      <c r="I78" s="4" t="n"/>
      <c r="J78" s="4" t="n"/>
    </row>
    <row r="79" ht="28" customHeight="1">
      <c r="A79" s="8" t="n">
        <v>76</v>
      </c>
      <c r="B79" s="10" t="str">
        <f>IFERROR(INDEX(Checklist!$A$5:$A$137,MATCH(76,Checklist!$K$5:$K$137,0)),"")</f>
        <v/>
      </c>
      <c r="C79" s="17" t="str">
        <f>IFERROR(INDEX(Checklist!$B$5:$B$137,MATCH(76,Checklist!$K$5:$K$137,0)),"")</f>
        <v/>
      </c>
      <c r="D79" s="10" t="str">
        <f>IFERROR(INDEX(Checklist!$F$5:$F$137,MATCH(76,Checklist!$K$5:$K$137,0))&amp;"","")</f>
        <v/>
      </c>
      <c r="E79" s="26" t="str">
        <f>IFERROR(INDEX(Checklist!$L$5:$L$137,MATCH(76,Checklist!$K$5:$K$137,0)),"")</f>
        <v/>
      </c>
      <c r="F79" s="24" t="str">
        <f>IFERROR(INDEX(Checklist!$D$5:$D$137,MATCH(76,Checklist!$K$5:$K$137,0)),"")</f>
        <v/>
      </c>
      <c r="G79" s="4" t="n"/>
      <c r="H79" s="4" t="n"/>
      <c r="I79" s="4" t="n"/>
      <c r="J79" s="4" t="n"/>
    </row>
    <row r="80" ht="28" customHeight="1">
      <c r="A80" s="8" t="n">
        <v>77</v>
      </c>
      <c r="B80" s="10" t="str">
        <f>IFERROR(INDEX(Checklist!$A$5:$A$137,MATCH(77,Checklist!$K$5:$K$137,0)),"")</f>
        <v/>
      </c>
      <c r="C80" s="17" t="str">
        <f>IFERROR(INDEX(Checklist!$B$5:$B$137,MATCH(77,Checklist!$K$5:$K$137,0)),"")</f>
        <v/>
      </c>
      <c r="D80" s="10" t="str">
        <f>IFERROR(INDEX(Checklist!$F$5:$F$137,MATCH(77,Checklist!$K$5:$K$137,0))&amp;"","")</f>
        <v/>
      </c>
      <c r="E80" s="26" t="str">
        <f>IFERROR(INDEX(Checklist!$L$5:$L$137,MATCH(77,Checklist!$K$5:$K$137,0)),"")</f>
        <v/>
      </c>
      <c r="F80" s="24" t="str">
        <f>IFERROR(INDEX(Checklist!$D$5:$D$137,MATCH(77,Checklist!$K$5:$K$137,0)),"")</f>
        <v/>
      </c>
      <c r="G80" s="4" t="n"/>
      <c r="H80" s="4" t="n"/>
      <c r="I80" s="4" t="n"/>
      <c r="J80" s="4" t="n"/>
    </row>
    <row r="81" ht="28" customHeight="1">
      <c r="A81" s="8" t="n">
        <v>78</v>
      </c>
      <c r="B81" s="10" t="str">
        <f>IFERROR(INDEX(Checklist!$A$5:$A$137,MATCH(78,Checklist!$K$5:$K$137,0)),"")</f>
        <v/>
      </c>
      <c r="C81" s="17" t="str">
        <f>IFERROR(INDEX(Checklist!$B$5:$B$137,MATCH(78,Checklist!$K$5:$K$137,0)),"")</f>
        <v/>
      </c>
      <c r="D81" s="10" t="str">
        <f>IFERROR(INDEX(Checklist!$F$5:$F$137,MATCH(78,Checklist!$K$5:$K$137,0))&amp;"","")</f>
        <v/>
      </c>
      <c r="E81" s="26" t="str">
        <f>IFERROR(INDEX(Checklist!$L$5:$L$137,MATCH(78,Checklist!$K$5:$K$137,0)),"")</f>
        <v/>
      </c>
      <c r="F81" s="24" t="str">
        <f>IFERROR(INDEX(Checklist!$D$5:$D$137,MATCH(78,Checklist!$K$5:$K$137,0)),"")</f>
        <v/>
      </c>
      <c r="G81" s="4" t="n"/>
      <c r="H81" s="4" t="n"/>
      <c r="I81" s="4" t="n"/>
      <c r="J81" s="4" t="n"/>
    </row>
    <row r="82" ht="28" customHeight="1">
      <c r="A82" s="8" t="n">
        <v>79</v>
      </c>
      <c r="B82" s="10" t="str">
        <f>IFERROR(INDEX(Checklist!$A$5:$A$137,MATCH(79,Checklist!$K$5:$K$137,0)),"")</f>
        <v/>
      </c>
      <c r="C82" s="17" t="str">
        <f>IFERROR(INDEX(Checklist!$B$5:$B$137,MATCH(79,Checklist!$K$5:$K$137,0)),"")</f>
        <v/>
      </c>
      <c r="D82" s="10" t="str">
        <f>IFERROR(INDEX(Checklist!$F$5:$F$137,MATCH(79,Checklist!$K$5:$K$137,0))&amp;"","")</f>
        <v/>
      </c>
      <c r="E82" s="26" t="str">
        <f>IFERROR(INDEX(Checklist!$L$5:$L$137,MATCH(79,Checklist!$K$5:$K$137,0)),"")</f>
        <v/>
      </c>
      <c r="F82" s="24" t="str">
        <f>IFERROR(INDEX(Checklist!$D$5:$D$137,MATCH(79,Checklist!$K$5:$K$137,0)),"")</f>
        <v/>
      </c>
      <c r="G82" s="4" t="n"/>
      <c r="H82" s="4" t="n"/>
      <c r="I82" s="4" t="n"/>
      <c r="J82" s="4" t="n"/>
    </row>
    <row r="83" ht="28" customHeight="1">
      <c r="A83" s="8" t="n">
        <v>80</v>
      </c>
      <c r="B83" s="10" t="str">
        <f>IFERROR(INDEX(Checklist!$A$5:$A$137,MATCH(80,Checklist!$K$5:$K$137,0)),"")</f>
        <v/>
      </c>
      <c r="C83" s="17" t="str">
        <f>IFERROR(INDEX(Checklist!$B$5:$B$137,MATCH(80,Checklist!$K$5:$K$137,0)),"")</f>
        <v/>
      </c>
      <c r="D83" s="10" t="str">
        <f>IFERROR(INDEX(Checklist!$F$5:$F$137,MATCH(80,Checklist!$K$5:$K$137,0))&amp;"","")</f>
        <v/>
      </c>
      <c r="E83" s="26" t="str">
        <f>IFERROR(INDEX(Checklist!$L$5:$L$137,MATCH(80,Checklist!$K$5:$K$137,0)),"")</f>
        <v/>
      </c>
      <c r="F83" s="24" t="str">
        <f>IFERROR(INDEX(Checklist!$D$5:$D$137,MATCH(80,Checklist!$K$5:$K$137,0)),"")</f>
        <v/>
      </c>
      <c r="G83" s="4" t="n"/>
      <c r="H83" s="4" t="n"/>
      <c r="I83" s="4" t="n"/>
      <c r="J83" s="4" t="n"/>
    </row>
    <row r="84" ht="28" customHeight="1">
      <c r="A84" s="8" t="n">
        <v>81</v>
      </c>
      <c r="B84" s="10" t="str">
        <f>IFERROR(INDEX(Checklist!$A$5:$A$137,MATCH(81,Checklist!$K$5:$K$137,0)),"")</f>
        <v/>
      </c>
      <c r="C84" s="17" t="str">
        <f>IFERROR(INDEX(Checklist!$B$5:$B$137,MATCH(81,Checklist!$K$5:$K$137,0)),"")</f>
        <v/>
      </c>
      <c r="D84" s="10" t="str">
        <f>IFERROR(INDEX(Checklist!$F$5:$F$137,MATCH(81,Checklist!$K$5:$K$137,0))&amp;"","")</f>
        <v/>
      </c>
      <c r="E84" s="26" t="str">
        <f>IFERROR(INDEX(Checklist!$L$5:$L$137,MATCH(81,Checklist!$K$5:$K$137,0)),"")</f>
        <v/>
      </c>
      <c r="F84" s="24" t="str">
        <f>IFERROR(INDEX(Checklist!$D$5:$D$137,MATCH(81,Checklist!$K$5:$K$137,0)),"")</f>
        <v/>
      </c>
      <c r="G84" s="4" t="n"/>
      <c r="H84" s="4" t="n"/>
      <c r="I84" s="4" t="n"/>
      <c r="J84" s="4" t="n"/>
    </row>
    <row r="85" ht="28" customHeight="1">
      <c r="A85" s="8" t="n">
        <v>82</v>
      </c>
      <c r="B85" s="10" t="str">
        <f>IFERROR(INDEX(Checklist!$A$5:$A$137,MATCH(82,Checklist!$K$5:$K$137,0)),"")</f>
        <v/>
      </c>
      <c r="C85" s="17" t="str">
        <f>IFERROR(INDEX(Checklist!$B$5:$B$137,MATCH(82,Checklist!$K$5:$K$137,0)),"")</f>
        <v/>
      </c>
      <c r="D85" s="10" t="str">
        <f>IFERROR(INDEX(Checklist!$F$5:$F$137,MATCH(82,Checklist!$K$5:$K$137,0))&amp;"","")</f>
        <v/>
      </c>
      <c r="E85" s="26" t="str">
        <f>IFERROR(INDEX(Checklist!$L$5:$L$137,MATCH(82,Checklist!$K$5:$K$137,0)),"")</f>
        <v/>
      </c>
      <c r="F85" s="24" t="str">
        <f>IFERROR(INDEX(Checklist!$D$5:$D$137,MATCH(82,Checklist!$K$5:$K$137,0)),"")</f>
        <v/>
      </c>
      <c r="G85" s="4" t="n"/>
      <c r="H85" s="4" t="n"/>
      <c r="I85" s="4" t="n"/>
      <c r="J85" s="4" t="n"/>
    </row>
    <row r="86" ht="28" customHeight="1">
      <c r="A86" s="8" t="n">
        <v>83</v>
      </c>
      <c r="B86" s="10" t="str">
        <f>IFERROR(INDEX(Checklist!$A$5:$A$137,MATCH(83,Checklist!$K$5:$K$137,0)),"")</f>
        <v/>
      </c>
      <c r="C86" s="17" t="str">
        <f>IFERROR(INDEX(Checklist!$B$5:$B$137,MATCH(83,Checklist!$K$5:$K$137,0)),"")</f>
        <v/>
      </c>
      <c r="D86" s="10" t="str">
        <f>IFERROR(INDEX(Checklist!$F$5:$F$137,MATCH(83,Checklist!$K$5:$K$137,0))&amp;"","")</f>
        <v/>
      </c>
      <c r="E86" s="26" t="str">
        <f>IFERROR(INDEX(Checklist!$L$5:$L$137,MATCH(83,Checklist!$K$5:$K$137,0)),"")</f>
        <v/>
      </c>
      <c r="F86" s="24" t="str">
        <f>IFERROR(INDEX(Checklist!$D$5:$D$137,MATCH(83,Checklist!$K$5:$K$137,0)),"")</f>
        <v/>
      </c>
      <c r="G86" s="4" t="n"/>
      <c r="H86" s="4" t="n"/>
      <c r="I86" s="4" t="n"/>
      <c r="J86" s="4" t="n"/>
    </row>
    <row r="87" ht="28" customHeight="1">
      <c r="A87" s="8" t="n">
        <v>84</v>
      </c>
      <c r="B87" s="10" t="str">
        <f>IFERROR(INDEX(Checklist!$A$5:$A$137,MATCH(84,Checklist!$K$5:$K$137,0)),"")</f>
        <v/>
      </c>
      <c r="C87" s="17" t="str">
        <f>IFERROR(INDEX(Checklist!$B$5:$B$137,MATCH(84,Checklist!$K$5:$K$137,0)),"")</f>
        <v/>
      </c>
      <c r="D87" s="10" t="str">
        <f>IFERROR(INDEX(Checklist!$F$5:$F$137,MATCH(84,Checklist!$K$5:$K$137,0))&amp;"","")</f>
        <v/>
      </c>
      <c r="E87" s="26" t="str">
        <f>IFERROR(INDEX(Checklist!$L$5:$L$137,MATCH(84,Checklist!$K$5:$K$137,0)),"")</f>
        <v/>
      </c>
      <c r="F87" s="24" t="str">
        <f>IFERROR(INDEX(Checklist!$D$5:$D$137,MATCH(84,Checklist!$K$5:$K$137,0)),"")</f>
        <v/>
      </c>
      <c r="G87" s="4" t="n"/>
      <c r="H87" s="4" t="n"/>
      <c r="I87" s="4" t="n"/>
      <c r="J87" s="4" t="n"/>
    </row>
    <row r="88" ht="28" customHeight="1">
      <c r="A88" s="8" t="n">
        <v>85</v>
      </c>
      <c r="B88" s="10" t="str">
        <f>IFERROR(INDEX(Checklist!$A$5:$A$137,MATCH(85,Checklist!$K$5:$K$137,0)),"")</f>
        <v/>
      </c>
      <c r="C88" s="17" t="str">
        <f>IFERROR(INDEX(Checklist!$B$5:$B$137,MATCH(85,Checklist!$K$5:$K$137,0)),"")</f>
        <v/>
      </c>
      <c r="D88" s="10" t="str">
        <f>IFERROR(INDEX(Checklist!$F$5:$F$137,MATCH(85,Checklist!$K$5:$K$137,0))&amp;"","")</f>
        <v/>
      </c>
      <c r="E88" s="26" t="str">
        <f>IFERROR(INDEX(Checklist!$L$5:$L$137,MATCH(85,Checklist!$K$5:$K$137,0)),"")</f>
        <v/>
      </c>
      <c r="F88" s="24" t="str">
        <f>IFERROR(INDEX(Checklist!$D$5:$D$137,MATCH(85,Checklist!$K$5:$K$137,0)),"")</f>
        <v/>
      </c>
      <c r="G88" s="4" t="n"/>
      <c r="H88" s="4" t="n"/>
      <c r="I88" s="4" t="n"/>
      <c r="J88" s="4" t="n"/>
    </row>
    <row r="89" ht="28" customHeight="1">
      <c r="A89" s="8" t="n">
        <v>86</v>
      </c>
      <c r="B89" s="10" t="str">
        <f>IFERROR(INDEX(Checklist!$A$5:$A$137,MATCH(86,Checklist!$K$5:$K$137,0)),"")</f>
        <v/>
      </c>
      <c r="C89" s="17" t="str">
        <f>IFERROR(INDEX(Checklist!$B$5:$B$137,MATCH(86,Checklist!$K$5:$K$137,0)),"")</f>
        <v/>
      </c>
      <c r="D89" s="10" t="str">
        <f>IFERROR(INDEX(Checklist!$F$5:$F$137,MATCH(86,Checklist!$K$5:$K$137,0))&amp;"","")</f>
        <v/>
      </c>
      <c r="E89" s="26" t="str">
        <f>IFERROR(INDEX(Checklist!$L$5:$L$137,MATCH(86,Checklist!$K$5:$K$137,0)),"")</f>
        <v/>
      </c>
      <c r="F89" s="24" t="str">
        <f>IFERROR(INDEX(Checklist!$D$5:$D$137,MATCH(86,Checklist!$K$5:$K$137,0)),"")</f>
        <v/>
      </c>
      <c r="G89" s="4" t="n"/>
      <c r="H89" s="4" t="n"/>
      <c r="I89" s="4" t="n"/>
      <c r="J89" s="4" t="n"/>
    </row>
    <row r="90" ht="28" customHeight="1">
      <c r="A90" s="8" t="n">
        <v>87</v>
      </c>
      <c r="B90" s="10" t="str">
        <f>IFERROR(INDEX(Checklist!$A$5:$A$137,MATCH(87,Checklist!$K$5:$K$137,0)),"")</f>
        <v/>
      </c>
      <c r="C90" s="17" t="str">
        <f>IFERROR(INDEX(Checklist!$B$5:$B$137,MATCH(87,Checklist!$K$5:$K$137,0)),"")</f>
        <v/>
      </c>
      <c r="D90" s="10" t="str">
        <f>IFERROR(INDEX(Checklist!$F$5:$F$137,MATCH(87,Checklist!$K$5:$K$137,0))&amp;"","")</f>
        <v/>
      </c>
      <c r="E90" s="26" t="str">
        <f>IFERROR(INDEX(Checklist!$L$5:$L$137,MATCH(87,Checklist!$K$5:$K$137,0)),"")</f>
        <v/>
      </c>
      <c r="F90" s="24" t="str">
        <f>IFERROR(INDEX(Checklist!$D$5:$D$137,MATCH(87,Checklist!$K$5:$K$137,0)),"")</f>
        <v/>
      </c>
      <c r="G90" s="4" t="n"/>
      <c r="H90" s="4" t="n"/>
      <c r="I90" s="4" t="n"/>
      <c r="J90" s="4" t="n"/>
    </row>
    <row r="91" ht="28" customHeight="1">
      <c r="A91" s="8" t="n">
        <v>88</v>
      </c>
      <c r="B91" s="10" t="str">
        <f>IFERROR(INDEX(Checklist!$A$5:$A$137,MATCH(88,Checklist!$K$5:$K$137,0)),"")</f>
        <v/>
      </c>
      <c r="C91" s="17" t="str">
        <f>IFERROR(INDEX(Checklist!$B$5:$B$137,MATCH(88,Checklist!$K$5:$K$137,0)),"")</f>
        <v/>
      </c>
      <c r="D91" s="10" t="str">
        <f>IFERROR(INDEX(Checklist!$F$5:$F$137,MATCH(88,Checklist!$K$5:$K$137,0))&amp;"","")</f>
        <v/>
      </c>
      <c r="E91" s="26" t="str">
        <f>IFERROR(INDEX(Checklist!$L$5:$L$137,MATCH(88,Checklist!$K$5:$K$137,0)),"")</f>
        <v/>
      </c>
      <c r="F91" s="24" t="str">
        <f>IFERROR(INDEX(Checklist!$D$5:$D$137,MATCH(88,Checklist!$K$5:$K$137,0)),"")</f>
        <v/>
      </c>
      <c r="G91" s="4" t="n"/>
      <c r="H91" s="4" t="n"/>
      <c r="I91" s="4" t="n"/>
      <c r="J91" s="4" t="n"/>
    </row>
    <row r="92" ht="28" customHeight="1">
      <c r="A92" s="8" t="n">
        <v>89</v>
      </c>
      <c r="B92" s="10" t="str">
        <f>IFERROR(INDEX(Checklist!$A$5:$A$137,MATCH(89,Checklist!$K$5:$K$137,0)),"")</f>
        <v/>
      </c>
      <c r="C92" s="17" t="str">
        <f>IFERROR(INDEX(Checklist!$B$5:$B$137,MATCH(89,Checklist!$K$5:$K$137,0)),"")</f>
        <v/>
      </c>
      <c r="D92" s="10" t="str">
        <f>IFERROR(INDEX(Checklist!$F$5:$F$137,MATCH(89,Checklist!$K$5:$K$137,0))&amp;"","")</f>
        <v/>
      </c>
      <c r="E92" s="26" t="str">
        <f>IFERROR(INDEX(Checklist!$L$5:$L$137,MATCH(89,Checklist!$K$5:$K$137,0)),"")</f>
        <v/>
      </c>
      <c r="F92" s="24" t="str">
        <f>IFERROR(INDEX(Checklist!$D$5:$D$137,MATCH(89,Checklist!$K$5:$K$137,0)),"")</f>
        <v/>
      </c>
      <c r="G92" s="4" t="n"/>
      <c r="H92" s="4" t="n"/>
      <c r="I92" s="4" t="n"/>
      <c r="J92" s="4" t="n"/>
    </row>
    <row r="93" ht="28" customHeight="1">
      <c r="A93" s="8" t="n">
        <v>90</v>
      </c>
      <c r="B93" s="10" t="str">
        <f>IFERROR(INDEX(Checklist!$A$5:$A$137,MATCH(90,Checklist!$K$5:$K$137,0)),"")</f>
        <v/>
      </c>
      <c r="C93" s="17" t="str">
        <f>IFERROR(INDEX(Checklist!$B$5:$B$137,MATCH(90,Checklist!$K$5:$K$137,0)),"")</f>
        <v/>
      </c>
      <c r="D93" s="10" t="str">
        <f>IFERROR(INDEX(Checklist!$F$5:$F$137,MATCH(90,Checklist!$K$5:$K$137,0))&amp;"","")</f>
        <v/>
      </c>
      <c r="E93" s="26" t="str">
        <f>IFERROR(INDEX(Checklist!$L$5:$L$137,MATCH(90,Checklist!$K$5:$K$137,0)),"")</f>
        <v/>
      </c>
      <c r="F93" s="24" t="str">
        <f>IFERROR(INDEX(Checklist!$D$5:$D$137,MATCH(90,Checklist!$K$5:$K$137,0)),"")</f>
        <v/>
      </c>
      <c r="G93" s="4" t="n"/>
      <c r="H93" s="4" t="n"/>
      <c r="I93" s="4" t="n"/>
      <c r="J93" s="4" t="n"/>
    </row>
    <row r="94" ht="28" customHeight="1">
      <c r="A94" s="8" t="n">
        <v>91</v>
      </c>
      <c r="B94" s="10" t="str">
        <f>IFERROR(INDEX(Checklist!$A$5:$A$137,MATCH(91,Checklist!$K$5:$K$137,0)),"")</f>
        <v/>
      </c>
      <c r="C94" s="17" t="str">
        <f>IFERROR(INDEX(Checklist!$B$5:$B$137,MATCH(91,Checklist!$K$5:$K$137,0)),"")</f>
        <v/>
      </c>
      <c r="D94" s="10" t="str">
        <f>IFERROR(INDEX(Checklist!$F$5:$F$137,MATCH(91,Checklist!$K$5:$K$137,0))&amp;"","")</f>
        <v/>
      </c>
      <c r="E94" s="26" t="str">
        <f>IFERROR(INDEX(Checklist!$L$5:$L$137,MATCH(91,Checklist!$K$5:$K$137,0)),"")</f>
        <v/>
      </c>
      <c r="F94" s="24" t="str">
        <f>IFERROR(INDEX(Checklist!$D$5:$D$137,MATCH(91,Checklist!$K$5:$K$137,0)),"")</f>
        <v/>
      </c>
      <c r="G94" s="4" t="n"/>
      <c r="H94" s="4" t="n"/>
      <c r="I94" s="4" t="n"/>
      <c r="J94" s="4" t="n"/>
    </row>
    <row r="95" ht="28" customHeight="1">
      <c r="A95" s="8" t="n">
        <v>92</v>
      </c>
      <c r="B95" s="10" t="str">
        <f>IFERROR(INDEX(Checklist!$A$5:$A$137,MATCH(92,Checklist!$K$5:$K$137,0)),"")</f>
        <v/>
      </c>
      <c r="C95" s="17" t="str">
        <f>IFERROR(INDEX(Checklist!$B$5:$B$137,MATCH(92,Checklist!$K$5:$K$137,0)),"")</f>
        <v/>
      </c>
      <c r="D95" s="10" t="str">
        <f>IFERROR(INDEX(Checklist!$F$5:$F$137,MATCH(92,Checklist!$K$5:$K$137,0))&amp;"","")</f>
        <v/>
      </c>
      <c r="E95" s="26" t="str">
        <f>IFERROR(INDEX(Checklist!$L$5:$L$137,MATCH(92,Checklist!$K$5:$K$137,0)),"")</f>
        <v/>
      </c>
      <c r="F95" s="24" t="str">
        <f>IFERROR(INDEX(Checklist!$D$5:$D$137,MATCH(92,Checklist!$K$5:$K$137,0)),"")</f>
        <v/>
      </c>
      <c r="G95" s="4" t="n"/>
      <c r="H95" s="4" t="n"/>
      <c r="I95" s="4" t="n"/>
      <c r="J95" s="4" t="n"/>
    </row>
    <row r="96" ht="28" customHeight="1">
      <c r="A96" s="8" t="n">
        <v>93</v>
      </c>
      <c r="B96" s="10" t="str">
        <f>IFERROR(INDEX(Checklist!$A$5:$A$137,MATCH(93,Checklist!$K$5:$K$137,0)),"")</f>
        <v/>
      </c>
      <c r="C96" s="17" t="str">
        <f>IFERROR(INDEX(Checklist!$B$5:$B$137,MATCH(93,Checklist!$K$5:$K$137,0)),"")</f>
        <v/>
      </c>
      <c r="D96" s="10" t="str">
        <f>IFERROR(INDEX(Checklist!$F$5:$F$137,MATCH(93,Checklist!$K$5:$K$137,0))&amp;"","")</f>
        <v/>
      </c>
      <c r="E96" s="26" t="str">
        <f>IFERROR(INDEX(Checklist!$L$5:$L$137,MATCH(93,Checklist!$K$5:$K$137,0)),"")</f>
        <v/>
      </c>
      <c r="F96" s="24" t="str">
        <f>IFERROR(INDEX(Checklist!$D$5:$D$137,MATCH(93,Checklist!$K$5:$K$137,0)),"")</f>
        <v/>
      </c>
      <c r="G96" s="4" t="n"/>
      <c r="H96" s="4" t="n"/>
      <c r="I96" s="4" t="n"/>
      <c r="J96" s="4" t="n"/>
    </row>
    <row r="97" ht="28" customHeight="1">
      <c r="A97" s="8" t="n">
        <v>94</v>
      </c>
      <c r="B97" s="10" t="str">
        <f>IFERROR(INDEX(Checklist!$A$5:$A$137,MATCH(94,Checklist!$K$5:$K$137,0)),"")</f>
        <v/>
      </c>
      <c r="C97" s="17" t="str">
        <f>IFERROR(INDEX(Checklist!$B$5:$B$137,MATCH(94,Checklist!$K$5:$K$137,0)),"")</f>
        <v/>
      </c>
      <c r="D97" s="10" t="str">
        <f>IFERROR(INDEX(Checklist!$F$5:$F$137,MATCH(94,Checklist!$K$5:$K$137,0))&amp;"","")</f>
        <v/>
      </c>
      <c r="E97" s="26" t="str">
        <f>IFERROR(INDEX(Checklist!$L$5:$L$137,MATCH(94,Checklist!$K$5:$K$137,0)),"")</f>
        <v/>
      </c>
      <c r="F97" s="24" t="str">
        <f>IFERROR(INDEX(Checklist!$D$5:$D$137,MATCH(94,Checklist!$K$5:$K$137,0)),"")</f>
        <v/>
      </c>
      <c r="G97" s="4" t="n"/>
      <c r="H97" s="4" t="n"/>
      <c r="I97" s="4" t="n"/>
      <c r="J97" s="4" t="n"/>
    </row>
    <row r="98" ht="28" customHeight="1">
      <c r="A98" s="8" t="n">
        <v>95</v>
      </c>
      <c r="B98" s="10" t="str">
        <f>IFERROR(INDEX(Checklist!$A$5:$A$137,MATCH(95,Checklist!$K$5:$K$137,0)),"")</f>
        <v/>
      </c>
      <c r="C98" s="17" t="str">
        <f>IFERROR(INDEX(Checklist!$B$5:$B$137,MATCH(95,Checklist!$K$5:$K$137,0)),"")</f>
        <v/>
      </c>
      <c r="D98" s="10" t="str">
        <f>IFERROR(INDEX(Checklist!$F$5:$F$137,MATCH(95,Checklist!$K$5:$K$137,0))&amp;"","")</f>
        <v/>
      </c>
      <c r="E98" s="26" t="str">
        <f>IFERROR(INDEX(Checklist!$L$5:$L$137,MATCH(95,Checklist!$K$5:$K$137,0)),"")</f>
        <v/>
      </c>
      <c r="F98" s="24" t="str">
        <f>IFERROR(INDEX(Checklist!$D$5:$D$137,MATCH(95,Checklist!$K$5:$K$137,0)),"")</f>
        <v/>
      </c>
      <c r="G98" s="4" t="n"/>
      <c r="H98" s="4" t="n"/>
      <c r="I98" s="4" t="n"/>
      <c r="J98" s="4" t="n"/>
    </row>
    <row r="99" ht="28" customHeight="1">
      <c r="A99" s="8" t="n">
        <v>96</v>
      </c>
      <c r="B99" s="10" t="str">
        <f>IFERROR(INDEX(Checklist!$A$5:$A$137,MATCH(96,Checklist!$K$5:$K$137,0)),"")</f>
        <v/>
      </c>
      <c r="C99" s="17" t="str">
        <f>IFERROR(INDEX(Checklist!$B$5:$B$137,MATCH(96,Checklist!$K$5:$K$137,0)),"")</f>
        <v/>
      </c>
      <c r="D99" s="10" t="str">
        <f>IFERROR(INDEX(Checklist!$F$5:$F$137,MATCH(96,Checklist!$K$5:$K$137,0))&amp;"","")</f>
        <v/>
      </c>
      <c r="E99" s="26" t="str">
        <f>IFERROR(INDEX(Checklist!$L$5:$L$137,MATCH(96,Checklist!$K$5:$K$137,0)),"")</f>
        <v/>
      </c>
      <c r="F99" s="24" t="str">
        <f>IFERROR(INDEX(Checklist!$D$5:$D$137,MATCH(96,Checklist!$K$5:$K$137,0)),"")</f>
        <v/>
      </c>
      <c r="G99" s="4" t="n"/>
      <c r="H99" s="4" t="n"/>
      <c r="I99" s="4" t="n"/>
      <c r="J99" s="4" t="n"/>
    </row>
    <row r="100" ht="28" customHeight="1">
      <c r="A100" s="8" t="n">
        <v>97</v>
      </c>
      <c r="B100" s="10" t="str">
        <f>IFERROR(INDEX(Checklist!$A$5:$A$137,MATCH(97,Checklist!$K$5:$K$137,0)),"")</f>
        <v/>
      </c>
      <c r="C100" s="17" t="str">
        <f>IFERROR(INDEX(Checklist!$B$5:$B$137,MATCH(97,Checklist!$K$5:$K$137,0)),"")</f>
        <v/>
      </c>
      <c r="D100" s="10" t="str">
        <f>IFERROR(INDEX(Checklist!$F$5:$F$137,MATCH(97,Checklist!$K$5:$K$137,0))&amp;"","")</f>
        <v/>
      </c>
      <c r="E100" s="26" t="str">
        <f>IFERROR(INDEX(Checklist!$L$5:$L$137,MATCH(97,Checklist!$K$5:$K$137,0)),"")</f>
        <v/>
      </c>
      <c r="F100" s="24" t="str">
        <f>IFERROR(INDEX(Checklist!$D$5:$D$137,MATCH(97,Checklist!$K$5:$K$137,0)),"")</f>
        <v/>
      </c>
      <c r="G100" s="4" t="n"/>
      <c r="H100" s="4" t="n"/>
      <c r="I100" s="4" t="n"/>
      <c r="J100" s="4" t="n"/>
    </row>
    <row r="101" ht="28" customHeight="1">
      <c r="A101" s="8" t="n">
        <v>98</v>
      </c>
      <c r="B101" s="10" t="str">
        <f>IFERROR(INDEX(Checklist!$A$5:$A$137,MATCH(98,Checklist!$K$5:$K$137,0)),"")</f>
        <v/>
      </c>
      <c r="C101" s="17" t="str">
        <f>IFERROR(INDEX(Checklist!$B$5:$B$137,MATCH(98,Checklist!$K$5:$K$137,0)),"")</f>
        <v/>
      </c>
      <c r="D101" s="10" t="str">
        <f>IFERROR(INDEX(Checklist!$F$5:$F$137,MATCH(98,Checklist!$K$5:$K$137,0))&amp;"","")</f>
        <v/>
      </c>
      <c r="E101" s="26" t="str">
        <f>IFERROR(INDEX(Checklist!$L$5:$L$137,MATCH(98,Checklist!$K$5:$K$137,0)),"")</f>
        <v/>
      </c>
      <c r="F101" s="24" t="str">
        <f>IFERROR(INDEX(Checklist!$D$5:$D$137,MATCH(98,Checklist!$K$5:$K$137,0)),"")</f>
        <v/>
      </c>
      <c r="G101" s="4" t="n"/>
      <c r="H101" s="4" t="n"/>
      <c r="I101" s="4" t="n"/>
      <c r="J101" s="4" t="n"/>
    </row>
    <row r="102" ht="28" customHeight="1">
      <c r="A102" s="8" t="n">
        <v>99</v>
      </c>
      <c r="B102" s="10" t="str">
        <f>IFERROR(INDEX(Checklist!$A$5:$A$137,MATCH(99,Checklist!$K$5:$K$137,0)),"")</f>
        <v/>
      </c>
      <c r="C102" s="17" t="str">
        <f>IFERROR(INDEX(Checklist!$B$5:$B$137,MATCH(99,Checklist!$K$5:$K$137,0)),"")</f>
        <v/>
      </c>
      <c r="D102" s="10" t="str">
        <f>IFERROR(INDEX(Checklist!$F$5:$F$137,MATCH(99,Checklist!$K$5:$K$137,0))&amp;"","")</f>
        <v/>
      </c>
      <c r="E102" s="26" t="str">
        <f>IFERROR(INDEX(Checklist!$L$5:$L$137,MATCH(99,Checklist!$K$5:$K$137,0)),"")</f>
        <v/>
      </c>
      <c r="F102" s="24" t="str">
        <f>IFERROR(INDEX(Checklist!$D$5:$D$137,MATCH(99,Checklist!$K$5:$K$137,0)),"")</f>
        <v/>
      </c>
      <c r="G102" s="4" t="n"/>
      <c r="H102" s="4" t="n"/>
      <c r="I102" s="4" t="n"/>
      <c r="J102" s="4" t="n"/>
    </row>
    <row r="103" ht="28" customHeight="1">
      <c r="A103" s="8" t="n">
        <v>100</v>
      </c>
      <c r="B103" s="10" t="str">
        <f>IFERROR(INDEX(Checklist!$A$5:$A$137,MATCH(100,Checklist!$K$5:$K$137,0)),"")</f>
        <v/>
      </c>
      <c r="C103" s="17" t="str">
        <f>IFERROR(INDEX(Checklist!$B$5:$B$137,MATCH(100,Checklist!$K$5:$K$137,0)),"")</f>
        <v/>
      </c>
      <c r="D103" s="10" t="str">
        <f>IFERROR(INDEX(Checklist!$F$5:$F$137,MATCH(100,Checklist!$K$5:$K$137,0))&amp;"","")</f>
        <v/>
      </c>
      <c r="E103" s="26" t="str">
        <f>IFERROR(INDEX(Checklist!$L$5:$L$137,MATCH(100,Checklist!$K$5:$K$137,0)),"")</f>
        <v/>
      </c>
      <c r="F103" s="24" t="str">
        <f>IFERROR(INDEX(Checklist!$D$5:$D$137,MATCH(100,Checklist!$K$5:$K$137,0)),"")</f>
        <v/>
      </c>
      <c r="G103" s="4" t="n"/>
      <c r="H103" s="4" t="n"/>
      <c r="I103" s="4" t="n"/>
      <c r="J103" s="4" t="n"/>
    </row>
    <row r="104" ht="28" customHeight="1">
      <c r="A104" s="8" t="n">
        <v>101</v>
      </c>
      <c r="B104" s="10" t="str">
        <f>IFERROR(INDEX(Checklist!$A$5:$A$137,MATCH(101,Checklist!$K$5:$K$137,0)),"")</f>
        <v/>
      </c>
      <c r="C104" s="17" t="str">
        <f>IFERROR(INDEX(Checklist!$B$5:$B$137,MATCH(101,Checklist!$K$5:$K$137,0)),"")</f>
        <v/>
      </c>
      <c r="D104" s="10" t="str">
        <f>IFERROR(INDEX(Checklist!$F$5:$F$137,MATCH(101,Checklist!$K$5:$K$137,0))&amp;"","")</f>
        <v/>
      </c>
      <c r="E104" s="26" t="str">
        <f>IFERROR(INDEX(Checklist!$L$5:$L$137,MATCH(101,Checklist!$K$5:$K$137,0)),"")</f>
        <v/>
      </c>
      <c r="F104" s="24" t="str">
        <f>IFERROR(INDEX(Checklist!$D$5:$D$137,MATCH(101,Checklist!$K$5:$K$137,0)),"")</f>
        <v/>
      </c>
      <c r="G104" s="4" t="n"/>
      <c r="H104" s="4" t="n"/>
      <c r="I104" s="4" t="n"/>
      <c r="J104" s="4" t="n"/>
    </row>
    <row r="105" ht="28" customHeight="1">
      <c r="A105" s="8" t="n">
        <v>102</v>
      </c>
      <c r="B105" s="10" t="str">
        <f>IFERROR(INDEX(Checklist!$A$5:$A$137,MATCH(102,Checklist!$K$5:$K$137,0)),"")</f>
        <v/>
      </c>
      <c r="C105" s="17" t="str">
        <f>IFERROR(INDEX(Checklist!$B$5:$B$137,MATCH(102,Checklist!$K$5:$K$137,0)),"")</f>
        <v/>
      </c>
      <c r="D105" s="10" t="str">
        <f>IFERROR(INDEX(Checklist!$F$5:$F$137,MATCH(102,Checklist!$K$5:$K$137,0))&amp;"","")</f>
        <v/>
      </c>
      <c r="E105" s="26" t="str">
        <f>IFERROR(INDEX(Checklist!$L$5:$L$137,MATCH(102,Checklist!$K$5:$K$137,0)),"")</f>
        <v/>
      </c>
      <c r="F105" s="24" t="str">
        <f>IFERROR(INDEX(Checklist!$D$5:$D$137,MATCH(102,Checklist!$K$5:$K$137,0)),"")</f>
        <v/>
      </c>
      <c r="G105" s="4" t="n"/>
      <c r="H105" s="4" t="n"/>
      <c r="I105" s="4" t="n"/>
      <c r="J105" s="4" t="n"/>
    </row>
    <row r="106" ht="28" customHeight="1">
      <c r="A106" s="8" t="n">
        <v>103</v>
      </c>
      <c r="B106" s="10" t="str">
        <f>IFERROR(INDEX(Checklist!$A$5:$A$137,MATCH(103,Checklist!$K$5:$K$137,0)),"")</f>
        <v/>
      </c>
      <c r="C106" s="17" t="str">
        <f>IFERROR(INDEX(Checklist!$B$5:$B$137,MATCH(103,Checklist!$K$5:$K$137,0)),"")</f>
        <v/>
      </c>
      <c r="D106" s="10" t="str">
        <f>IFERROR(INDEX(Checklist!$F$5:$F$137,MATCH(103,Checklist!$K$5:$K$137,0))&amp;"","")</f>
        <v/>
      </c>
      <c r="E106" s="26" t="str">
        <f>IFERROR(INDEX(Checklist!$L$5:$L$137,MATCH(103,Checklist!$K$5:$K$137,0)),"")</f>
        <v/>
      </c>
      <c r="F106" s="24" t="str">
        <f>IFERROR(INDEX(Checklist!$D$5:$D$137,MATCH(103,Checklist!$K$5:$K$137,0)),"")</f>
        <v/>
      </c>
      <c r="G106" s="4" t="n"/>
      <c r="H106" s="4" t="n"/>
      <c r="I106" s="4" t="n"/>
      <c r="J106" s="4" t="n"/>
    </row>
    <row r="107" ht="28" customHeight="1">
      <c r="A107" s="8" t="n">
        <v>104</v>
      </c>
      <c r="B107" s="10" t="str">
        <f>IFERROR(INDEX(Checklist!$A$5:$A$137,MATCH(104,Checklist!$K$5:$K$137,0)),"")</f>
        <v/>
      </c>
      <c r="C107" s="17" t="str">
        <f>IFERROR(INDEX(Checklist!$B$5:$B$137,MATCH(104,Checklist!$K$5:$K$137,0)),"")</f>
        <v/>
      </c>
      <c r="D107" s="10" t="str">
        <f>IFERROR(INDEX(Checklist!$F$5:$F$137,MATCH(104,Checklist!$K$5:$K$137,0))&amp;"","")</f>
        <v/>
      </c>
      <c r="E107" s="26" t="str">
        <f>IFERROR(INDEX(Checklist!$L$5:$L$137,MATCH(104,Checklist!$K$5:$K$137,0)),"")</f>
        <v/>
      </c>
      <c r="F107" s="24" t="str">
        <f>IFERROR(INDEX(Checklist!$D$5:$D$137,MATCH(104,Checklist!$K$5:$K$137,0)),"")</f>
        <v/>
      </c>
      <c r="G107" s="4" t="n"/>
      <c r="H107" s="4" t="n"/>
      <c r="I107" s="4" t="n"/>
      <c r="J107" s="4" t="n"/>
    </row>
    <row r="108" ht="28" customHeight="1">
      <c r="A108" s="8" t="n">
        <v>105</v>
      </c>
      <c r="B108" s="10" t="str">
        <f>IFERROR(INDEX(Checklist!$A$5:$A$137,MATCH(105,Checklist!$K$5:$K$137,0)),"")</f>
        <v/>
      </c>
      <c r="C108" s="17" t="str">
        <f>IFERROR(INDEX(Checklist!$B$5:$B$137,MATCH(105,Checklist!$K$5:$K$137,0)),"")</f>
        <v/>
      </c>
      <c r="D108" s="10" t="str">
        <f>IFERROR(INDEX(Checklist!$F$5:$F$137,MATCH(105,Checklist!$K$5:$K$137,0))&amp;"","")</f>
        <v/>
      </c>
      <c r="E108" s="26" t="str">
        <f>IFERROR(INDEX(Checklist!$L$5:$L$137,MATCH(105,Checklist!$K$5:$K$137,0)),"")</f>
        <v/>
      </c>
      <c r="F108" s="24" t="str">
        <f>IFERROR(INDEX(Checklist!$D$5:$D$137,MATCH(105,Checklist!$K$5:$K$137,0)),"")</f>
        <v/>
      </c>
      <c r="G108" s="4" t="n"/>
      <c r="H108" s="4" t="n"/>
      <c r="I108" s="4" t="n"/>
      <c r="J108" s="4" t="n"/>
    </row>
    <row r="109" ht="28" customHeight="1">
      <c r="A109" s="8" t="n">
        <v>106</v>
      </c>
      <c r="B109" s="10" t="str">
        <f>IFERROR(INDEX(Checklist!$A$5:$A$137,MATCH(106,Checklist!$K$5:$K$137,0)),"")</f>
        <v/>
      </c>
      <c r="C109" s="17" t="str">
        <f>IFERROR(INDEX(Checklist!$B$5:$B$137,MATCH(106,Checklist!$K$5:$K$137,0)),"")</f>
        <v/>
      </c>
      <c r="D109" s="10" t="str">
        <f>IFERROR(INDEX(Checklist!$F$5:$F$137,MATCH(106,Checklist!$K$5:$K$137,0))&amp;"","")</f>
        <v/>
      </c>
      <c r="E109" s="26" t="str">
        <f>IFERROR(INDEX(Checklist!$L$5:$L$137,MATCH(106,Checklist!$K$5:$K$137,0)),"")</f>
        <v/>
      </c>
      <c r="F109" s="24" t="str">
        <f>IFERROR(INDEX(Checklist!$D$5:$D$137,MATCH(106,Checklist!$K$5:$K$137,0)),"")</f>
        <v/>
      </c>
      <c r="G109" s="4" t="n"/>
      <c r="H109" s="4" t="n"/>
      <c r="I109" s="4" t="n"/>
      <c r="J109" s="4" t="n"/>
    </row>
    <row r="110" ht="28" customHeight="1">
      <c r="A110" s="8" t="n">
        <v>107</v>
      </c>
      <c r="B110" s="10" t="str">
        <f>IFERROR(INDEX(Checklist!$A$5:$A$137,MATCH(107,Checklist!$K$5:$K$137,0)),"")</f>
        <v/>
      </c>
      <c r="C110" s="17" t="str">
        <f>IFERROR(INDEX(Checklist!$B$5:$B$137,MATCH(107,Checklist!$K$5:$K$137,0)),"")</f>
        <v/>
      </c>
      <c r="D110" s="10" t="str">
        <f>IFERROR(INDEX(Checklist!$F$5:$F$137,MATCH(107,Checklist!$K$5:$K$137,0))&amp;"","")</f>
        <v/>
      </c>
      <c r="E110" s="26" t="str">
        <f>IFERROR(INDEX(Checklist!$L$5:$L$137,MATCH(107,Checklist!$K$5:$K$137,0)),"")</f>
        <v/>
      </c>
      <c r="F110" s="24" t="str">
        <f>IFERROR(INDEX(Checklist!$D$5:$D$137,MATCH(107,Checklist!$K$5:$K$137,0)),"")</f>
        <v/>
      </c>
      <c r="G110" s="4" t="n"/>
      <c r="H110" s="4" t="n"/>
      <c r="I110" s="4" t="n"/>
      <c r="J110" s="4" t="n"/>
    </row>
    <row r="111" ht="28" customHeight="1">
      <c r="A111" s="8" t="n">
        <v>108</v>
      </c>
      <c r="B111" s="10" t="str">
        <f>IFERROR(INDEX(Checklist!$A$5:$A$137,MATCH(108,Checklist!$K$5:$K$137,0)),"")</f>
        <v/>
      </c>
      <c r="C111" s="17" t="str">
        <f>IFERROR(INDEX(Checklist!$B$5:$B$137,MATCH(108,Checklist!$K$5:$K$137,0)),"")</f>
        <v/>
      </c>
      <c r="D111" s="10" t="str">
        <f>IFERROR(INDEX(Checklist!$F$5:$F$137,MATCH(108,Checklist!$K$5:$K$137,0))&amp;"","")</f>
        <v/>
      </c>
      <c r="E111" s="26" t="str">
        <f>IFERROR(INDEX(Checklist!$L$5:$L$137,MATCH(108,Checklist!$K$5:$K$137,0)),"")</f>
        <v/>
      </c>
      <c r="F111" s="24" t="str">
        <f>IFERROR(INDEX(Checklist!$D$5:$D$137,MATCH(108,Checklist!$K$5:$K$137,0)),"")</f>
        <v/>
      </c>
      <c r="G111" s="4" t="n"/>
      <c r="H111" s="4" t="n"/>
      <c r="I111" s="4" t="n"/>
      <c r="J111" s="4" t="n"/>
    </row>
    <row r="112" ht="28" customHeight="1">
      <c r="A112" s="8" t="n">
        <v>109</v>
      </c>
      <c r="B112" s="10" t="str">
        <f>IFERROR(INDEX(Checklist!$A$5:$A$137,MATCH(109,Checklist!$K$5:$K$137,0)),"")</f>
        <v/>
      </c>
      <c r="C112" s="17" t="str">
        <f>IFERROR(INDEX(Checklist!$B$5:$B$137,MATCH(109,Checklist!$K$5:$K$137,0)),"")</f>
        <v/>
      </c>
      <c r="D112" s="10" t="str">
        <f>IFERROR(INDEX(Checklist!$F$5:$F$137,MATCH(109,Checklist!$K$5:$K$137,0))&amp;"","")</f>
        <v/>
      </c>
      <c r="E112" s="26" t="str">
        <f>IFERROR(INDEX(Checklist!$L$5:$L$137,MATCH(109,Checklist!$K$5:$K$137,0)),"")</f>
        <v/>
      </c>
      <c r="F112" s="24" t="str">
        <f>IFERROR(INDEX(Checklist!$D$5:$D$137,MATCH(109,Checklist!$K$5:$K$137,0)),"")</f>
        <v/>
      </c>
      <c r="G112" s="4" t="n"/>
      <c r="H112" s="4" t="n"/>
      <c r="I112" s="4" t="n"/>
      <c r="J112" s="4" t="n"/>
    </row>
    <row r="113" ht="28" customHeight="1">
      <c r="A113" s="8" t="n">
        <v>110</v>
      </c>
      <c r="B113" s="10" t="str">
        <f>IFERROR(INDEX(Checklist!$A$5:$A$137,MATCH(110,Checklist!$K$5:$K$137,0)),"")</f>
        <v/>
      </c>
      <c r="C113" s="17" t="str">
        <f>IFERROR(INDEX(Checklist!$B$5:$B$137,MATCH(110,Checklist!$K$5:$K$137,0)),"")</f>
        <v/>
      </c>
      <c r="D113" s="10" t="str">
        <f>IFERROR(INDEX(Checklist!$F$5:$F$137,MATCH(110,Checklist!$K$5:$K$137,0))&amp;"","")</f>
        <v/>
      </c>
      <c r="E113" s="26" t="str">
        <f>IFERROR(INDEX(Checklist!$L$5:$L$137,MATCH(110,Checklist!$K$5:$K$137,0)),"")</f>
        <v/>
      </c>
      <c r="F113" s="24" t="str">
        <f>IFERROR(INDEX(Checklist!$D$5:$D$137,MATCH(110,Checklist!$K$5:$K$137,0)),"")</f>
        <v/>
      </c>
      <c r="G113" s="4" t="n"/>
      <c r="H113" s="4" t="n"/>
      <c r="I113" s="4" t="n"/>
      <c r="J113" s="4" t="n"/>
    </row>
    <row r="114" ht="28" customHeight="1">
      <c r="A114" s="8" t="n">
        <v>111</v>
      </c>
      <c r="B114" s="10" t="str">
        <f>IFERROR(INDEX(Checklist!$A$5:$A$137,MATCH(111,Checklist!$K$5:$K$137,0)),"")</f>
        <v/>
      </c>
      <c r="C114" s="17" t="str">
        <f>IFERROR(INDEX(Checklist!$B$5:$B$137,MATCH(111,Checklist!$K$5:$K$137,0)),"")</f>
        <v/>
      </c>
      <c r="D114" s="10" t="str">
        <f>IFERROR(INDEX(Checklist!$F$5:$F$137,MATCH(111,Checklist!$K$5:$K$137,0))&amp;"","")</f>
        <v/>
      </c>
      <c r="E114" s="26" t="str">
        <f>IFERROR(INDEX(Checklist!$L$5:$L$137,MATCH(111,Checklist!$K$5:$K$137,0)),"")</f>
        <v/>
      </c>
      <c r="F114" s="24" t="str">
        <f>IFERROR(INDEX(Checklist!$D$5:$D$137,MATCH(111,Checklist!$K$5:$K$137,0)),"")</f>
        <v/>
      </c>
      <c r="G114" s="4" t="n"/>
      <c r="H114" s="4" t="n"/>
      <c r="I114" s="4" t="n"/>
      <c r="J114" s="4" t="n"/>
    </row>
    <row r="115" ht="28" customHeight="1">
      <c r="A115" s="8" t="n">
        <v>112</v>
      </c>
      <c r="B115" s="10" t="str">
        <f>IFERROR(INDEX(Checklist!$A$5:$A$137,MATCH(112,Checklist!$K$5:$K$137,0)),"")</f>
        <v/>
      </c>
      <c r="C115" s="17" t="str">
        <f>IFERROR(INDEX(Checklist!$B$5:$B$137,MATCH(112,Checklist!$K$5:$K$137,0)),"")</f>
        <v/>
      </c>
      <c r="D115" s="10" t="str">
        <f>IFERROR(INDEX(Checklist!$F$5:$F$137,MATCH(112,Checklist!$K$5:$K$137,0))&amp;"","")</f>
        <v/>
      </c>
      <c r="E115" s="26" t="str">
        <f>IFERROR(INDEX(Checklist!$L$5:$L$137,MATCH(112,Checklist!$K$5:$K$137,0)),"")</f>
        <v/>
      </c>
      <c r="F115" s="24" t="str">
        <f>IFERROR(INDEX(Checklist!$D$5:$D$137,MATCH(112,Checklist!$K$5:$K$137,0)),"")</f>
        <v/>
      </c>
      <c r="G115" s="4" t="n"/>
      <c r="H115" s="4" t="n"/>
      <c r="I115" s="4" t="n"/>
      <c r="J115" s="4" t="n"/>
    </row>
    <row r="116" ht="28" customHeight="1">
      <c r="A116" s="8" t="n">
        <v>113</v>
      </c>
      <c r="B116" s="10" t="str">
        <f>IFERROR(INDEX(Checklist!$A$5:$A$137,MATCH(113,Checklist!$K$5:$K$137,0)),"")</f>
        <v/>
      </c>
      <c r="C116" s="17" t="str">
        <f>IFERROR(INDEX(Checklist!$B$5:$B$137,MATCH(113,Checklist!$K$5:$K$137,0)),"")</f>
        <v/>
      </c>
      <c r="D116" s="10" t="str">
        <f>IFERROR(INDEX(Checklist!$F$5:$F$137,MATCH(113,Checklist!$K$5:$K$137,0))&amp;"","")</f>
        <v/>
      </c>
      <c r="E116" s="26" t="str">
        <f>IFERROR(INDEX(Checklist!$L$5:$L$137,MATCH(113,Checklist!$K$5:$K$137,0)),"")</f>
        <v/>
      </c>
      <c r="F116" s="24" t="str">
        <f>IFERROR(INDEX(Checklist!$D$5:$D$137,MATCH(113,Checklist!$K$5:$K$137,0)),"")</f>
        <v/>
      </c>
      <c r="G116" s="4" t="n"/>
      <c r="H116" s="4" t="n"/>
      <c r="I116" s="4" t="n"/>
      <c r="J116" s="4" t="n"/>
    </row>
    <row r="117" ht="28" customHeight="1">
      <c r="A117" s="8" t="n">
        <v>114</v>
      </c>
      <c r="B117" s="10" t="str">
        <f>IFERROR(INDEX(Checklist!$A$5:$A$137,MATCH(114,Checklist!$K$5:$K$137,0)),"")</f>
        <v/>
      </c>
      <c r="C117" s="17" t="str">
        <f>IFERROR(INDEX(Checklist!$B$5:$B$137,MATCH(114,Checklist!$K$5:$K$137,0)),"")</f>
        <v/>
      </c>
      <c r="D117" s="10" t="str">
        <f>IFERROR(INDEX(Checklist!$F$5:$F$137,MATCH(114,Checklist!$K$5:$K$137,0))&amp;"","")</f>
        <v/>
      </c>
      <c r="E117" s="26" t="str">
        <f>IFERROR(INDEX(Checklist!$L$5:$L$137,MATCH(114,Checklist!$K$5:$K$137,0)),"")</f>
        <v/>
      </c>
      <c r="F117" s="24" t="str">
        <f>IFERROR(INDEX(Checklist!$D$5:$D$137,MATCH(114,Checklist!$K$5:$K$137,0)),"")</f>
        <v/>
      </c>
      <c r="G117" s="4" t="n"/>
      <c r="H117" s="4" t="n"/>
      <c r="I117" s="4" t="n"/>
      <c r="J117" s="4" t="n"/>
    </row>
    <row r="118" ht="28" customHeight="1">
      <c r="A118" s="8" t="n">
        <v>115</v>
      </c>
      <c r="B118" s="10" t="str">
        <f>IFERROR(INDEX(Checklist!$A$5:$A$137,MATCH(115,Checklist!$K$5:$K$137,0)),"")</f>
        <v/>
      </c>
      <c r="C118" s="17" t="str">
        <f>IFERROR(INDEX(Checklist!$B$5:$B$137,MATCH(115,Checklist!$K$5:$K$137,0)),"")</f>
        <v/>
      </c>
      <c r="D118" s="10" t="str">
        <f>IFERROR(INDEX(Checklist!$F$5:$F$137,MATCH(115,Checklist!$K$5:$K$137,0))&amp;"","")</f>
        <v/>
      </c>
      <c r="E118" s="26" t="str">
        <f>IFERROR(INDEX(Checklist!$L$5:$L$137,MATCH(115,Checklist!$K$5:$K$137,0)),"")</f>
        <v/>
      </c>
      <c r="F118" s="24" t="str">
        <f>IFERROR(INDEX(Checklist!$D$5:$D$137,MATCH(115,Checklist!$K$5:$K$137,0)),"")</f>
        <v/>
      </c>
      <c r="G118" s="4" t="n"/>
      <c r="H118" s="4" t="n"/>
      <c r="I118" s="4" t="n"/>
      <c r="J118" s="4" t="n"/>
    </row>
    <row r="119" ht="28" customHeight="1">
      <c r="A119" s="8" t="n">
        <v>116</v>
      </c>
      <c r="B119" s="10" t="str">
        <f>IFERROR(INDEX(Checklist!$A$5:$A$137,MATCH(116,Checklist!$K$5:$K$137,0)),"")</f>
        <v/>
      </c>
      <c r="C119" s="17" t="str">
        <f>IFERROR(INDEX(Checklist!$B$5:$B$137,MATCH(116,Checklist!$K$5:$K$137,0)),"")</f>
        <v/>
      </c>
      <c r="D119" s="10" t="str">
        <f>IFERROR(INDEX(Checklist!$F$5:$F$137,MATCH(116,Checklist!$K$5:$K$137,0))&amp;"","")</f>
        <v/>
      </c>
      <c r="E119" s="26" t="str">
        <f>IFERROR(INDEX(Checklist!$L$5:$L$137,MATCH(116,Checklist!$K$5:$K$137,0)),"")</f>
        <v/>
      </c>
      <c r="F119" s="24" t="str">
        <f>IFERROR(INDEX(Checklist!$D$5:$D$137,MATCH(116,Checklist!$K$5:$K$137,0)),"")</f>
        <v/>
      </c>
      <c r="G119" s="4" t="n"/>
      <c r="H119" s="4" t="n"/>
      <c r="I119" s="4" t="n"/>
      <c r="J119" s="4" t="n"/>
    </row>
    <row r="120" ht="28" customHeight="1">
      <c r="A120" s="8" t="n">
        <v>117</v>
      </c>
      <c r="B120" s="10" t="str">
        <f>IFERROR(INDEX(Checklist!$A$5:$A$137,MATCH(117,Checklist!$K$5:$K$137,0)),"")</f>
        <v/>
      </c>
      <c r="C120" s="17" t="str">
        <f>IFERROR(INDEX(Checklist!$B$5:$B$137,MATCH(117,Checklist!$K$5:$K$137,0)),"")</f>
        <v/>
      </c>
      <c r="D120" s="10" t="str">
        <f>IFERROR(INDEX(Checklist!$F$5:$F$137,MATCH(117,Checklist!$K$5:$K$137,0))&amp;"","")</f>
        <v/>
      </c>
      <c r="E120" s="26" t="str">
        <f>IFERROR(INDEX(Checklist!$L$5:$L$137,MATCH(117,Checklist!$K$5:$K$137,0)),"")</f>
        <v/>
      </c>
      <c r="F120" s="24" t="str">
        <f>IFERROR(INDEX(Checklist!$D$5:$D$137,MATCH(117,Checklist!$K$5:$K$137,0)),"")</f>
        <v/>
      </c>
      <c r="G120" s="4" t="n"/>
      <c r="H120" s="4" t="n"/>
      <c r="I120" s="4" t="n"/>
      <c r="J120" s="4" t="n"/>
    </row>
    <row r="121" ht="28" customHeight="1">
      <c r="A121" s="8" t="n">
        <v>118</v>
      </c>
      <c r="B121" s="10" t="str">
        <f>IFERROR(INDEX(Checklist!$A$5:$A$137,MATCH(118,Checklist!$K$5:$K$137,0)),"")</f>
        <v/>
      </c>
      <c r="C121" s="17" t="str">
        <f>IFERROR(INDEX(Checklist!$B$5:$B$137,MATCH(118,Checklist!$K$5:$K$137,0)),"")</f>
        <v/>
      </c>
      <c r="D121" s="10" t="str">
        <f>IFERROR(INDEX(Checklist!$F$5:$F$137,MATCH(118,Checklist!$K$5:$K$137,0))&amp;"","")</f>
        <v/>
      </c>
      <c r="E121" s="26" t="str">
        <f>IFERROR(INDEX(Checklist!$L$5:$L$137,MATCH(118,Checklist!$K$5:$K$137,0)),"")</f>
        <v/>
      </c>
      <c r="F121" s="24" t="str">
        <f>IFERROR(INDEX(Checklist!$D$5:$D$137,MATCH(118,Checklist!$K$5:$K$137,0)),"")</f>
        <v/>
      </c>
      <c r="G121" s="4" t="n"/>
      <c r="H121" s="4" t="n"/>
      <c r="I121" s="4" t="n"/>
      <c r="J121" s="4" t="n"/>
    </row>
    <row r="122" ht="28" customHeight="1">
      <c r="A122" s="8" t="n">
        <v>119</v>
      </c>
      <c r="B122" s="10" t="str">
        <f>IFERROR(INDEX(Checklist!$A$5:$A$137,MATCH(119,Checklist!$K$5:$K$137,0)),"")</f>
        <v/>
      </c>
      <c r="C122" s="17" t="str">
        <f>IFERROR(INDEX(Checklist!$B$5:$B$137,MATCH(119,Checklist!$K$5:$K$137,0)),"")</f>
        <v/>
      </c>
      <c r="D122" s="10" t="str">
        <f>IFERROR(INDEX(Checklist!$F$5:$F$137,MATCH(119,Checklist!$K$5:$K$137,0))&amp;"","")</f>
        <v/>
      </c>
      <c r="E122" s="26" t="str">
        <f>IFERROR(INDEX(Checklist!$L$5:$L$137,MATCH(119,Checklist!$K$5:$K$137,0)),"")</f>
        <v/>
      </c>
      <c r="F122" s="24" t="str">
        <f>IFERROR(INDEX(Checklist!$D$5:$D$137,MATCH(119,Checklist!$K$5:$K$137,0)),"")</f>
        <v/>
      </c>
      <c r="G122" s="4" t="n"/>
      <c r="H122" s="4" t="n"/>
      <c r="I122" s="4" t="n"/>
      <c r="J122" s="4" t="n"/>
    </row>
    <row r="123" ht="28" customHeight="1">
      <c r="A123" s="8" t="n">
        <v>120</v>
      </c>
      <c r="B123" s="10" t="str">
        <f>IFERROR(INDEX(Checklist!$A$5:$A$137,MATCH(120,Checklist!$K$5:$K$137,0)),"")</f>
        <v/>
      </c>
      <c r="C123" s="17" t="str">
        <f>IFERROR(INDEX(Checklist!$B$5:$B$137,MATCH(120,Checklist!$K$5:$K$137,0)),"")</f>
        <v/>
      </c>
      <c r="D123" s="10" t="str">
        <f>IFERROR(INDEX(Checklist!$F$5:$F$137,MATCH(120,Checklist!$K$5:$K$137,0))&amp;"","")</f>
        <v/>
      </c>
      <c r="E123" s="26" t="str">
        <f>IFERROR(INDEX(Checklist!$L$5:$L$137,MATCH(120,Checklist!$K$5:$K$137,0)),"")</f>
        <v/>
      </c>
      <c r="F123" s="24" t="str">
        <f>IFERROR(INDEX(Checklist!$D$5:$D$137,MATCH(120,Checklist!$K$5:$K$137,0)),"")</f>
        <v/>
      </c>
      <c r="G123" s="4" t="n"/>
      <c r="H123" s="4" t="n"/>
      <c r="I123" s="4" t="n"/>
      <c r="J123" s="4" t="n"/>
    </row>
    <row r="124" ht="28" customHeight="1">
      <c r="A124" s="8" t="n">
        <v>121</v>
      </c>
      <c r="B124" s="10" t="str">
        <f>IFERROR(INDEX(Checklist!$A$5:$A$137,MATCH(121,Checklist!$K$5:$K$137,0)),"")</f>
        <v/>
      </c>
      <c r="C124" s="17" t="str">
        <f>IFERROR(INDEX(Checklist!$B$5:$B$137,MATCH(121,Checklist!$K$5:$K$137,0)),"")</f>
        <v/>
      </c>
      <c r="D124" s="10" t="str">
        <f>IFERROR(INDEX(Checklist!$F$5:$F$137,MATCH(121,Checklist!$K$5:$K$137,0))&amp;"","")</f>
        <v/>
      </c>
      <c r="E124" s="26" t="str">
        <f>IFERROR(INDEX(Checklist!$L$5:$L$137,MATCH(121,Checklist!$K$5:$K$137,0)),"")</f>
        <v/>
      </c>
      <c r="F124" s="24" t="str">
        <f>IFERROR(INDEX(Checklist!$D$5:$D$137,MATCH(121,Checklist!$K$5:$K$137,0)),"")</f>
        <v/>
      </c>
      <c r="G124" s="4" t="n"/>
      <c r="H124" s="4" t="n"/>
      <c r="I124" s="4" t="n"/>
      <c r="J124" s="4" t="n"/>
    </row>
    <row r="125" ht="28" customHeight="1">
      <c r="A125" s="8" t="n">
        <v>122</v>
      </c>
      <c r="B125" s="10" t="str">
        <f>IFERROR(INDEX(Checklist!$A$5:$A$137,MATCH(122,Checklist!$K$5:$K$137,0)),"")</f>
        <v/>
      </c>
      <c r="C125" s="17" t="str">
        <f>IFERROR(INDEX(Checklist!$B$5:$B$137,MATCH(122,Checklist!$K$5:$K$137,0)),"")</f>
        <v/>
      </c>
      <c r="D125" s="10" t="str">
        <f>IFERROR(INDEX(Checklist!$F$5:$F$137,MATCH(122,Checklist!$K$5:$K$137,0))&amp;"","")</f>
        <v/>
      </c>
      <c r="E125" s="26" t="str">
        <f>IFERROR(INDEX(Checklist!$L$5:$L$137,MATCH(122,Checklist!$K$5:$K$137,0)),"")</f>
        <v/>
      </c>
      <c r="F125" s="24" t="str">
        <f>IFERROR(INDEX(Checklist!$D$5:$D$137,MATCH(122,Checklist!$K$5:$K$137,0)),"")</f>
        <v/>
      </c>
      <c r="G125" s="4" t="n"/>
      <c r="H125" s="4" t="n"/>
      <c r="I125" s="4" t="n"/>
      <c r="J125" s="4" t="n"/>
    </row>
    <row r="126" ht="28" customHeight="1">
      <c r="A126" s="8" t="n">
        <v>123</v>
      </c>
      <c r="B126" s="10" t="str">
        <f>IFERROR(INDEX(Checklist!$A$5:$A$137,MATCH(123,Checklist!$K$5:$K$137,0)),"")</f>
        <v/>
      </c>
      <c r="C126" s="17" t="str">
        <f>IFERROR(INDEX(Checklist!$B$5:$B$137,MATCH(123,Checklist!$K$5:$K$137,0)),"")</f>
        <v/>
      </c>
      <c r="D126" s="10" t="str">
        <f>IFERROR(INDEX(Checklist!$F$5:$F$137,MATCH(123,Checklist!$K$5:$K$137,0))&amp;"","")</f>
        <v/>
      </c>
      <c r="E126" s="26" t="str">
        <f>IFERROR(INDEX(Checklist!$L$5:$L$137,MATCH(123,Checklist!$K$5:$K$137,0)),"")</f>
        <v/>
      </c>
      <c r="F126" s="24" t="str">
        <f>IFERROR(INDEX(Checklist!$D$5:$D$137,MATCH(123,Checklist!$K$5:$K$137,0)),"")</f>
        <v/>
      </c>
      <c r="G126" s="4" t="n"/>
      <c r="H126" s="4" t="n"/>
      <c r="I126" s="4" t="n"/>
      <c r="J126" s="4" t="n"/>
    </row>
    <row r="127" ht="28" customHeight="1">
      <c r="A127" s="8" t="n">
        <v>124</v>
      </c>
      <c r="B127" s="10" t="str">
        <f>IFERROR(INDEX(Checklist!$A$5:$A$137,MATCH(124,Checklist!$K$5:$K$137,0)),"")</f>
        <v/>
      </c>
      <c r="C127" s="17" t="str">
        <f>IFERROR(INDEX(Checklist!$B$5:$B$137,MATCH(124,Checklist!$K$5:$K$137,0)),"")</f>
        <v/>
      </c>
      <c r="D127" s="10" t="str">
        <f>IFERROR(INDEX(Checklist!$F$5:$F$137,MATCH(124,Checklist!$K$5:$K$137,0))&amp;"","")</f>
        <v/>
      </c>
      <c r="E127" s="26" t="str">
        <f>IFERROR(INDEX(Checklist!$L$5:$L$137,MATCH(124,Checklist!$K$5:$K$137,0)),"")</f>
        <v/>
      </c>
      <c r="F127" s="24" t="str">
        <f>IFERROR(INDEX(Checklist!$D$5:$D$137,MATCH(124,Checklist!$K$5:$K$137,0)),"")</f>
        <v/>
      </c>
      <c r="G127" s="4" t="n"/>
      <c r="H127" s="4" t="n"/>
      <c r="I127" s="4" t="n"/>
      <c r="J127" s="4" t="n"/>
    </row>
    <row r="128" ht="28" customHeight="1">
      <c r="A128" s="8" t="n">
        <v>125</v>
      </c>
      <c r="B128" s="10" t="str">
        <f>IFERROR(INDEX(Checklist!$A$5:$A$137,MATCH(125,Checklist!$K$5:$K$137,0)),"")</f>
        <v/>
      </c>
      <c r="C128" s="17" t="str">
        <f>IFERROR(INDEX(Checklist!$B$5:$B$137,MATCH(125,Checklist!$K$5:$K$137,0)),"")</f>
        <v/>
      </c>
      <c r="D128" s="10" t="str">
        <f>IFERROR(INDEX(Checklist!$F$5:$F$137,MATCH(125,Checklist!$K$5:$K$137,0))&amp;"","")</f>
        <v/>
      </c>
      <c r="E128" s="26" t="str">
        <f>IFERROR(INDEX(Checklist!$L$5:$L$137,MATCH(125,Checklist!$K$5:$K$137,0)),"")</f>
        <v/>
      </c>
      <c r="F128" s="24" t="str">
        <f>IFERROR(INDEX(Checklist!$D$5:$D$137,MATCH(125,Checklist!$K$5:$K$137,0)),"")</f>
        <v/>
      </c>
      <c r="G128" s="4" t="n"/>
      <c r="H128" s="4" t="n"/>
      <c r="I128" s="4" t="n"/>
      <c r="J128" s="4" t="n"/>
    </row>
  </sheetData>
  <mergeCells count="1">
    <mergeCell ref="A1:J1"/>
  </mergeCells>
  <conditionalFormatting sqref="D4:D128">
    <cfRule type="cellIs" priority="1" operator="equal" dxfId="3">
      <formula>"Critical"</formula>
    </cfRule>
    <cfRule type="cellIs" priority="2" operator="equal" dxfId="2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1">
    <dataValidation sqref="J4:J128" showDropDown="0" showInputMessage="0" showErrorMessage="0" allowBlank="0" type="list">
      <formula1>"Open,In progress,Closed,Risk accepted"</formula1>
    </dataValidation>
  </dataValidations>
  <printOptions gridLines="0"/>
  <pageMargins left="0.4" right="0.4" top="0.6" bottom="0.6" header="0.25" footer="0.2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16" customWidth="1" min="4" max="4"/>
  </cols>
  <sheetData>
    <row r="1" ht="30" customHeight="1">
      <c r="A1" s="27" t="inlineStr">
        <is>
          <t>SIGN-OFF</t>
        </is>
      </c>
    </row>
    <row r="3">
      <c r="A3" s="6" t="inlineStr">
        <is>
          <t>Role</t>
        </is>
      </c>
      <c r="B3" s="6" t="inlineStr">
        <is>
          <t>Name</t>
        </is>
      </c>
      <c r="C3" s="6" t="inlineStr">
        <is>
          <t>Signature</t>
        </is>
      </c>
      <c r="D3" s="6" t="inlineStr">
        <is>
          <t>Date</t>
        </is>
      </c>
    </row>
    <row r="4" ht="30" customHeight="1">
      <c r="A4" s="7" t="inlineStr">
        <is>
          <t>Audit Lead</t>
        </is>
      </c>
      <c r="B4" s="4" t="n"/>
      <c r="C4" s="4" t="n"/>
      <c r="D4" s="4" t="n"/>
    </row>
    <row r="5" ht="30" customHeight="1">
      <c r="A5" s="7" t="inlineStr">
        <is>
          <t>System Owner</t>
        </is>
      </c>
      <c r="B5" s="4" t="n"/>
      <c r="C5" s="4" t="n"/>
      <c r="D5" s="4" t="n"/>
    </row>
    <row r="6" ht="30" customHeight="1">
      <c r="A6" s="7" t="inlineStr">
        <is>
          <t>CISO</t>
        </is>
      </c>
      <c r="B6" s="4" t="n"/>
      <c r="C6" s="4" t="n"/>
      <c r="D6" s="4" t="n"/>
    </row>
    <row r="7" ht="30" customHeight="1">
      <c r="A7" s="7" t="inlineStr">
        <is>
          <t>AI Governance Lead</t>
        </is>
      </c>
      <c r="B7" s="4" t="n"/>
      <c r="C7" s="4" t="n"/>
      <c r="D7" s="4" t="n"/>
    </row>
  </sheetData>
  <mergeCells count="1">
    <mergeCell ref="A1:D1"/>
  </mergeCells>
  <printOptions gridLines="0"/>
  <pageMargins left="0.4" right="0.4" top="0.6" bottom="0.6" header="0.25" footer="0.2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2026-09-26T12:14:27Z</dcterms:created>
  <dcterms:modified xmlns:dcterms="http://purl.org/dc/terms/" xmlns:xsi="http://www.w3.org/2001/XMLSchema-instance" xsi:type="dcterms:W3CDTF">2026-09-26T12:14:27Z</dcterms:modified>
</cp:coreProperties>
</file>