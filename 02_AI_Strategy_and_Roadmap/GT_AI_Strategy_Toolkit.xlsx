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1. SWOT &amp; TOWS" sheetId="2" state="visible" r:id="rId2"/>
    <sheet xmlns:r="http://schemas.openxmlformats.org/officeDocument/2006/relationships" name="2. Use-Case Scoring" sheetId="3" state="visible" r:id="rId3"/>
    <sheet xmlns:r="http://schemas.openxmlformats.org/officeDocument/2006/relationships" name="3. Roadmap (Gantt)" sheetId="4" state="visible" r:id="rId4"/>
    <sheet xmlns:r="http://schemas.openxmlformats.org/officeDocument/2006/relationships" name="4. KPI Tracker" sheetId="5" state="visible" r:id="rId5"/>
    <sheet xmlns:r="http://schemas.openxmlformats.org/officeDocument/2006/relationships" name="5. Ready7 Traceabi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F2D7F"/>
      <sz val="9.5"/>
    </font>
    <font>
      <b val="1"/>
      <color rgb="00000000"/>
      <sz val="9.5"/>
    </font>
    <font>
      <color rgb="00000000"/>
      <sz val="9.5"/>
    </font>
    <font>
      <b val="1"/>
      <color rgb="00FFFFFF"/>
      <sz val="9.5"/>
    </font>
    <font>
      <b val="1"/>
    </font>
    <font>
      <b val="1"/>
      <color rgb="00FFFFFF"/>
      <sz val="8"/>
    </font>
    <font>
      <b val="1"/>
      <color rgb="00000000"/>
      <sz val="8.5"/>
    </font>
    <font>
      <color rgb="00000000"/>
      <sz val="8.5"/>
    </font>
  </fonts>
  <fills count="8">
    <fill>
      <patternFill/>
    </fill>
    <fill>
      <patternFill patternType="gray125"/>
    </fill>
    <fill>
      <patternFill patternType="solid">
        <fgColor rgb="004F2D7F"/>
      </patternFill>
    </fill>
    <fill>
      <patternFill patternType="solid">
        <fgColor rgb="00EDE7F6"/>
      </patternFill>
    </fill>
    <fill>
      <patternFill patternType="solid">
        <fgColor rgb="00FFF9E6"/>
      </patternFill>
    </fill>
    <fill>
      <patternFill patternType="solid">
        <fgColor rgb="007B5BA6"/>
      </patternFill>
    </fill>
    <fill>
      <patternFill patternType="solid">
        <fgColor rgb="0000A7B5"/>
      </patternFill>
    </fill>
    <fill>
      <patternFill patternType="solid">
        <fgColor rgb="00E8705F"/>
      </patternFill>
    </fill>
  </fills>
  <borders count="7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  <border>
      <left/>
      <right/>
      <top style="thin">
        <color rgb="00C9C9C9"/>
      </top>
      <bottom/>
      <diagonal/>
    </border>
    <border>
      <left/>
      <right style="thin">
        <color rgb="00C9C9C9"/>
      </right>
      <top style="thin">
        <color rgb="00C9C9C9"/>
      </top>
      <bottom/>
      <diagonal/>
    </border>
    <border>
      <left/>
      <right/>
      <top style="thin">
        <color rgb="00C9C9C9"/>
      </top>
      <bottom style="thin">
        <color rgb="00C9C9C9"/>
      </bottom>
      <diagonal/>
    </border>
    <border>
      <left/>
      <right style="thin">
        <color rgb="00C9C9C9"/>
      </right>
      <top style="thin">
        <color rgb="00C9C9C9"/>
      </top>
      <bottom style="thin">
        <color rgb="00C9C9C9"/>
      </bottom>
      <diagonal/>
    </border>
    <border>
      <left style="dashed">
        <color rgb="0000A7B5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  <xf numFmtId="0" fontId="0" fillId="4" borderId="0" pivotButton="0" quotePrefix="0" xfId="0"/>
    <xf numFmtId="0" fontId="4" fillId="3" borderId="1" applyAlignment="1" pivotButton="0" quotePrefix="0" xfId="0">
      <alignment vertical="center" wrapText="1"/>
    </xf>
    <xf numFmtId="9" fontId="4" fillId="4" borderId="1" applyAlignment="1" pivotButton="0" quotePrefix="0" xfId="0">
      <alignment horizontal="center" vertical="center" wrapText="1"/>
    </xf>
    <xf numFmtId="9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textRotation="90"/>
    </xf>
    <xf numFmtId="0" fontId="7" fillId="5" borderId="1" applyAlignment="1" pivotButton="0" quotePrefix="0" xfId="0">
      <alignment horizontal="center" vertical="center" textRotation="90"/>
    </xf>
    <xf numFmtId="0" fontId="8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6" pivotButton="0" quotePrefix="0" xfId="0"/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dxfs count="12">
    <dxf>
      <fill>
        <patternFill patternType="solid">
          <fgColor rgb="00C6E0B4"/>
        </patternFill>
      </fill>
    </dxf>
    <dxf>
      <fill>
        <patternFill patternType="solid">
          <fgColor rgb="00D9CCEB"/>
        </patternFill>
      </fill>
    </dxf>
    <dxf>
      <fill>
        <patternFill patternType="solid">
          <fgColor rgb="00BDD7EE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F4B183"/>
        </patternFill>
      </fill>
    </dxf>
    <dxf>
      <fill>
        <patternFill patternType="solid">
          <fgColor rgb="00E06666"/>
        </patternFill>
      </fill>
    </dxf>
    <dxf>
      <fill>
        <patternFill patternType="solid">
          <fgColor rgb="004F2D7F"/>
        </patternFill>
      </fill>
    </dxf>
    <dxf>
      <fill>
        <patternFill patternType="solid">
          <fgColor rgb="0000A7B5"/>
        </patternFill>
      </fill>
    </dxf>
    <dxf>
      <fill>
        <patternFill patternType="solid">
          <fgColor rgb="002E1A47"/>
        </patternFill>
      </fill>
    </dxf>
    <dxf>
      <fill>
        <patternFill patternType="solid">
          <fgColor rgb="00E8705F"/>
        </patternFill>
      </fill>
    </dxf>
    <dxf>
      <fill>
        <patternFill patternType="solid">
          <fgColor rgb="007B5BA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2D7F"/>
    <outlinePr summaryBelow="1" summaryRight="1"/>
    <pageSetUpPr fitToPage="1"/>
  </sheetPr>
  <dimension ref="A1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10" customWidth="1" min="3" max="3"/>
  </cols>
  <sheetData>
    <row r="1" ht="32" customHeight="1">
      <c r="A1" s="1" t="inlineStr">
        <is>
          <t>GT AI Strategy &amp; Roadmap Toolkit</t>
        </is>
      </c>
    </row>
    <row r="2" ht="30" customHeight="1">
      <c r="A2" s="2" t="inlineStr">
        <is>
          <t>Companion to 'GT Bahrain AI Strategy &amp; Roadmap 2026-2028'. Populated with the GT Bahrain case; reusable as a template for client AI strategy engagements.</t>
        </is>
      </c>
    </row>
    <row r="4" ht="32" customHeight="1">
      <c r="B4" s="3" t="inlineStr">
        <is>
          <t>1. SWOT &amp; TOWS</t>
        </is>
      </c>
      <c r="C4" s="4" t="inlineStr">
        <is>
          <t>Situational analysis: strengths, weaknesses, opportunities, threats and the resulting strategic options (TOWS).</t>
        </is>
      </c>
    </row>
    <row r="5" ht="32" customHeight="1">
      <c r="B5" s="3" t="inlineStr">
        <is>
          <t>2. Use-Case Scoring</t>
        </is>
      </c>
      <c r="C5" s="4" t="inlineStr">
        <is>
          <t>Score candidate use cases 1-5 on four value and four feasibility criteria (weights editable in row 5). Value, feasibility, quadrant and priority rank calculate automatically.</t>
        </is>
      </c>
    </row>
    <row r="6" ht="32" customHeight="1">
      <c r="B6" s="3" t="inlineStr">
        <is>
          <t>3. Roadmap (Gantt)</t>
        </is>
      </c>
      <c r="C6" s="4" t="inlineStr">
        <is>
          <t>Enter start month (1 = Oct 2026) and duration for each activity; the Gantt bars draw automatically. Track owner and status.</t>
        </is>
      </c>
    </row>
    <row r="7" ht="32" customHeight="1">
      <c r="B7" s="3" t="inlineStr">
        <is>
          <t>4. KPI Tracker</t>
        </is>
      </c>
      <c r="C7" s="4" t="inlineStr">
        <is>
          <t>Baseline, targets and actuals for strategy KPIs; RAG status calculates from the actual value where numeric.</t>
        </is>
      </c>
    </row>
    <row r="8" ht="32" customHeight="1">
      <c r="B8" s="3" t="inlineStr">
        <is>
          <t>5. Ready7 Traceability</t>
        </is>
      </c>
      <c r="C8" s="4" t="inlineStr">
        <is>
          <t>Maps every AI Ready7 item not fully met to a roadmap response, horizon and workstream.</t>
        </is>
      </c>
    </row>
    <row r="9" ht="32" customHeight="1">
      <c r="B9" s="3" t="inlineStr">
        <is>
          <t>Colour legend</t>
        </is>
      </c>
      <c r="C9" s="4" t="inlineStr">
        <is>
          <t>Yellow = input  |  Purple = header / calculated</t>
        </is>
      </c>
    </row>
  </sheetData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4F2D7F"/>
    <outlinePr summaryBelow="1" summaryRight="1"/>
    <pageSetUpPr fitToPage="1"/>
  </sheetPr>
  <dimension ref="A1:D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70" customWidth="1" min="2" max="2"/>
    <col width="4" customWidth="1" min="3" max="3"/>
    <col width="70" customWidth="1" min="4" max="4"/>
  </cols>
  <sheetData>
    <row r="1" ht="32" customHeight="1">
      <c r="A1" s="1" t="inlineStr">
        <is>
          <t>1. SWOT &amp; TOWS Analysis</t>
        </is>
      </c>
    </row>
    <row r="2" ht="30" customHeight="1">
      <c r="A2" s="2" t="inlineStr">
        <is>
          <t>Internal factors from the AI Ready7 baseline (Sept 2026); external factors from the Bahrain / GCC landscape scan.</t>
        </is>
      </c>
    </row>
    <row r="4">
      <c r="B4" s="5" t="inlineStr">
        <is>
          <t>STRENGTHS</t>
        </is>
      </c>
      <c r="D4" s="6" t="inlineStr">
        <is>
          <t>WEAKNESSES</t>
        </is>
      </c>
    </row>
    <row r="5" ht="30" customHeight="1">
      <c r="B5" s="7" t="inlineStr">
        <is>
          <t>Strong global brand and GTIL network; AI Ready7 methodology already in use</t>
        </is>
      </c>
      <c r="D5" s="7" t="inlineStr">
        <is>
          <t>Overall AI readiness 'Informed' (61.4%) - below the 'Repeatable' threshold</t>
        </is>
      </c>
    </row>
    <row r="6" ht="30" customHeight="1">
      <c r="B6" s="7" t="inlineStr">
        <is>
          <t>Deep audit, GRC, cyber and regulatory heritage - a credible trust-first position</t>
        </is>
      </c>
      <c r="D6" s="7" t="inlineStr">
        <is>
          <t>No consistent lifecycle AI risk assessment (Ready7 2.4 - Not Met)</t>
        </is>
      </c>
    </row>
    <row r="7" ht="30" customHeight="1">
      <c r="B7" s="7" t="inlineStr">
        <is>
          <t>Existing relationships in regulated sectors (banking, telecom, government)</t>
        </is>
      </c>
      <c r="D7" s="7" t="inlineStr">
        <is>
          <t>Data classification &amp; handling for AI not in place (Ready7 5.1 - Not Met)</t>
        </is>
      </c>
    </row>
    <row r="8" ht="30" customHeight="1">
      <c r="B8" s="7" t="inlineStr">
        <is>
          <t>Compliance &amp; data foundations in place (Ready7 2.2, 2.5, 5.3, 5.4 fully met)</t>
        </is>
      </c>
      <c r="D8" s="7" t="inlineStr">
        <is>
          <t>Business alignment 50%: strategy, portfolio and value tracking only partially defined</t>
        </is>
      </c>
    </row>
    <row r="9" ht="30" customHeight="1">
      <c r="B9" s="7" t="inlineStr">
        <is>
          <t>Good AI literacy (T&amp;D 69%) and threat defence (70%) baseline</t>
        </is>
      </c>
      <c r="D9" s="7" t="inlineStr">
        <is>
          <t>Architecture &amp; AI security at 55%: reference architecture, red teaming, ModelOps immature</t>
        </is>
      </c>
    </row>
    <row r="10" ht="30" customHeight="1">
      <c r="B10" s="7" t="inlineStr">
        <is>
          <t>Four defined AI service lines and proprietary tools (RCM v2.0, risk framework, readiness tool)</t>
        </is>
      </c>
      <c r="D10" s="7" t="inlineStr">
        <is>
          <t>Limited in-house AI engineering capacity; reliance on vendor tools</t>
        </is>
      </c>
    </row>
    <row r="12">
      <c r="B12" s="8" t="inlineStr">
        <is>
          <t>OPPORTUNITIES</t>
        </is>
      </c>
      <c r="D12" s="9" t="inlineStr">
        <is>
          <t>THREATS</t>
        </is>
      </c>
    </row>
    <row r="13" ht="30" customHeight="1">
      <c r="B13" s="7" t="inlineStr">
        <is>
          <t>National AI agenda: Vision 2030, iGA AI Policy (2025), UNESCO AI readiness report (2025)</t>
        </is>
      </c>
      <c r="D13" s="7" t="inlineStr">
        <is>
          <t>Big Four and tech-native AI consultancies competing aggressively (e.g., EY.ai, niche AI firms)</t>
        </is>
      </c>
    </row>
    <row r="14" ht="30" customHeight="1">
      <c r="B14" s="7" t="inlineStr">
        <is>
          <t>Regulation wave: PDPL, CBB, GCC regimes, EU AI Act reach, forthcoming Bahrain AI law</t>
        </is>
      </c>
      <c r="D14" s="7" t="inlineStr">
        <is>
          <t>Fast-moving technology and vendor lock-in risk</t>
        </is>
      </c>
    </row>
    <row r="15" ht="30" customHeight="1">
      <c r="B15" s="7" t="inlineStr">
        <is>
          <t>Emerging ISO/IEC 42001 certification and AI assurance market in the GCC</t>
        </is>
      </c>
      <c r="D15" s="7" t="inlineStr">
        <is>
          <t>AI-enabled cyber threats and deepfake fraud targeting the firm and its clients</t>
        </is>
      </c>
    </row>
    <row r="16" ht="30" customHeight="1">
      <c r="B16" s="7" t="inlineStr">
        <is>
          <t>Sector demand in financial services, insurance, government, telecom, healthcare, hospitality</t>
        </is>
      </c>
      <c r="D16" s="7" t="inlineStr">
        <is>
          <t>Client-confidentiality and professional-liability exposure from AI errors</t>
        </is>
      </c>
    </row>
    <row r="17" ht="30" customHeight="1">
      <c r="B17" s="7" t="inlineStr">
        <is>
          <t>AI productivity gains in audit, tax and advisory delivery improve margins and quality</t>
        </is>
      </c>
      <c r="D17" s="7" t="inlineStr">
        <is>
          <t>Scarcity of AI talent across the GCC</t>
        </is>
      </c>
    </row>
    <row r="18" ht="30" customHeight="1">
      <c r="B18" s="7" t="inlineStr">
        <is>
          <t>Regional scale through the GT network across the GCC</t>
        </is>
      </c>
      <c r="D18" s="7" t="inlineStr">
        <is>
          <t>Regulatory uncertainty (Bahrain AI law timing, EU Digital Omnibus changes)</t>
        </is>
      </c>
    </row>
    <row r="20">
      <c r="B20" s="5" t="inlineStr">
        <is>
          <t>TOWS - STRATEGIC OPTIONS</t>
        </is>
      </c>
      <c r="C20" s="10" t="n"/>
      <c r="D20" s="11" t="n"/>
    </row>
    <row r="21" ht="42" customHeight="1">
      <c r="B21" s="3" t="inlineStr">
        <is>
          <t>SO - Lead with trust</t>
        </is>
      </c>
      <c r="C21" s="11" t="n"/>
      <c r="D21" s="4" t="inlineStr">
        <is>
          <t>Launch governance-led AI offerings (readiness assessment, AI GRC / RCM review, ISO/IEC 42001 readiness) into regulated sectors, leveraging the GT brand and GRC heritage.</t>
        </is>
      </c>
    </row>
    <row r="22" ht="42" customHeight="1">
      <c r="B22" s="3" t="inlineStr">
        <is>
          <t>WO - Become 'client zero'</t>
        </is>
      </c>
      <c r="C22" s="11" t="n"/>
      <c r="D22" s="4" t="inlineStr">
        <is>
          <t>Close our own gaps (risk assessment, data classification, strategy &amp; portfolio) using our own tools - and turn the journey into a reference case.</t>
        </is>
      </c>
    </row>
    <row r="23" ht="42" customHeight="1">
      <c r="B23" s="3" t="inlineStr">
        <is>
          <t>ST - Differentiate on assurance + security</t>
        </is>
      </c>
      <c r="C23" s="11" t="n"/>
      <c r="D23" s="4" t="inlineStr">
        <is>
          <t>Combine AI GRC with cyber (AI red teaming, deepfake resilience) to stand apart from technology-led competitors.</t>
        </is>
      </c>
    </row>
    <row r="24" ht="42" customHeight="1">
      <c r="B24" s="3" t="inlineStr">
        <is>
          <t>WT - Partner and protect</t>
        </is>
      </c>
      <c r="C24" s="11" t="n"/>
      <c r="D24" s="4" t="inlineStr">
        <is>
          <t>Vendor-agnostic alliances, strict client-data guardrails and targeted hiring / upskilling to contain talent, liability and lock-in risks.</t>
        </is>
      </c>
    </row>
  </sheetData>
  <mergeCells count="7">
    <mergeCell ref="A1:D1"/>
    <mergeCell ref="B21:C21"/>
    <mergeCell ref="B24:C24"/>
    <mergeCell ref="B23:C23"/>
    <mergeCell ref="B22:C22"/>
    <mergeCell ref="A2:D2"/>
    <mergeCell ref="B20:D20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4F2D7F"/>
    <outlinePr summaryBelow="1" summaryRight="1"/>
    <pageSetUpPr fitToPage="1"/>
  </sheetPr>
  <dimension ref="A1:R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6" customWidth="1" min="2" max="2"/>
    <col width="20" customWidth="1" min="3" max="3"/>
    <col width="9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9" customWidth="1" min="13" max="13"/>
    <col width="11" customWidth="1" min="14" max="14"/>
    <col width="13" customWidth="1" min="15" max="15"/>
    <col width="9" customWidth="1" min="16" max="16"/>
    <col width="8" customWidth="1" min="17" max="17"/>
    <col hidden="1" width="13" customWidth="1" min="18" max="18"/>
  </cols>
  <sheetData>
    <row r="1" ht="32" customHeight="1">
      <c r="A1" s="1" t="inlineStr">
        <is>
          <t>2. Use-Case Prioritisation</t>
        </is>
      </c>
    </row>
    <row r="2" ht="30" customHeight="1">
      <c r="A2" s="2" t="inlineStr">
        <is>
          <t>Score 1 (low) - 5 (high). Technical simplicity and ease of change: 5 = easiest. Weights (row 5) must total 100% per dimension. Quadrant threshold (cell B3) editable.</t>
        </is>
      </c>
    </row>
    <row r="3">
      <c r="A3" s="12" t="inlineStr">
        <is>
          <t>Quadrant threshold</t>
        </is>
      </c>
      <c r="B3" s="13" t="n">
        <v>3.5</v>
      </c>
    </row>
    <row r="4" ht="36" customHeight="1">
      <c r="A4" s="5" t="inlineStr">
        <is>
          <t>#</t>
        </is>
      </c>
      <c r="B4" s="5" t="inlineStr">
        <is>
          <t>Use case</t>
        </is>
      </c>
      <c r="C4" s="5" t="inlineStr">
        <is>
          <t>Area</t>
        </is>
      </c>
      <c r="D4" s="5" t="inlineStr">
        <is>
          <t>Risk tier</t>
        </is>
      </c>
      <c r="E4" s="5" t="inlineStr">
        <is>
          <t>Strategic alignment</t>
        </is>
      </c>
      <c r="F4" s="5" t="inlineStr">
        <is>
          <t>Efficiency / financial benefit</t>
        </is>
      </c>
      <c r="G4" s="5" t="inlineStr">
        <is>
          <t>Quality &amp; client impact</t>
        </is>
      </c>
      <c r="H4" s="5" t="inlineStr">
        <is>
          <t>Scalability / reuse</t>
        </is>
      </c>
      <c r="I4" s="5" t="inlineStr">
        <is>
          <t>Data readiness</t>
        </is>
      </c>
      <c r="J4" s="5" t="inlineStr">
        <is>
          <t>Technical simplicity</t>
        </is>
      </c>
      <c r="K4" s="5" t="inlineStr">
        <is>
          <t>Ease of change &amp; adoption</t>
        </is>
      </c>
      <c r="L4" s="5" t="inlineStr">
        <is>
          <t>Tool / vendor availability</t>
        </is>
      </c>
      <c r="M4" s="5" t="inlineStr">
        <is>
          <t>VALUE</t>
        </is>
      </c>
      <c r="N4" s="5" t="inlineStr">
        <is>
          <t>FEASIBILITY</t>
        </is>
      </c>
      <c r="O4" s="5" t="inlineStr">
        <is>
          <t>Quadrant</t>
        </is>
      </c>
      <c r="P4" s="5" t="inlineStr">
        <is>
          <t>Priority rank</t>
        </is>
      </c>
      <c r="Q4" s="5" t="inlineStr">
        <is>
          <t>Horizon</t>
        </is>
      </c>
    </row>
    <row r="5">
      <c r="A5" s="14" t="inlineStr"/>
      <c r="B5" s="3" t="inlineStr">
        <is>
          <t>Weights</t>
        </is>
      </c>
      <c r="C5" s="14" t="inlineStr"/>
      <c r="D5" s="14" t="inlineStr"/>
      <c r="E5" s="15" t="n">
        <v>0.25</v>
      </c>
      <c r="F5" s="15" t="n">
        <v>0.35</v>
      </c>
      <c r="G5" s="15" t="n">
        <v>0.25</v>
      </c>
      <c r="H5" s="15" t="n">
        <v>0.15</v>
      </c>
      <c r="I5" s="15" t="n">
        <v>0.3</v>
      </c>
      <c r="J5" s="15" t="n">
        <v>0.25</v>
      </c>
      <c r="K5" s="15" t="n">
        <v>0.2</v>
      </c>
      <c r="L5" s="15" t="n">
        <v>0.25</v>
      </c>
      <c r="M5" s="16">
        <f>SUM(E5:H5)</f>
        <v/>
      </c>
      <c r="N5" s="16">
        <f>SUM(I5:L5)</f>
        <v/>
      </c>
      <c r="O5" s="14" t="inlineStr"/>
      <c r="P5" s="14" t="inlineStr"/>
      <c r="Q5" s="14" t="inlineStr"/>
    </row>
    <row r="6" ht="22" customHeight="1">
      <c r="A6" s="17" t="n">
        <v>1</v>
      </c>
      <c r="B6" s="18" t="inlineStr">
        <is>
          <t>Proposal &amp; report drafting assistant</t>
        </is>
      </c>
      <c r="C6" s="19" t="inlineStr">
        <is>
          <t>All service lines</t>
        </is>
      </c>
      <c r="D6" s="20" t="inlineStr">
        <is>
          <t>Medium</t>
        </is>
      </c>
      <c r="E6" s="20" t="n">
        <v>4</v>
      </c>
      <c r="F6" s="20" t="n">
        <v>4</v>
      </c>
      <c r="G6" s="20" t="n">
        <v>4</v>
      </c>
      <c r="H6" s="20" t="n">
        <v>4</v>
      </c>
      <c r="I6" s="20" t="n">
        <v>4</v>
      </c>
      <c r="J6" s="20" t="n">
        <v>5</v>
      </c>
      <c r="K6" s="20" t="n">
        <v>4</v>
      </c>
      <c r="L6" s="20" t="n">
        <v>5</v>
      </c>
      <c r="M6" s="21">
        <f>ROUND(SUMPRODUCT(E6:H6,$E$5:$H$5),2)</f>
        <v/>
      </c>
      <c r="N6" s="21">
        <f>ROUND(SUMPRODUCT(I6:L6,$I$5:$L$5),2)</f>
        <v/>
      </c>
      <c r="O6" s="22">
        <f>IF(AND(M6&gt;=$B$3,N6&gt;=$B$3),"Quick win",IF(M6&gt;=$B$3,"Strategic bet",IF(N6&gt;=$B$3,"Fill-in","Deprioritise")))</f>
        <v/>
      </c>
      <c r="P6" s="17">
        <f>RANK(M6+N6+ROW()/10000,$R$6:$R$17)</f>
        <v/>
      </c>
      <c r="Q6" s="20" t="inlineStr">
        <is>
          <t>H1</t>
        </is>
      </c>
      <c r="R6">
        <f>M6+N6+ROW()/10000</f>
        <v/>
      </c>
    </row>
    <row r="7" ht="22" customHeight="1">
      <c r="A7" s="17" t="n">
        <v>2</v>
      </c>
      <c r="B7" s="18" t="inlineStr">
        <is>
          <t>Meeting transcription &amp; summaries</t>
        </is>
      </c>
      <c r="C7" s="19" t="inlineStr">
        <is>
          <t>Firm-wide</t>
        </is>
      </c>
      <c r="D7" s="20" t="inlineStr">
        <is>
          <t>Low</t>
        </is>
      </c>
      <c r="E7" s="20" t="n">
        <v>3</v>
      </c>
      <c r="F7" s="20" t="n">
        <v>3</v>
      </c>
      <c r="G7" s="20" t="n">
        <v>3</v>
      </c>
      <c r="H7" s="20" t="n">
        <v>4</v>
      </c>
      <c r="I7" s="20" t="n">
        <v>5</v>
      </c>
      <c r="J7" s="20" t="n">
        <v>5</v>
      </c>
      <c r="K7" s="20" t="n">
        <v>4</v>
      </c>
      <c r="L7" s="20" t="n">
        <v>5</v>
      </c>
      <c r="M7" s="21">
        <f>ROUND(SUMPRODUCT(E7:H7,$E$5:$H$5),2)</f>
        <v/>
      </c>
      <c r="N7" s="21">
        <f>ROUND(SUMPRODUCT(I7:L7,$I$5:$L$5),2)</f>
        <v/>
      </c>
      <c r="O7" s="22">
        <f>IF(AND(M7&gt;=$B$3,N7&gt;=$B$3),"Quick win",IF(M7&gt;=$B$3,"Strategic bet",IF(N7&gt;=$B$3,"Fill-in","Deprioritise")))</f>
        <v/>
      </c>
      <c r="P7" s="17">
        <f>RANK(M7+N7+ROW()/10000,$R$6:$R$17)</f>
        <v/>
      </c>
      <c r="Q7" s="20" t="inlineStr">
        <is>
          <t>H1</t>
        </is>
      </c>
      <c r="R7">
        <f>M7+N7+ROW()/10000</f>
        <v/>
      </c>
    </row>
    <row r="8" ht="22" customHeight="1">
      <c r="A8" s="17" t="n">
        <v>3</v>
      </c>
      <c r="B8" s="18" t="inlineStr">
        <is>
          <t>Knowledge assistant (methodology RAG)</t>
        </is>
      </c>
      <c r="C8" s="19" t="inlineStr">
        <is>
          <t>Firm-wide</t>
        </is>
      </c>
      <c r="D8" s="20" t="inlineStr">
        <is>
          <t>Medium</t>
        </is>
      </c>
      <c r="E8" s="20" t="n">
        <v>5</v>
      </c>
      <c r="F8" s="20" t="n">
        <v>4</v>
      </c>
      <c r="G8" s="20" t="n">
        <v>4</v>
      </c>
      <c r="H8" s="20" t="n">
        <v>4</v>
      </c>
      <c r="I8" s="20" t="n">
        <v>3</v>
      </c>
      <c r="J8" s="20" t="n">
        <v>4</v>
      </c>
      <c r="K8" s="20" t="n">
        <v>4</v>
      </c>
      <c r="L8" s="20" t="n">
        <v>4</v>
      </c>
      <c r="M8" s="21">
        <f>ROUND(SUMPRODUCT(E8:H8,$E$5:$H$5),2)</f>
        <v/>
      </c>
      <c r="N8" s="21">
        <f>ROUND(SUMPRODUCT(I8:L8,$I$5:$L$5),2)</f>
        <v/>
      </c>
      <c r="O8" s="22">
        <f>IF(AND(M8&gt;=$B$3,N8&gt;=$B$3),"Quick win",IF(M8&gt;=$B$3,"Strategic bet",IF(N8&gt;=$B$3,"Fill-in","Deprioritise")))</f>
        <v/>
      </c>
      <c r="P8" s="17">
        <f>RANK(M8+N8+ROW()/10000,$R$6:$R$17)</f>
        <v/>
      </c>
      <c r="Q8" s="20" t="inlineStr">
        <is>
          <t>H1</t>
        </is>
      </c>
      <c r="R8">
        <f>M8+N8+ROW()/10000</f>
        <v/>
      </c>
    </row>
    <row r="9" ht="22" customHeight="1">
      <c r="A9" s="17" t="n">
        <v>4</v>
      </c>
      <c r="B9" s="18" t="inlineStr">
        <is>
          <t>Audit analytics &amp; anomaly detection</t>
        </is>
      </c>
      <c r="C9" s="19" t="inlineStr">
        <is>
          <t>Audit &amp; Assurance</t>
        </is>
      </c>
      <c r="D9" s="20" t="inlineStr">
        <is>
          <t>High</t>
        </is>
      </c>
      <c r="E9" s="20" t="n">
        <v>5</v>
      </c>
      <c r="F9" s="20" t="n">
        <v>5</v>
      </c>
      <c r="G9" s="20" t="n">
        <v>5</v>
      </c>
      <c r="H9" s="20" t="n">
        <v>4</v>
      </c>
      <c r="I9" s="20" t="n">
        <v>3</v>
      </c>
      <c r="J9" s="20" t="n">
        <v>2</v>
      </c>
      <c r="K9" s="20" t="n">
        <v>3</v>
      </c>
      <c r="L9" s="20" t="n">
        <v>4</v>
      </c>
      <c r="M9" s="21">
        <f>ROUND(SUMPRODUCT(E9:H9,$E$5:$H$5),2)</f>
        <v/>
      </c>
      <c r="N9" s="21">
        <f>ROUND(SUMPRODUCT(I9:L9,$I$5:$L$5),2)</f>
        <v/>
      </c>
      <c r="O9" s="22">
        <f>IF(AND(M9&gt;=$B$3,N9&gt;=$B$3),"Quick win",IF(M9&gt;=$B$3,"Strategic bet",IF(N9&gt;=$B$3,"Fill-in","Deprioritise")))</f>
        <v/>
      </c>
      <c r="P9" s="17">
        <f>RANK(M9+N9+ROW()/10000,$R$6:$R$17)</f>
        <v/>
      </c>
      <c r="Q9" s="20" t="inlineStr">
        <is>
          <t>H2</t>
        </is>
      </c>
      <c r="R9">
        <f>M9+N9+ROW()/10000</f>
        <v/>
      </c>
    </row>
    <row r="10" ht="22" customHeight="1">
      <c r="A10" s="17" t="n">
        <v>5</v>
      </c>
      <c r="B10" s="18" t="inlineStr">
        <is>
          <t>Tax research &amp; regulatory Q&amp;A</t>
        </is>
      </c>
      <c r="C10" s="19" t="inlineStr">
        <is>
          <t>Tax</t>
        </is>
      </c>
      <c r="D10" s="20" t="inlineStr">
        <is>
          <t>Medium</t>
        </is>
      </c>
      <c r="E10" s="20" t="n">
        <v>4</v>
      </c>
      <c r="F10" s="20" t="n">
        <v>4</v>
      </c>
      <c r="G10" s="20" t="n">
        <v>4</v>
      </c>
      <c r="H10" s="20" t="n">
        <v>4</v>
      </c>
      <c r="I10" s="20" t="n">
        <v>3</v>
      </c>
      <c r="J10" s="20" t="n">
        <v>4</v>
      </c>
      <c r="K10" s="20" t="n">
        <v>4</v>
      </c>
      <c r="L10" s="20" t="n">
        <v>4</v>
      </c>
      <c r="M10" s="21">
        <f>ROUND(SUMPRODUCT(E10:H10,$E$5:$H$5),2)</f>
        <v/>
      </c>
      <c r="N10" s="21">
        <f>ROUND(SUMPRODUCT(I10:L10,$I$5:$L$5),2)</f>
        <v/>
      </c>
      <c r="O10" s="22">
        <f>IF(AND(M10&gt;=$B$3,N10&gt;=$B$3),"Quick win",IF(M10&gt;=$B$3,"Strategic bet",IF(N10&gt;=$B$3,"Fill-in","Deprioritise")))</f>
        <v/>
      </c>
      <c r="P10" s="17">
        <f>RANK(M10+N10+ROW()/10000,$R$6:$R$17)</f>
        <v/>
      </c>
      <c r="Q10" s="20" t="inlineStr">
        <is>
          <t>H2</t>
        </is>
      </c>
      <c r="R10">
        <f>M10+N10+ROW()/10000</f>
        <v/>
      </c>
    </row>
    <row r="11" ht="22" customHeight="1">
      <c r="A11" s="17" t="n">
        <v>6</v>
      </c>
      <c r="B11" s="18" t="inlineStr">
        <is>
          <t>Contract &amp; document review</t>
        </is>
      </c>
      <c r="C11" s="19" t="inlineStr">
        <is>
          <t>Advisory / Due diligence</t>
        </is>
      </c>
      <c r="D11" s="20" t="inlineStr">
        <is>
          <t>Medium</t>
        </is>
      </c>
      <c r="E11" s="20" t="n">
        <v>4</v>
      </c>
      <c r="F11" s="20" t="n">
        <v>4</v>
      </c>
      <c r="G11" s="20" t="n">
        <v>4</v>
      </c>
      <c r="H11" s="20" t="n">
        <v>3</v>
      </c>
      <c r="I11" s="20" t="n">
        <v>3</v>
      </c>
      <c r="J11" s="20" t="n">
        <v>3</v>
      </c>
      <c r="K11" s="20" t="n">
        <v>3</v>
      </c>
      <c r="L11" s="20" t="n">
        <v>4</v>
      </c>
      <c r="M11" s="21">
        <f>ROUND(SUMPRODUCT(E11:H11,$E$5:$H$5),2)</f>
        <v/>
      </c>
      <c r="N11" s="21">
        <f>ROUND(SUMPRODUCT(I11:L11,$I$5:$L$5),2)</f>
        <v/>
      </c>
      <c r="O11" s="22">
        <f>IF(AND(M11&gt;=$B$3,N11&gt;=$B$3),"Quick win",IF(M11&gt;=$B$3,"Strategic bet",IF(N11&gt;=$B$3,"Fill-in","Deprioritise")))</f>
        <v/>
      </c>
      <c r="P11" s="17">
        <f>RANK(M11+N11+ROW()/10000,$R$6:$R$17)</f>
        <v/>
      </c>
      <c r="Q11" s="20" t="inlineStr">
        <is>
          <t>H2</t>
        </is>
      </c>
      <c r="R11">
        <f>M11+N11+ROW()/10000</f>
        <v/>
      </c>
    </row>
    <row r="12" ht="22" customHeight="1">
      <c r="A12" s="17" t="n">
        <v>7</v>
      </c>
      <c r="B12" s="18" t="inlineStr">
        <is>
          <t>Client onboarding / KYC screening</t>
        </is>
      </c>
      <c r="C12" s="19" t="inlineStr">
        <is>
          <t>Risk &amp; Quality</t>
        </is>
      </c>
      <c r="D12" s="20" t="inlineStr">
        <is>
          <t>High</t>
        </is>
      </c>
      <c r="E12" s="20" t="n">
        <v>3</v>
      </c>
      <c r="F12" s="20" t="n">
        <v>4</v>
      </c>
      <c r="G12" s="20" t="n">
        <v>3</v>
      </c>
      <c r="H12" s="20" t="n">
        <v>3</v>
      </c>
      <c r="I12" s="20" t="n">
        <v>3</v>
      </c>
      <c r="J12" s="20" t="n">
        <v>3</v>
      </c>
      <c r="K12" s="20" t="n">
        <v>3</v>
      </c>
      <c r="L12" s="20" t="n">
        <v>3</v>
      </c>
      <c r="M12" s="21">
        <f>ROUND(SUMPRODUCT(E12:H12,$E$5:$H$5),2)</f>
        <v/>
      </c>
      <c r="N12" s="21">
        <f>ROUND(SUMPRODUCT(I12:L12,$I$5:$L$5),2)</f>
        <v/>
      </c>
      <c r="O12" s="22">
        <f>IF(AND(M12&gt;=$B$3,N12&gt;=$B$3),"Quick win",IF(M12&gt;=$B$3,"Strategic bet",IF(N12&gt;=$B$3,"Fill-in","Deprioritise")))</f>
        <v/>
      </c>
      <c r="P12" s="17">
        <f>RANK(M12+N12+ROW()/10000,$R$6:$R$17)</f>
        <v/>
      </c>
      <c r="Q12" s="20" t="inlineStr">
        <is>
          <t>H3</t>
        </is>
      </c>
      <c r="R12">
        <f>M12+N12+ROW()/10000</f>
        <v/>
      </c>
    </row>
    <row r="13" ht="22" customHeight="1">
      <c r="A13" s="17" t="n">
        <v>8</v>
      </c>
      <c r="B13" s="18" t="inlineStr">
        <is>
          <t>AI-assisted control testing (RCM)</t>
        </is>
      </c>
      <c r="C13" s="19" t="inlineStr">
        <is>
          <t>Risk Advisory / AI GRC</t>
        </is>
      </c>
      <c r="D13" s="20" t="inlineStr">
        <is>
          <t>Medium</t>
        </is>
      </c>
      <c r="E13" s="20" t="n">
        <v>5</v>
      </c>
      <c r="F13" s="20" t="n">
        <v>4</v>
      </c>
      <c r="G13" s="20" t="n">
        <v>3</v>
      </c>
      <c r="H13" s="20" t="n">
        <v>4</v>
      </c>
      <c r="I13" s="20" t="n">
        <v>3</v>
      </c>
      <c r="J13" s="20" t="n">
        <v>3</v>
      </c>
      <c r="K13" s="20" t="n">
        <v>4</v>
      </c>
      <c r="L13" s="20" t="n">
        <v>4</v>
      </c>
      <c r="M13" s="21">
        <f>ROUND(SUMPRODUCT(E13:H13,$E$5:$H$5),2)</f>
        <v/>
      </c>
      <c r="N13" s="21">
        <f>ROUND(SUMPRODUCT(I13:L13,$I$5:$L$5),2)</f>
        <v/>
      </c>
      <c r="O13" s="22">
        <f>IF(AND(M13&gt;=$B$3,N13&gt;=$B$3),"Quick win",IF(M13&gt;=$B$3,"Strategic bet",IF(N13&gt;=$B$3,"Fill-in","Deprioritise")))</f>
        <v/>
      </c>
      <c r="P13" s="17">
        <f>RANK(M13+N13+ROW()/10000,$R$6:$R$17)</f>
        <v/>
      </c>
      <c r="Q13" s="20" t="inlineStr">
        <is>
          <t>H2</t>
        </is>
      </c>
      <c r="R13">
        <f>M13+N13+ROW()/10000</f>
        <v/>
      </c>
    </row>
    <row r="14" ht="22" customHeight="1">
      <c r="A14" s="17" t="n">
        <v>9</v>
      </c>
      <c r="B14" s="18" t="inlineStr">
        <is>
          <t>Finance, timesheet &amp; billing automation</t>
        </is>
      </c>
      <c r="C14" s="19" t="inlineStr">
        <is>
          <t>Operations</t>
        </is>
      </c>
      <c r="D14" s="20" t="inlineStr">
        <is>
          <t>Low</t>
        </is>
      </c>
      <c r="E14" s="20" t="n">
        <v>2</v>
      </c>
      <c r="F14" s="20" t="n">
        <v>4</v>
      </c>
      <c r="G14" s="20" t="n">
        <v>2</v>
      </c>
      <c r="H14" s="20" t="n">
        <v>3</v>
      </c>
      <c r="I14" s="20" t="n">
        <v>4</v>
      </c>
      <c r="J14" s="20" t="n">
        <v>4</v>
      </c>
      <c r="K14" s="20" t="n">
        <v>3</v>
      </c>
      <c r="L14" s="20" t="n">
        <v>5</v>
      </c>
      <c r="M14" s="21">
        <f>ROUND(SUMPRODUCT(E14:H14,$E$5:$H$5),2)</f>
        <v/>
      </c>
      <c r="N14" s="21">
        <f>ROUND(SUMPRODUCT(I14:L14,$I$5:$L$5),2)</f>
        <v/>
      </c>
      <c r="O14" s="22">
        <f>IF(AND(M14&gt;=$B$3,N14&gt;=$B$3),"Quick win",IF(M14&gt;=$B$3,"Strategic bet",IF(N14&gt;=$B$3,"Fill-in","Deprioritise")))</f>
        <v/>
      </c>
      <c r="P14" s="17">
        <f>RANK(M14+N14+ROW()/10000,$R$6:$R$17)</f>
        <v/>
      </c>
      <c r="Q14" s="20" t="inlineStr">
        <is>
          <t>H2</t>
        </is>
      </c>
      <c r="R14">
        <f>M14+N14+ROW()/10000</f>
        <v/>
      </c>
    </row>
    <row r="15" ht="22" customHeight="1">
      <c r="A15" s="17" t="n">
        <v>10</v>
      </c>
      <c r="B15" s="18" t="inlineStr">
        <is>
          <t>Marketing &amp; thought-leadership content</t>
        </is>
      </c>
      <c r="C15" s="19" t="inlineStr">
        <is>
          <t>Marketing</t>
        </is>
      </c>
      <c r="D15" s="20" t="inlineStr">
        <is>
          <t>Low</t>
        </is>
      </c>
      <c r="E15" s="20" t="n">
        <v>2</v>
      </c>
      <c r="F15" s="20" t="n">
        <v>2</v>
      </c>
      <c r="G15" s="20" t="n">
        <v>3</v>
      </c>
      <c r="H15" s="20" t="n">
        <v>3</v>
      </c>
      <c r="I15" s="20" t="n">
        <v>5</v>
      </c>
      <c r="J15" s="20" t="n">
        <v>5</v>
      </c>
      <c r="K15" s="20" t="n">
        <v>5</v>
      </c>
      <c r="L15" s="20" t="n">
        <v>4</v>
      </c>
      <c r="M15" s="21">
        <f>ROUND(SUMPRODUCT(E15:H15,$E$5:$H$5),2)</f>
        <v/>
      </c>
      <c r="N15" s="21">
        <f>ROUND(SUMPRODUCT(I15:L15,$I$5:$L$5),2)</f>
        <v/>
      </c>
      <c r="O15" s="22">
        <f>IF(AND(M15&gt;=$B$3,N15&gt;=$B$3),"Quick win",IF(M15&gt;=$B$3,"Strategic bet",IF(N15&gt;=$B$3,"Fill-in","Deprioritise")))</f>
        <v/>
      </c>
      <c r="P15" s="17">
        <f>RANK(M15+N15+ROW()/10000,$R$6:$R$17)</f>
        <v/>
      </c>
      <c r="Q15" s="20" t="inlineStr">
        <is>
          <t>H1</t>
        </is>
      </c>
      <c r="R15">
        <f>M15+N15+ROW()/10000</f>
        <v/>
      </c>
    </row>
    <row r="16" ht="22" customHeight="1">
      <c r="A16" s="17" t="n">
        <v>11</v>
      </c>
      <c r="B16" s="18" t="inlineStr">
        <is>
          <t>Agentic engagement workflow assistant</t>
        </is>
      </c>
      <c r="C16" s="19" t="inlineStr">
        <is>
          <t>Firm-wide</t>
        </is>
      </c>
      <c r="D16" s="20" t="inlineStr">
        <is>
          <t>High</t>
        </is>
      </c>
      <c r="E16" s="20" t="n">
        <v>5</v>
      </c>
      <c r="F16" s="20" t="n">
        <v>5</v>
      </c>
      <c r="G16" s="20" t="n">
        <v>4</v>
      </c>
      <c r="H16" s="20" t="n">
        <v>4</v>
      </c>
      <c r="I16" s="20" t="n">
        <v>2</v>
      </c>
      <c r="J16" s="20" t="n">
        <v>1</v>
      </c>
      <c r="K16" s="20" t="n">
        <v>2</v>
      </c>
      <c r="L16" s="20" t="n">
        <v>3</v>
      </c>
      <c r="M16" s="21">
        <f>ROUND(SUMPRODUCT(E16:H16,$E$5:$H$5),2)</f>
        <v/>
      </c>
      <c r="N16" s="21">
        <f>ROUND(SUMPRODUCT(I16:L16,$I$5:$L$5),2)</f>
        <v/>
      </c>
      <c r="O16" s="22">
        <f>IF(AND(M16&gt;=$B$3,N16&gt;=$B$3),"Quick win",IF(M16&gt;=$B$3,"Strategic bet",IF(N16&gt;=$B$3,"Fill-in","Deprioritise")))</f>
        <v/>
      </c>
      <c r="P16" s="17">
        <f>RANK(M16+N16+ROW()/10000,$R$6:$R$17)</f>
        <v/>
      </c>
      <c r="Q16" s="20" t="inlineStr">
        <is>
          <t>H3</t>
        </is>
      </c>
      <c r="R16">
        <f>M16+N16+ROW()/10000</f>
        <v/>
      </c>
    </row>
    <row r="17" ht="22" customHeight="1">
      <c r="A17" s="17" t="n">
        <v>12</v>
      </c>
      <c r="B17" s="18" t="inlineStr">
        <is>
          <t>Client AI readiness self-assessment portal</t>
        </is>
      </c>
      <c r="C17" s="19" t="inlineStr">
        <is>
          <t>AI service line</t>
        </is>
      </c>
      <c r="D17" s="20" t="inlineStr">
        <is>
          <t>Medium</t>
        </is>
      </c>
      <c r="E17" s="20" t="n">
        <v>5</v>
      </c>
      <c r="F17" s="20" t="n">
        <v>4</v>
      </c>
      <c r="G17" s="20" t="n">
        <v>4</v>
      </c>
      <c r="H17" s="20" t="n">
        <v>5</v>
      </c>
      <c r="I17" s="20" t="n">
        <v>3</v>
      </c>
      <c r="J17" s="20" t="n">
        <v>3</v>
      </c>
      <c r="K17" s="20" t="n">
        <v>4</v>
      </c>
      <c r="L17" s="20" t="n">
        <v>3</v>
      </c>
      <c r="M17" s="21">
        <f>ROUND(SUMPRODUCT(E17:H17,$E$5:$H$5),2)</f>
        <v/>
      </c>
      <c r="N17" s="21">
        <f>ROUND(SUMPRODUCT(I17:L17,$I$5:$L$5),2)</f>
        <v/>
      </c>
      <c r="O17" s="22">
        <f>IF(AND(M17&gt;=$B$3,N17&gt;=$B$3),"Quick win",IF(M17&gt;=$B$3,"Strategic bet",IF(N17&gt;=$B$3,"Fill-in","Deprioritise")))</f>
        <v/>
      </c>
      <c r="P17" s="17">
        <f>RANK(M17+N17+ROW()/10000,$R$6:$R$17)</f>
        <v/>
      </c>
      <c r="Q17" s="20" t="inlineStr">
        <is>
          <t>H2</t>
        </is>
      </c>
      <c r="R17">
        <f>M17+N17+ROW()/10000</f>
        <v/>
      </c>
    </row>
  </sheetData>
  <mergeCells count="2">
    <mergeCell ref="A1:P1"/>
    <mergeCell ref="A2:P2"/>
  </mergeCells>
  <conditionalFormatting sqref="O6:O17">
    <cfRule type="cellIs" priority="1" operator="equal" dxfId="0">
      <formula>"Quick win"</formula>
    </cfRule>
    <cfRule type="cellIs" priority="2" operator="equal" dxfId="1">
      <formula>"Strategic bet"</formula>
    </cfRule>
    <cfRule type="cellIs" priority="3" operator="equal" dxfId="2">
      <formula>"Fill-in"</formula>
    </cfRule>
    <cfRule type="cellIs" priority="4" operator="equal" dxfId="3">
      <formula>"Deprioritise"</formula>
    </cfRule>
  </conditionalFormatting>
  <conditionalFormatting sqref="D6:D17">
    <cfRule type="cellIs" priority="5" operator="equal" dxfId="0">
      <formula>"Low"</formula>
    </cfRule>
    <cfRule type="cellIs" priority="6" operator="equal" dxfId="4">
      <formula>"Medium"</formula>
    </cfRule>
    <cfRule type="cellIs" priority="7" operator="equal" dxfId="5">
      <formula>"High"</formula>
    </cfRule>
    <cfRule type="cellIs" priority="8" operator="equal" dxfId="6">
      <formula>"Critical"</formula>
    </cfRule>
  </conditionalFormatting>
  <dataValidations count="2">
    <dataValidation sqref="E6:L17" showDropDown="0" showInputMessage="0" showErrorMessage="1" allowBlank="0" error="Enter a score from 1 to 5" type="whole" operator="between">
      <formula1>1</formula1>
      <formula2>5</formula2>
    </dataValidation>
    <dataValidation sqref="D6:D17" showDropDown="0" showInputMessage="0" showErrorMessage="0" allowBlank="0" type="list">
      <formula1>"Low,Medium,High,Critical"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4F2D7F"/>
    <outlinePr summaryBelow="1" summaryRight="1"/>
    <pageSetUpPr fitToPage="1"/>
  </sheetPr>
  <dimension ref="A1:Z25"/>
  <sheetViews>
    <sheetView showGridLines="0"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6" customWidth="1" min="2" max="2"/>
    <col width="7" customWidth="1" min="3" max="3"/>
    <col width="8" customWidth="1" min="4" max="4"/>
    <col width="8" customWidth="1" min="5" max="5"/>
    <col width="20" customWidth="1" min="6" max="6"/>
    <col width="12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</cols>
  <sheetData>
    <row r="1" ht="32" customHeight="1">
      <c r="A1" s="1" t="inlineStr">
        <is>
          <t>3. Implementation Roadmap - Oct 2026 to Mar 2028</t>
        </is>
      </c>
    </row>
    <row r="2" ht="30" customHeight="1">
      <c r="A2" s="2" t="inlineStr">
        <is>
          <t>Start month: 1 = Oct 2026. Bars draw automatically from Start and Duration. Dashed milestones: H2 starts Apr 2027 (month 7), H3 starts Jan 2028 (month 16).</t>
        </is>
      </c>
    </row>
    <row r="3">
      <c r="H3" s="23" t="n">
        <v>1</v>
      </c>
      <c r="I3" s="23" t="n">
        <v>2</v>
      </c>
      <c r="J3" s="23" t="n">
        <v>3</v>
      </c>
      <c r="K3" s="23" t="n">
        <v>4</v>
      </c>
      <c r="L3" s="23" t="n">
        <v>5</v>
      </c>
      <c r="M3" s="23" t="n">
        <v>6</v>
      </c>
      <c r="N3" s="23" t="n">
        <v>7</v>
      </c>
      <c r="O3" s="23" t="n">
        <v>8</v>
      </c>
      <c r="P3" s="23" t="n">
        <v>9</v>
      </c>
      <c r="Q3" s="23" t="n">
        <v>10</v>
      </c>
      <c r="R3" s="23" t="n">
        <v>11</v>
      </c>
      <c r="S3" s="23" t="n">
        <v>12</v>
      </c>
      <c r="T3" s="23" t="n">
        <v>13</v>
      </c>
      <c r="U3" s="23" t="n">
        <v>14</v>
      </c>
      <c r="V3" s="23" t="n">
        <v>15</v>
      </c>
      <c r="W3" s="23" t="n">
        <v>16</v>
      </c>
      <c r="X3" s="23" t="n">
        <v>17</v>
      </c>
      <c r="Y3" s="23" t="n">
        <v>18</v>
      </c>
    </row>
    <row r="4" ht="36" customHeight="1">
      <c r="A4" s="5" t="inlineStr">
        <is>
          <t>Workstream</t>
        </is>
      </c>
      <c r="B4" s="5" t="inlineStr">
        <is>
          <t>Activity</t>
        </is>
      </c>
      <c r="C4" s="5" t="inlineStr">
        <is>
          <t>Start</t>
        </is>
      </c>
      <c r="D4" s="5" t="inlineStr">
        <is>
          <t>Duration</t>
        </is>
      </c>
      <c r="E4" s="5" t="inlineStr">
        <is>
          <t>End</t>
        </is>
      </c>
      <c r="F4" s="5" t="inlineStr">
        <is>
          <t>Owner</t>
        </is>
      </c>
      <c r="G4" s="5" t="inlineStr">
        <is>
          <t>Status</t>
        </is>
      </c>
      <c r="H4" s="24" t="inlineStr">
        <is>
          <t>Oct-26</t>
        </is>
      </c>
      <c r="I4" s="24" t="inlineStr">
        <is>
          <t>Nov-26</t>
        </is>
      </c>
      <c r="J4" s="24" t="inlineStr">
        <is>
          <t>Dec-26</t>
        </is>
      </c>
      <c r="K4" s="25" t="inlineStr">
        <is>
          <t>Jan-27</t>
        </is>
      </c>
      <c r="L4" s="25" t="inlineStr">
        <is>
          <t>Feb-27</t>
        </is>
      </c>
      <c r="M4" s="25" t="inlineStr">
        <is>
          <t>Mar-27</t>
        </is>
      </c>
      <c r="N4" s="24" t="inlineStr">
        <is>
          <t>Apr-27</t>
        </is>
      </c>
      <c r="O4" s="24" t="inlineStr">
        <is>
          <t>May-27</t>
        </is>
      </c>
      <c r="P4" s="24" t="inlineStr">
        <is>
          <t>Jun-27</t>
        </is>
      </c>
      <c r="Q4" s="25" t="inlineStr">
        <is>
          <t>Jul-27</t>
        </is>
      </c>
      <c r="R4" s="25" t="inlineStr">
        <is>
          <t>Aug-27</t>
        </is>
      </c>
      <c r="S4" s="25" t="inlineStr">
        <is>
          <t>Sep-27</t>
        </is>
      </c>
      <c r="T4" s="24" t="inlineStr">
        <is>
          <t>Oct-27</t>
        </is>
      </c>
      <c r="U4" s="24" t="inlineStr">
        <is>
          <t>Nov-27</t>
        </is>
      </c>
      <c r="V4" s="24" t="inlineStr">
        <is>
          <t>Dec-27</t>
        </is>
      </c>
      <c r="W4" s="25" t="inlineStr">
        <is>
          <t>Jan-28</t>
        </is>
      </c>
      <c r="X4" s="25" t="inlineStr">
        <is>
          <t>Feb-28</t>
        </is>
      </c>
      <c r="Y4" s="25" t="inlineStr">
        <is>
          <t>Mar-28</t>
        </is>
      </c>
    </row>
    <row r="5" ht="20" customHeight="1">
      <c r="A5" s="26" t="inlineStr">
        <is>
          <t>WS1 Governance &amp; Risk</t>
        </is>
      </c>
      <c r="B5" s="27" t="inlineStr">
        <is>
          <t>AI strategy, risk appetite &amp; acceptable-use policy</t>
        </is>
      </c>
      <c r="C5" s="20" t="n">
        <v>1</v>
      </c>
      <c r="D5" s="20" t="n">
        <v>2</v>
      </c>
      <c r="E5" s="28">
        <f>INDEX($H$4:$Y$4,MIN(18,C5+D5-1))</f>
        <v/>
      </c>
      <c r="F5" s="29" t="inlineStr">
        <is>
          <t>Risk &amp; Quality / AI CoE</t>
        </is>
      </c>
      <c r="G5" s="29" t="inlineStr">
        <is>
          <t>Not started</t>
        </is>
      </c>
      <c r="H5" s="30" t="n"/>
      <c r="I5" s="30" t="n"/>
      <c r="J5" s="30" t="n"/>
      <c r="K5" s="30" t="n"/>
      <c r="L5" s="30" t="n"/>
      <c r="M5" s="30" t="n"/>
      <c r="N5" s="31" t="n"/>
      <c r="O5" s="30" t="n"/>
      <c r="P5" s="30" t="n"/>
      <c r="Q5" s="30" t="n"/>
      <c r="R5" s="30" t="n"/>
      <c r="S5" s="30" t="n"/>
      <c r="T5" s="30" t="n"/>
      <c r="U5" s="30" t="n"/>
      <c r="V5" s="30" t="n"/>
      <c r="W5" s="31" t="n"/>
      <c r="X5" s="30" t="n"/>
      <c r="Y5" s="30" t="n"/>
    </row>
    <row r="6" ht="20" customHeight="1">
      <c r="A6" s="26" t="inlineStr">
        <is>
          <t>WS1 Governance &amp; Risk</t>
        </is>
      </c>
      <c r="B6" s="27" t="inlineStr">
        <is>
          <t>AI Steering Committee &amp; CoE charter</t>
        </is>
      </c>
      <c r="C6" s="20" t="n">
        <v>1</v>
      </c>
      <c r="D6" s="20" t="n">
        <v>2</v>
      </c>
      <c r="E6" s="28">
        <f>INDEX($H$4:$Y$4,MIN(18,C6+D6-1))</f>
        <v/>
      </c>
      <c r="F6" s="29" t="inlineStr">
        <is>
          <t>Risk &amp; Quality / AI CoE</t>
        </is>
      </c>
      <c r="G6" s="29" t="inlineStr">
        <is>
          <t>Not started</t>
        </is>
      </c>
      <c r="H6" s="30" t="n"/>
      <c r="I6" s="30" t="n"/>
      <c r="J6" s="30" t="n"/>
      <c r="K6" s="30" t="n"/>
      <c r="L6" s="30" t="n"/>
      <c r="M6" s="30" t="n"/>
      <c r="N6" s="31" t="n"/>
      <c r="O6" s="30" t="n"/>
      <c r="P6" s="30" t="n"/>
      <c r="Q6" s="30" t="n"/>
      <c r="R6" s="30" t="n"/>
      <c r="S6" s="30" t="n"/>
      <c r="T6" s="30" t="n"/>
      <c r="U6" s="30" t="n"/>
      <c r="V6" s="30" t="n"/>
      <c r="W6" s="31" t="n"/>
      <c r="X6" s="30" t="n"/>
      <c r="Y6" s="30" t="n"/>
    </row>
    <row r="7" ht="20" customHeight="1">
      <c r="A7" s="26" t="inlineStr">
        <is>
          <t>WS1 Governance &amp; Risk</t>
        </is>
      </c>
      <c r="B7" s="27" t="inlineStr">
        <is>
          <t>AI register refresh &amp; risk-framework rollout</t>
        </is>
      </c>
      <c r="C7" s="20" t="n">
        <v>2</v>
      </c>
      <c r="D7" s="20" t="n">
        <v>4</v>
      </c>
      <c r="E7" s="28">
        <f>INDEX($H$4:$Y$4,MIN(18,C7+D7-1))</f>
        <v/>
      </c>
      <c r="F7" s="29" t="inlineStr">
        <is>
          <t>Risk &amp; Quality / AI CoE</t>
        </is>
      </c>
      <c r="G7" s="29" t="inlineStr">
        <is>
          <t>Not started</t>
        </is>
      </c>
      <c r="H7" s="30" t="n"/>
      <c r="I7" s="30" t="n"/>
      <c r="J7" s="30" t="n"/>
      <c r="K7" s="30" t="n"/>
      <c r="L7" s="30" t="n"/>
      <c r="M7" s="30" t="n"/>
      <c r="N7" s="31" t="n"/>
      <c r="O7" s="30" t="n"/>
      <c r="P7" s="30" t="n"/>
      <c r="Q7" s="30" t="n"/>
      <c r="R7" s="30" t="n"/>
      <c r="S7" s="30" t="n"/>
      <c r="T7" s="30" t="n"/>
      <c r="U7" s="30" t="n"/>
      <c r="V7" s="30" t="n"/>
      <c r="W7" s="31" t="n"/>
      <c r="X7" s="30" t="n"/>
      <c r="Y7" s="30" t="n"/>
    </row>
    <row r="8" ht="20" customHeight="1">
      <c r="A8" s="26" t="inlineStr">
        <is>
          <t>WS1 Governance &amp; Risk</t>
        </is>
      </c>
      <c r="B8" s="27" t="inlineStr">
        <is>
          <t>Vendor AI contract clauses &amp; due diligence</t>
        </is>
      </c>
      <c r="C8" s="20" t="n">
        <v>3</v>
      </c>
      <c r="D8" s="20" t="n">
        <v>4</v>
      </c>
      <c r="E8" s="28">
        <f>INDEX($H$4:$Y$4,MIN(18,C8+D8-1))</f>
        <v/>
      </c>
      <c r="F8" s="29" t="inlineStr">
        <is>
          <t>Risk &amp; Quality / AI CoE</t>
        </is>
      </c>
      <c r="G8" s="29" t="inlineStr">
        <is>
          <t>Not started</t>
        </is>
      </c>
      <c r="H8" s="30" t="n"/>
      <c r="I8" s="30" t="n"/>
      <c r="J8" s="30" t="n"/>
      <c r="K8" s="30" t="n"/>
      <c r="L8" s="30" t="n"/>
      <c r="M8" s="30" t="n"/>
      <c r="N8" s="31" t="n"/>
      <c r="O8" s="30" t="n"/>
      <c r="P8" s="30" t="n"/>
      <c r="Q8" s="30" t="n"/>
      <c r="R8" s="30" t="n"/>
      <c r="S8" s="30" t="n"/>
      <c r="T8" s="30" t="n"/>
      <c r="U8" s="30" t="n"/>
      <c r="V8" s="30" t="n"/>
      <c r="W8" s="31" t="n"/>
      <c r="X8" s="30" t="n"/>
      <c r="Y8" s="30" t="n"/>
    </row>
    <row r="9" ht="20" customHeight="1">
      <c r="A9" s="26" t="inlineStr">
        <is>
          <t>WS1 Governance &amp; Risk</t>
        </is>
      </c>
      <c r="B9" s="27" t="inlineStr">
        <is>
          <t>ISO/IEC 42001 gap assessment &amp; AIMS build</t>
        </is>
      </c>
      <c r="C9" s="20" t="n">
        <v>6</v>
      </c>
      <c r="D9" s="20" t="n">
        <v>8</v>
      </c>
      <c r="E9" s="28">
        <f>INDEX($H$4:$Y$4,MIN(18,C9+D9-1))</f>
        <v/>
      </c>
      <c r="F9" s="29" t="inlineStr">
        <is>
          <t>Risk &amp; Quality / AI CoE</t>
        </is>
      </c>
      <c r="G9" s="29" t="inlineStr">
        <is>
          <t>Not started</t>
        </is>
      </c>
      <c r="H9" s="30" t="n"/>
      <c r="I9" s="30" t="n"/>
      <c r="J9" s="30" t="n"/>
      <c r="K9" s="30" t="n"/>
      <c r="L9" s="30" t="n"/>
      <c r="M9" s="30" t="n"/>
      <c r="N9" s="31" t="n"/>
      <c r="O9" s="30" t="n"/>
      <c r="P9" s="30" t="n"/>
      <c r="Q9" s="30" t="n"/>
      <c r="R9" s="30" t="n"/>
      <c r="S9" s="30" t="n"/>
      <c r="T9" s="30" t="n"/>
      <c r="U9" s="30" t="n"/>
      <c r="V9" s="30" t="n"/>
      <c r="W9" s="31" t="n"/>
      <c r="X9" s="30" t="n"/>
      <c r="Y9" s="30" t="n"/>
    </row>
    <row r="10" ht="20" customHeight="1">
      <c r="A10" s="26" t="inlineStr">
        <is>
          <t>WS1 Governance &amp; Risk</t>
        </is>
      </c>
      <c r="B10" s="27" t="inlineStr">
        <is>
          <t>Certification-readiness audit</t>
        </is>
      </c>
      <c r="C10" s="20" t="n">
        <v>14</v>
      </c>
      <c r="D10" s="20" t="n">
        <v>3</v>
      </c>
      <c r="E10" s="28">
        <f>INDEX($H$4:$Y$4,MIN(18,C10+D10-1))</f>
        <v/>
      </c>
      <c r="F10" s="29" t="inlineStr">
        <is>
          <t>Risk &amp; Quality / AI CoE</t>
        </is>
      </c>
      <c r="G10" s="29" t="inlineStr">
        <is>
          <t>Not started</t>
        </is>
      </c>
      <c r="H10" s="30" t="n"/>
      <c r="I10" s="30" t="n"/>
      <c r="J10" s="30" t="n"/>
      <c r="K10" s="30" t="n"/>
      <c r="L10" s="30" t="n"/>
      <c r="M10" s="30" t="n"/>
      <c r="N10" s="31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1" t="n"/>
      <c r="X10" s="30" t="n"/>
      <c r="Y10" s="30" t="n"/>
    </row>
    <row r="11" ht="20" customHeight="1">
      <c r="A11" s="26" t="inlineStr">
        <is>
          <t>WS2 People &amp; Skills</t>
        </is>
      </c>
      <c r="B11" s="27" t="inlineStr">
        <is>
          <t>AI literacy baseline (all staff)</t>
        </is>
      </c>
      <c r="C11" s="20" t="n">
        <v>2</v>
      </c>
      <c r="D11" s="20" t="n">
        <v>5</v>
      </c>
      <c r="E11" s="28">
        <f>INDEX($H$4:$Y$4,MIN(18,C11+D11-1))</f>
        <v/>
      </c>
      <c r="F11" s="29" t="inlineStr">
        <is>
          <t>HR / L&amp;D</t>
        </is>
      </c>
      <c r="G11" s="29" t="inlineStr">
        <is>
          <t>Not started</t>
        </is>
      </c>
      <c r="H11" s="30" t="n"/>
      <c r="I11" s="30" t="n"/>
      <c r="J11" s="30" t="n"/>
      <c r="K11" s="30" t="n"/>
      <c r="L11" s="30" t="n"/>
      <c r="M11" s="30" t="n"/>
      <c r="N11" s="31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1" t="n"/>
      <c r="X11" s="30" t="n"/>
      <c r="Y11" s="30" t="n"/>
    </row>
    <row r="12" ht="20" customHeight="1">
      <c r="A12" s="26" t="inlineStr">
        <is>
          <t>WS2 People &amp; Skills</t>
        </is>
      </c>
      <c r="B12" s="27" t="inlineStr">
        <is>
          <t>Role-based pathways &amp; AI champions network</t>
        </is>
      </c>
      <c r="C12" s="20" t="n">
        <v>5</v>
      </c>
      <c r="D12" s="20" t="n">
        <v>7</v>
      </c>
      <c r="E12" s="28">
        <f>INDEX($H$4:$Y$4,MIN(18,C12+D12-1))</f>
        <v/>
      </c>
      <c r="F12" s="29" t="inlineStr">
        <is>
          <t>HR / L&amp;D</t>
        </is>
      </c>
      <c r="G12" s="29" t="inlineStr">
        <is>
          <t>Not started</t>
        </is>
      </c>
      <c r="H12" s="30" t="n"/>
      <c r="I12" s="30" t="n"/>
      <c r="J12" s="30" t="n"/>
      <c r="K12" s="30" t="n"/>
      <c r="L12" s="30" t="n"/>
      <c r="M12" s="30" t="n"/>
      <c r="N12" s="31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1" t="n"/>
      <c r="X12" s="30" t="n"/>
      <c r="Y12" s="30" t="n"/>
    </row>
    <row r="13" ht="20" customHeight="1">
      <c r="A13" s="26" t="inlineStr">
        <is>
          <t>WS2 People &amp; Skills</t>
        </is>
      </c>
      <c r="B13" s="27" t="inlineStr">
        <is>
          <t>Leadership &amp; client-facing enablement</t>
        </is>
      </c>
      <c r="C13" s="20" t="n">
        <v>7</v>
      </c>
      <c r="D13" s="20" t="n">
        <v>6</v>
      </c>
      <c r="E13" s="28">
        <f>INDEX($H$4:$Y$4,MIN(18,C13+D13-1))</f>
        <v/>
      </c>
      <c r="F13" s="29" t="inlineStr">
        <is>
          <t>HR / L&amp;D</t>
        </is>
      </c>
      <c r="G13" s="29" t="inlineStr">
        <is>
          <t>Not started</t>
        </is>
      </c>
      <c r="H13" s="30" t="n"/>
      <c r="I13" s="30" t="n"/>
      <c r="J13" s="30" t="n"/>
      <c r="K13" s="30" t="n"/>
      <c r="L13" s="30" t="n"/>
      <c r="M13" s="30" t="n"/>
      <c r="N13" s="31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1" t="n"/>
      <c r="X13" s="30" t="n"/>
      <c r="Y13" s="30" t="n"/>
    </row>
    <row r="14" ht="20" customHeight="1">
      <c r="A14" s="26" t="inlineStr">
        <is>
          <t>WS2 People &amp; Skills</t>
        </is>
      </c>
      <c r="B14" s="27" t="inlineStr">
        <is>
          <t>Annual refresh &amp; workforce plan</t>
        </is>
      </c>
      <c r="C14" s="20" t="n">
        <v>13</v>
      </c>
      <c r="D14" s="20" t="n">
        <v>6</v>
      </c>
      <c r="E14" s="28">
        <f>INDEX($H$4:$Y$4,MIN(18,C14+D14-1))</f>
        <v/>
      </c>
      <c r="F14" s="29" t="inlineStr">
        <is>
          <t>HR / L&amp;D</t>
        </is>
      </c>
      <c r="G14" s="29" t="inlineStr">
        <is>
          <t>Not started</t>
        </is>
      </c>
      <c r="H14" s="30" t="n"/>
      <c r="I14" s="30" t="n"/>
      <c r="J14" s="30" t="n"/>
      <c r="K14" s="30" t="n"/>
      <c r="L14" s="30" t="n"/>
      <c r="M14" s="30" t="n"/>
      <c r="N14" s="31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1" t="n"/>
      <c r="X14" s="30" t="n"/>
      <c r="Y14" s="30" t="n"/>
    </row>
    <row r="15" ht="20" customHeight="1">
      <c r="A15" s="26" t="inlineStr">
        <is>
          <t>WS3 Data, Platforms &amp; Security</t>
        </is>
      </c>
      <c r="B15" s="27" t="inlineStr">
        <is>
          <t>Data classification for AI &amp; GenAI DLP</t>
        </is>
      </c>
      <c r="C15" s="20" t="n">
        <v>1</v>
      </c>
      <c r="D15" s="20" t="n">
        <v>4</v>
      </c>
      <c r="E15" s="28">
        <f>INDEX($H$4:$Y$4,MIN(18,C15+D15-1))</f>
        <v/>
      </c>
      <c r="F15" s="29" t="inlineStr">
        <is>
          <t>IT / Cyber</t>
        </is>
      </c>
      <c r="G15" s="29" t="inlineStr">
        <is>
          <t>Not started</t>
        </is>
      </c>
      <c r="H15" s="30" t="n"/>
      <c r="I15" s="30" t="n"/>
      <c r="J15" s="30" t="n"/>
      <c r="K15" s="30" t="n"/>
      <c r="L15" s="30" t="n"/>
      <c r="M15" s="30" t="n"/>
      <c r="N15" s="31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1" t="n"/>
      <c r="X15" s="30" t="n"/>
      <c r="Y15" s="30" t="n"/>
    </row>
    <row r="16" ht="20" customHeight="1">
      <c r="A16" s="26" t="inlineStr">
        <is>
          <t>WS3 Data, Platforms &amp; Security</t>
        </is>
      </c>
      <c r="B16" s="27" t="inlineStr">
        <is>
          <t>Enterprise GenAI platform &amp; reference architecture</t>
        </is>
      </c>
      <c r="C16" s="20" t="n">
        <v>2</v>
      </c>
      <c r="D16" s="20" t="n">
        <v>6</v>
      </c>
      <c r="E16" s="28">
        <f>INDEX($H$4:$Y$4,MIN(18,C16+D16-1))</f>
        <v/>
      </c>
      <c r="F16" s="29" t="inlineStr">
        <is>
          <t>IT / Cyber</t>
        </is>
      </c>
      <c r="G16" s="29" t="inlineStr">
        <is>
          <t>Not started</t>
        </is>
      </c>
      <c r="H16" s="30" t="n"/>
      <c r="I16" s="30" t="n"/>
      <c r="J16" s="30" t="n"/>
      <c r="K16" s="30" t="n"/>
      <c r="L16" s="30" t="n"/>
      <c r="M16" s="30" t="n"/>
      <c r="N16" s="31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1" t="n"/>
      <c r="X16" s="30" t="n"/>
      <c r="Y16" s="30" t="n"/>
    </row>
    <row r="17" ht="20" customHeight="1">
      <c r="A17" s="26" t="inlineStr">
        <is>
          <t>WS3 Data, Platforms &amp; Security</t>
        </is>
      </c>
      <c r="B17" s="27" t="inlineStr">
        <is>
          <t>AI red teaming &amp; deepfake-resilient processes</t>
        </is>
      </c>
      <c r="C17" s="20" t="n">
        <v>4</v>
      </c>
      <c r="D17" s="20" t="n">
        <v>6</v>
      </c>
      <c r="E17" s="28">
        <f>INDEX($H$4:$Y$4,MIN(18,C17+D17-1))</f>
        <v/>
      </c>
      <c r="F17" s="29" t="inlineStr">
        <is>
          <t>IT / Cyber</t>
        </is>
      </c>
      <c r="G17" s="29" t="inlineStr">
        <is>
          <t>Not started</t>
        </is>
      </c>
      <c r="H17" s="30" t="n"/>
      <c r="I17" s="30" t="n"/>
      <c r="J17" s="30" t="n"/>
      <c r="K17" s="30" t="n"/>
      <c r="L17" s="30" t="n"/>
      <c r="M17" s="30" t="n"/>
      <c r="N17" s="31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1" t="n"/>
      <c r="X17" s="30" t="n"/>
      <c r="Y17" s="30" t="n"/>
    </row>
    <row r="18" ht="20" customHeight="1">
      <c r="A18" s="26" t="inlineStr">
        <is>
          <t>WS3 Data, Platforms &amp; Security</t>
        </is>
      </c>
      <c r="B18" s="27" t="inlineStr">
        <is>
          <t>Monitoring, KRIs, logging &amp; ModelOps</t>
        </is>
      </c>
      <c r="C18" s="20" t="n">
        <v>7</v>
      </c>
      <c r="D18" s="20" t="n">
        <v>7</v>
      </c>
      <c r="E18" s="28">
        <f>INDEX($H$4:$Y$4,MIN(18,C18+D18-1))</f>
        <v/>
      </c>
      <c r="F18" s="29" t="inlineStr">
        <is>
          <t>IT / Cyber</t>
        </is>
      </c>
      <c r="G18" s="29" t="inlineStr">
        <is>
          <t>Not started</t>
        </is>
      </c>
      <c r="H18" s="30" t="n"/>
      <c r="I18" s="30" t="n"/>
      <c r="J18" s="30" t="n"/>
      <c r="K18" s="30" t="n"/>
      <c r="L18" s="30" t="n"/>
      <c r="M18" s="30" t="n"/>
      <c r="N18" s="31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1" t="n"/>
      <c r="X18" s="30" t="n"/>
      <c r="Y18" s="30" t="n"/>
    </row>
    <row r="19" ht="20" customHeight="1">
      <c r="A19" s="26" t="inlineStr">
        <is>
          <t>WS4 Use Cases &amp; Value</t>
        </is>
      </c>
      <c r="B19" s="27" t="inlineStr">
        <is>
          <t>Quick wins: drafting, transcription, knowledge assistant</t>
        </is>
      </c>
      <c r="C19" s="20" t="n">
        <v>2</v>
      </c>
      <c r="D19" s="20" t="n">
        <v>5</v>
      </c>
      <c r="E19" s="28">
        <f>INDEX($H$4:$Y$4,MIN(18,C19+D19-1))</f>
        <v/>
      </c>
      <c r="F19" s="29" t="inlineStr">
        <is>
          <t>AI CoE + service lines</t>
        </is>
      </c>
      <c r="G19" s="29" t="inlineStr">
        <is>
          <t>Not started</t>
        </is>
      </c>
      <c r="H19" s="30" t="n"/>
      <c r="I19" s="30" t="n"/>
      <c r="J19" s="30" t="n"/>
      <c r="K19" s="30" t="n"/>
      <c r="L19" s="30" t="n"/>
      <c r="M19" s="30" t="n"/>
      <c r="N19" s="31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1" t="n"/>
      <c r="X19" s="30" t="n"/>
      <c r="Y19" s="30" t="n"/>
    </row>
    <row r="20" ht="20" customHeight="1">
      <c r="A20" s="26" t="inlineStr">
        <is>
          <t>WS4 Use Cases &amp; Value</t>
        </is>
      </c>
      <c r="B20" s="27" t="inlineStr">
        <is>
          <t>Pilots: audit analytics, tax assistant, document review</t>
        </is>
      </c>
      <c r="C20" s="20" t="n">
        <v>6</v>
      </c>
      <c r="D20" s="20" t="n">
        <v>6</v>
      </c>
      <c r="E20" s="28">
        <f>INDEX($H$4:$Y$4,MIN(18,C20+D20-1))</f>
        <v/>
      </c>
      <c r="F20" s="29" t="inlineStr">
        <is>
          <t>AI CoE + service lines</t>
        </is>
      </c>
      <c r="G20" s="29" t="inlineStr">
        <is>
          <t>Not started</t>
        </is>
      </c>
      <c r="H20" s="30" t="n"/>
      <c r="I20" s="30" t="n"/>
      <c r="J20" s="30" t="n"/>
      <c r="K20" s="30" t="n"/>
      <c r="L20" s="30" t="n"/>
      <c r="M20" s="30" t="n"/>
      <c r="N20" s="31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1" t="n"/>
      <c r="X20" s="30" t="n"/>
      <c r="Y20" s="30" t="n"/>
    </row>
    <row r="21" ht="20" customHeight="1">
      <c r="A21" s="26" t="inlineStr">
        <is>
          <t>WS4 Use Cases &amp; Value</t>
        </is>
      </c>
      <c r="B21" s="27" t="inlineStr">
        <is>
          <t>Scale proven use cases; agentic pilots</t>
        </is>
      </c>
      <c r="C21" s="20" t="n">
        <v>12</v>
      </c>
      <c r="D21" s="20" t="n">
        <v>7</v>
      </c>
      <c r="E21" s="28">
        <f>INDEX($H$4:$Y$4,MIN(18,C21+D21-1))</f>
        <v/>
      </c>
      <c r="F21" s="29" t="inlineStr">
        <is>
          <t>AI CoE + service lines</t>
        </is>
      </c>
      <c r="G21" s="29" t="inlineStr">
        <is>
          <t>Not started</t>
        </is>
      </c>
      <c r="H21" s="30" t="n"/>
      <c r="I21" s="30" t="n"/>
      <c r="J21" s="30" t="n"/>
      <c r="K21" s="30" t="n"/>
      <c r="L21" s="30" t="n"/>
      <c r="M21" s="30" t="n"/>
      <c r="N21" s="31" t="n"/>
      <c r="O21" s="30" t="n"/>
      <c r="P21" s="30" t="n"/>
      <c r="Q21" s="30" t="n"/>
      <c r="R21" s="30" t="n"/>
      <c r="S21" s="30" t="n"/>
      <c r="T21" s="30" t="n"/>
      <c r="U21" s="30" t="n"/>
      <c r="V21" s="30" t="n"/>
      <c r="W21" s="31" t="n"/>
      <c r="X21" s="30" t="n"/>
      <c r="Y21" s="30" t="n"/>
    </row>
    <row r="22" ht="20" customHeight="1">
      <c r="A22" s="26" t="inlineStr">
        <is>
          <t>WS5 AI Service Line (GTM)</t>
        </is>
      </c>
      <c r="B22" s="27" t="inlineStr">
        <is>
          <t>Package offerings &amp; tools; pricing approach</t>
        </is>
      </c>
      <c r="C22" s="20" t="n">
        <v>1</v>
      </c>
      <c r="D22" s="20" t="n">
        <v>3</v>
      </c>
      <c r="E22" s="28">
        <f>INDEX($H$4:$Y$4,MIN(18,C22+D22-1))</f>
        <v/>
      </c>
      <c r="F22" s="29" t="inlineStr">
        <is>
          <t>AI service line lead</t>
        </is>
      </c>
      <c r="G22" s="29" t="inlineStr">
        <is>
          <t>Not started</t>
        </is>
      </c>
      <c r="H22" s="30" t="n"/>
      <c r="I22" s="30" t="n"/>
      <c r="J22" s="30" t="n"/>
      <c r="K22" s="30" t="n"/>
      <c r="L22" s="30" t="n"/>
      <c r="M22" s="30" t="n"/>
      <c r="N22" s="31" t="n"/>
      <c r="O22" s="30" t="n"/>
      <c r="P22" s="30" t="n"/>
      <c r="Q22" s="30" t="n"/>
      <c r="R22" s="30" t="n"/>
      <c r="S22" s="30" t="n"/>
      <c r="T22" s="30" t="n"/>
      <c r="U22" s="30" t="n"/>
      <c r="V22" s="30" t="n"/>
      <c r="W22" s="31" t="n"/>
      <c r="X22" s="30" t="n"/>
      <c r="Y22" s="30" t="n"/>
    </row>
    <row r="23" ht="20" customHeight="1">
      <c r="A23" s="26" t="inlineStr">
        <is>
          <t>WS5 AI Service Line (GTM)</t>
        </is>
      </c>
      <c r="B23" s="27" t="inlineStr">
        <is>
          <t>Launch &amp; first pilot clients</t>
        </is>
      </c>
      <c r="C23" s="20" t="n">
        <v>4</v>
      </c>
      <c r="D23" s="20" t="n">
        <v>4</v>
      </c>
      <c r="E23" s="28">
        <f>INDEX($H$4:$Y$4,MIN(18,C23+D23-1))</f>
        <v/>
      </c>
      <c r="F23" s="29" t="inlineStr">
        <is>
          <t>AI service line lead</t>
        </is>
      </c>
      <c r="G23" s="29" t="inlineStr">
        <is>
          <t>Not started</t>
        </is>
      </c>
      <c r="H23" s="30" t="n"/>
      <c r="I23" s="30" t="n"/>
      <c r="J23" s="30" t="n"/>
      <c r="K23" s="30" t="n"/>
      <c r="L23" s="30" t="n"/>
      <c r="M23" s="30" t="n"/>
      <c r="N23" s="31" t="n"/>
      <c r="O23" s="30" t="n"/>
      <c r="P23" s="30" t="n"/>
      <c r="Q23" s="30" t="n"/>
      <c r="R23" s="30" t="n"/>
      <c r="S23" s="30" t="n"/>
      <c r="T23" s="30" t="n"/>
      <c r="U23" s="30" t="n"/>
      <c r="V23" s="30" t="n"/>
      <c r="W23" s="31" t="n"/>
      <c r="X23" s="30" t="n"/>
      <c r="Y23" s="30" t="n"/>
    </row>
    <row r="24" ht="20" customHeight="1">
      <c r="A24" s="26" t="inlineStr">
        <is>
          <t>WS5 AI Service Line (GTM)</t>
        </is>
      </c>
      <c r="B24" s="27" t="inlineStr">
        <is>
          <t>Sector campaigns (FS, government, telecom)</t>
        </is>
      </c>
      <c r="C24" s="20" t="n">
        <v>7</v>
      </c>
      <c r="D24" s="20" t="n">
        <v>7</v>
      </c>
      <c r="E24" s="28">
        <f>INDEX($H$4:$Y$4,MIN(18,C24+D24-1))</f>
        <v/>
      </c>
      <c r="F24" s="29" t="inlineStr">
        <is>
          <t>AI service line lead</t>
        </is>
      </c>
      <c r="G24" s="29" t="inlineStr">
        <is>
          <t>Not started</t>
        </is>
      </c>
      <c r="H24" s="30" t="n"/>
      <c r="I24" s="30" t="n"/>
      <c r="J24" s="30" t="n"/>
      <c r="K24" s="30" t="n"/>
      <c r="L24" s="30" t="n"/>
      <c r="M24" s="30" t="n"/>
      <c r="N24" s="31" t="n"/>
      <c r="O24" s="30" t="n"/>
      <c r="P24" s="30" t="n"/>
      <c r="Q24" s="30" t="n"/>
      <c r="R24" s="30" t="n"/>
      <c r="S24" s="30" t="n"/>
      <c r="T24" s="30" t="n"/>
      <c r="U24" s="30" t="n"/>
      <c r="V24" s="30" t="n"/>
      <c r="W24" s="31" t="n"/>
      <c r="X24" s="30" t="n"/>
      <c r="Y24" s="30" t="n"/>
    </row>
    <row r="25" ht="20" customHeight="1">
      <c r="A25" s="26" t="inlineStr">
        <is>
          <t>WS5 AI Service Line (GTM)</t>
        </is>
      </c>
      <c r="B25" s="27" t="inlineStr">
        <is>
          <t>Regional scale via the GT network</t>
        </is>
      </c>
      <c r="C25" s="20" t="n">
        <v>13</v>
      </c>
      <c r="D25" s="20" t="n">
        <v>6</v>
      </c>
      <c r="E25" s="28">
        <f>INDEX($H$4:$Y$4,MIN(18,C25+D25-1))</f>
        <v/>
      </c>
      <c r="F25" s="29" t="inlineStr">
        <is>
          <t>AI service line lead</t>
        </is>
      </c>
      <c r="G25" s="29" t="inlineStr">
        <is>
          <t>Not started</t>
        </is>
      </c>
      <c r="H25" s="30" t="n"/>
      <c r="I25" s="30" t="n"/>
      <c r="J25" s="30" t="n"/>
      <c r="K25" s="30" t="n"/>
      <c r="L25" s="30" t="n"/>
      <c r="M25" s="30" t="n"/>
      <c r="N25" s="31" t="n"/>
      <c r="O25" s="30" t="n"/>
      <c r="P25" s="30" t="n"/>
      <c r="Q25" s="30" t="n"/>
      <c r="R25" s="30" t="n"/>
      <c r="S25" s="30" t="n"/>
      <c r="T25" s="30" t="n"/>
      <c r="U25" s="30" t="n"/>
      <c r="V25" s="30" t="n"/>
      <c r="W25" s="31" t="n"/>
      <c r="X25" s="30" t="n"/>
      <c r="Y25" s="30" t="n"/>
    </row>
  </sheetData>
  <mergeCells count="2">
    <mergeCell ref="A1:Z1"/>
    <mergeCell ref="A2:Z2"/>
  </mergeCells>
  <conditionalFormatting sqref="H5:Y25">
    <cfRule type="expression" priority="1" dxfId="7">
      <formula>AND(LEFT($A5,3)="WS1",H$3&gt;=$C5,H$3&lt;$C5+$D5)</formula>
    </cfRule>
    <cfRule type="expression" priority="2" dxfId="8">
      <formula>AND(LEFT($A5,3)="WS2",H$3&gt;=$C5,H$3&lt;$C5+$D5)</formula>
    </cfRule>
    <cfRule type="expression" priority="3" dxfId="9">
      <formula>AND(LEFT($A5,3)="WS3",H$3&gt;=$C5,H$3&lt;$C5+$D5)</formula>
    </cfRule>
    <cfRule type="expression" priority="4" dxfId="10">
      <formula>AND(LEFT($A5,3)="WS4",H$3&gt;=$C5,H$3&lt;$C5+$D5)</formula>
    </cfRule>
    <cfRule type="expression" priority="5" dxfId="11">
      <formula>AND(LEFT($A5,3)="WS5",H$3&gt;=$C5,H$3&lt;$C5+$D5)</formula>
    </cfRule>
  </conditionalFormatting>
  <conditionalFormatting sqref="G5:G25">
    <cfRule type="cellIs" priority="6" operator="equal" dxfId="5">
      <formula>"Delayed"</formula>
    </cfRule>
    <cfRule type="cellIs" priority="7" operator="equal" dxfId="0">
      <formula>"Completed"</formula>
    </cfRule>
  </conditionalFormatting>
  <dataValidations count="1">
    <dataValidation sqref="G5:G25" showDropDown="0" showInputMessage="0" showErrorMessage="0" allowBlank="0" type="list">
      <formula1>"Not started,Planned,In progress,Completed,Delayed"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4F2D7F"/>
    <outlinePr summaryBelow="1" summaryRight="1"/>
    <pageSetUpPr fitToPage="1"/>
  </sheetPr>
  <dimension ref="A1:H1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22" customWidth="1" min="3" max="3"/>
    <col width="22" customWidth="1" min="4" max="4"/>
    <col width="22" customWidth="1" min="5" max="5"/>
    <col width="16" customWidth="1" min="6" max="6"/>
    <col width="12" customWidth="1" min="7" max="7"/>
    <col width="40" customWidth="1" min="8" max="8"/>
  </cols>
  <sheetData>
    <row r="1" ht="32" customHeight="1">
      <c r="A1" s="1" t="inlineStr">
        <is>
          <t>4. KPI Tracker</t>
        </is>
      </c>
    </row>
    <row r="2" ht="30" customHeight="1">
      <c r="A2" s="2" t="inlineStr">
        <is>
          <t>Update 'Actual' each quarter. Status is set manually (On track / At risk / Off track) based on trajectory to target.</t>
        </is>
      </c>
    </row>
    <row r="4" ht="36" customHeight="1">
      <c r="A4" s="5" t="inlineStr">
        <is>
          <t>KPI</t>
        </is>
      </c>
      <c r="B4" s="5" t="inlineStr">
        <is>
          <t>Baseline (Sept 2026)</t>
        </is>
      </c>
      <c r="C4" s="5" t="inlineStr">
        <is>
          <t>Target end-2027</t>
        </is>
      </c>
      <c r="D4" s="5" t="inlineStr">
        <is>
          <t>Target end-2028</t>
        </is>
      </c>
      <c r="E4" s="5" t="inlineStr">
        <is>
          <t>Owner</t>
        </is>
      </c>
      <c r="F4" s="5" t="inlineStr">
        <is>
          <t>Actual (latest)</t>
        </is>
      </c>
      <c r="G4" s="5" t="inlineStr">
        <is>
          <t>Status</t>
        </is>
      </c>
      <c r="H4" s="5" t="inlineStr">
        <is>
          <t>Commentary</t>
        </is>
      </c>
    </row>
    <row r="5" ht="30" customHeight="1">
      <c r="A5" s="18" t="inlineStr">
        <is>
          <t>AI Ready7 overall readiness</t>
        </is>
      </c>
      <c r="B5" s="19" t="inlineStr">
        <is>
          <t>61.4% (Informed)</t>
        </is>
      </c>
      <c r="C5" s="19" t="inlineStr">
        <is>
          <t>&gt;= 75% (Repeatable)</t>
        </is>
      </c>
      <c r="D5" s="19" t="inlineStr">
        <is>
          <t>&gt;= 85%</t>
        </is>
      </c>
      <c r="E5" s="19" t="inlineStr">
        <is>
          <t>AI CoE lead</t>
        </is>
      </c>
      <c r="F5" s="32" t="n"/>
      <c r="G5" s="32" t="n"/>
      <c r="H5" s="32" t="n"/>
    </row>
    <row r="6" ht="30" customHeight="1">
      <c r="A6" s="18" t="inlineStr">
        <is>
          <t>Governance &amp; Ethics pillar</t>
        </is>
      </c>
      <c r="B6" s="19" t="inlineStr">
        <is>
          <t>60%</t>
        </is>
      </c>
      <c r="C6" s="19" t="inlineStr">
        <is>
          <t>&gt;= 80%</t>
        </is>
      </c>
      <c r="D6" s="19" t="inlineStr">
        <is>
          <t>&gt;= 90%</t>
        </is>
      </c>
      <c r="E6" s="19" t="inlineStr">
        <is>
          <t>Risk &amp; Quality partner</t>
        </is>
      </c>
      <c r="F6" s="32" t="n"/>
      <c r="G6" s="32" t="n"/>
      <c r="H6" s="32" t="n"/>
    </row>
    <row r="7" ht="30" customHeight="1">
      <c r="A7" s="18" t="inlineStr">
        <is>
          <t>AI use cases risk-tiered &amp; assessed (AI register)</t>
        </is>
      </c>
      <c r="B7" s="19" t="inlineStr">
        <is>
          <t>Register exists; assessment not consistent</t>
        </is>
      </c>
      <c r="C7" s="19" t="inlineStr">
        <is>
          <t>100% by Q1 2027</t>
        </is>
      </c>
      <c r="D7" s="19" t="inlineStr">
        <is>
          <t>100% + quarterly reconciliation</t>
        </is>
      </c>
      <c r="E7" s="19" t="inlineStr">
        <is>
          <t>AI CoE</t>
        </is>
      </c>
      <c r="F7" s="32" t="n"/>
      <c r="G7" s="32" t="n"/>
      <c r="H7" s="32" t="n"/>
    </row>
    <row r="8" ht="30" customHeight="1">
      <c r="A8" s="18" t="inlineStr">
        <is>
          <t>Staff completing AI literacy</t>
        </is>
      </c>
      <c r="B8" s="19" t="inlineStr">
        <is>
          <t>To be baselined</t>
        </is>
      </c>
      <c r="C8" s="19" t="inlineStr">
        <is>
          <t>&gt;= 90% by Q2 2027</t>
        </is>
      </c>
      <c r="D8" s="19" t="inlineStr">
        <is>
          <t>100% (annual refresh)</t>
        </is>
      </c>
      <c r="E8" s="19" t="inlineStr">
        <is>
          <t>HR / L&amp;D</t>
        </is>
      </c>
      <c r="F8" s="32" t="n"/>
      <c r="G8" s="32" t="n"/>
      <c r="H8" s="32" t="n"/>
    </row>
    <row r="9" ht="30" customHeight="1">
      <c r="A9" s="18" t="inlineStr">
        <is>
          <t>Production AI use cases with measured benefits</t>
        </is>
      </c>
      <c r="B9" s="19" t="inlineStr">
        <is>
          <t>0 measured</t>
        </is>
      </c>
      <c r="C9" s="19" t="inlineStr">
        <is>
          <t>6</t>
        </is>
      </c>
      <c r="D9" s="19" t="inlineStr">
        <is>
          <t>10+</t>
        </is>
      </c>
      <c r="E9" s="19" t="inlineStr">
        <is>
          <t>Service-line leaders</t>
        </is>
      </c>
      <c r="F9" s="32" t="n"/>
      <c r="G9" s="32" t="n"/>
      <c r="H9" s="32" t="n"/>
    </row>
    <row r="10" ht="30" customHeight="1">
      <c r="A10" s="18" t="inlineStr">
        <is>
          <t>Time saved in targeted processes</t>
        </is>
      </c>
      <c r="B10" s="19" t="inlineStr">
        <is>
          <t>To be baselined</t>
        </is>
      </c>
      <c r="C10" s="19" t="inlineStr">
        <is>
          <t>10%</t>
        </is>
      </c>
      <c r="D10" s="19" t="inlineStr">
        <is>
          <t>15%</t>
        </is>
      </c>
      <c r="E10" s="19" t="inlineStr">
        <is>
          <t>CoE + Finance</t>
        </is>
      </c>
      <c r="F10" s="32" t="n"/>
      <c r="G10" s="32" t="n"/>
      <c r="H10" s="32" t="n"/>
    </row>
    <row r="11" ht="30" customHeight="1">
      <c r="A11" s="18" t="inlineStr">
        <is>
          <t>AI advisory engagements delivered (proposed)</t>
        </is>
      </c>
      <c r="B11" s="19" t="inlineStr">
        <is>
          <t>Pilot stage</t>
        </is>
      </c>
      <c r="C11" s="19" t="inlineStr">
        <is>
          <t>12</t>
        </is>
      </c>
      <c r="D11" s="19" t="inlineStr">
        <is>
          <t>25</t>
        </is>
      </c>
      <c r="E11" s="19" t="inlineStr">
        <is>
          <t>AI service line lead</t>
        </is>
      </c>
      <c r="F11" s="32" t="n"/>
      <c r="G11" s="32" t="n"/>
      <c r="H11" s="32" t="n"/>
    </row>
    <row r="12" ht="30" customHeight="1">
      <c r="A12" s="18" t="inlineStr">
        <is>
          <t>Client-data leakage incidents via AI</t>
        </is>
      </c>
      <c r="B12" s="19" t="inlineStr">
        <is>
          <t>-</t>
        </is>
      </c>
      <c r="C12" s="19" t="inlineStr">
        <is>
          <t>0</t>
        </is>
      </c>
      <c r="D12" s="19" t="inlineStr">
        <is>
          <t>0</t>
        </is>
      </c>
      <c r="E12" s="19" t="inlineStr">
        <is>
          <t>CISO / DPO</t>
        </is>
      </c>
      <c r="F12" s="32" t="n"/>
      <c r="G12" s="32" t="n"/>
      <c r="H12" s="32" t="n"/>
    </row>
    <row r="13" ht="30" customHeight="1">
      <c r="A13" s="18" t="inlineStr">
        <is>
          <t>ISO/IEC 42001 status</t>
        </is>
      </c>
      <c r="B13" s="19" t="inlineStr">
        <is>
          <t>Not started</t>
        </is>
      </c>
      <c r="C13" s="19" t="inlineStr">
        <is>
          <t>Certification-ready</t>
        </is>
      </c>
      <c r="D13" s="19" t="inlineStr">
        <is>
          <t>Certified (optional)</t>
        </is>
      </c>
      <c r="E13" s="19" t="inlineStr">
        <is>
          <t>Risk &amp; Quality partner</t>
        </is>
      </c>
      <c r="F13" s="32" t="n"/>
      <c r="G13" s="32" t="n"/>
      <c r="H13" s="32" t="n"/>
    </row>
  </sheetData>
  <mergeCells count="2">
    <mergeCell ref="A2:H2"/>
    <mergeCell ref="A1:H1"/>
  </mergeCells>
  <conditionalFormatting sqref="G5:G13">
    <cfRule type="cellIs" priority="1" operator="equal" dxfId="0">
      <formula>"On track"</formula>
    </cfRule>
    <cfRule type="cellIs" priority="2" operator="equal" dxfId="4">
      <formula>"At risk"</formula>
    </cfRule>
    <cfRule type="cellIs" priority="3" operator="equal" dxfId="5">
      <formula>"Off track"</formula>
    </cfRule>
  </conditionalFormatting>
  <dataValidations count="1">
    <dataValidation sqref="G5:G13" showDropDown="0" showInputMessage="0" showErrorMessage="0" allowBlank="0" type="list">
      <formula1>"On track,At risk,Off track"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4F2D7F"/>
    <outlinePr summaryBelow="1" summaryRight="1"/>
    <pageSetUpPr fitToPage="1"/>
  </sheetPr>
  <dimension ref="A1:F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70" customWidth="1" min="4" max="4"/>
    <col width="9" customWidth="1" min="5" max="5"/>
    <col width="11" customWidth="1" min="6" max="6"/>
  </cols>
  <sheetData>
    <row r="1" ht="32" customHeight="1">
      <c r="A1" s="1" t="inlineStr">
        <is>
          <t>5. AI Ready7 Gap-to-Roadmap Traceability</t>
        </is>
      </c>
    </row>
    <row r="2" ht="30" customHeight="1">
      <c r="A2" s="2" t="inlineStr">
        <is>
          <t>AI Ready7 self-assessment, GT Bahrain, 17 Sept 2026 - overall 61.4% (Informed). Pillar scores: Business Alignment 50%; Governance &amp; Ethics 60%; Training &amp; Development 68.75%; Architecture &amp; Technology 55%; Data &amp; Quality 70%; Protect AI Systems 55%; Protection from AI Threats 70%</t>
        </is>
      </c>
    </row>
    <row r="4" ht="36" customHeight="1">
      <c r="A4" s="5" t="inlineStr">
        <is>
          <t>Item</t>
        </is>
      </c>
      <c r="B4" s="5" t="inlineStr">
        <is>
          <t>Title</t>
        </is>
      </c>
      <c r="C4" s="5" t="inlineStr">
        <is>
          <t>Result</t>
        </is>
      </c>
      <c r="D4" s="5" t="inlineStr">
        <is>
          <t>Roadmap response</t>
        </is>
      </c>
      <c r="E4" s="5" t="inlineStr">
        <is>
          <t>Horizon</t>
        </is>
      </c>
      <c r="F4" s="5" t="inlineStr">
        <is>
          <t>Workstream</t>
        </is>
      </c>
    </row>
    <row r="5" ht="22" customHeight="1">
      <c r="A5" s="18" t="inlineStr">
        <is>
          <t>1.1</t>
        </is>
      </c>
      <c r="B5" s="19" t="inlineStr">
        <is>
          <t>Strategy, Culture &amp; Risk Appetite</t>
        </is>
      </c>
      <c r="C5" s="19" t="inlineStr">
        <is>
          <t>Some Met</t>
        </is>
      </c>
      <c r="D5" s="19" t="inlineStr">
        <is>
          <t>Approve AI strategy, executive sponsor and AI risk appetite</t>
        </is>
      </c>
      <c r="E5" s="19" t="inlineStr">
        <is>
          <t>H1</t>
        </is>
      </c>
      <c r="F5" s="19" t="inlineStr">
        <is>
          <t>WS1</t>
        </is>
      </c>
    </row>
    <row r="6" ht="22" customHeight="1">
      <c r="A6" s="18" t="inlineStr">
        <is>
          <t>1.2</t>
        </is>
      </c>
      <c r="B6" s="19" t="inlineStr">
        <is>
          <t>Portfolio Governance</t>
        </is>
      </c>
      <c r="C6" s="19" t="inlineStr">
        <is>
          <t>Some Met</t>
        </is>
      </c>
      <c r="D6" s="19" t="inlineStr">
        <is>
          <t>Use-case intake, prioritisation and shadow-AI conversion</t>
        </is>
      </c>
      <c r="E6" s="19" t="inlineStr">
        <is>
          <t>H1</t>
        </is>
      </c>
      <c r="F6" s="19" t="inlineStr">
        <is>
          <t>WS4</t>
        </is>
      </c>
    </row>
    <row r="7" ht="22" customHeight="1">
      <c r="A7" s="18" t="inlineStr">
        <is>
          <t>1.3</t>
        </is>
      </c>
      <c r="B7" s="19" t="inlineStr">
        <is>
          <t>Value Realisation</t>
        </is>
      </c>
      <c r="C7" s="19" t="inlineStr">
        <is>
          <t>Some Met</t>
        </is>
      </c>
      <c r="D7" s="19" t="inlineStr">
        <is>
          <t>Benefit KPIs and quarterly portfolio value reviews</t>
        </is>
      </c>
      <c r="E7" s="19" t="inlineStr">
        <is>
          <t>H1-H2</t>
        </is>
      </c>
      <c r="F7" s="19" t="inlineStr">
        <is>
          <t>WS4</t>
        </is>
      </c>
    </row>
    <row r="8" ht="22" customHeight="1">
      <c r="A8" s="18" t="inlineStr">
        <is>
          <t>1.4</t>
        </is>
      </c>
      <c r="B8" s="19" t="inlineStr">
        <is>
          <t>Client &amp; Stakeholder Assurance</t>
        </is>
      </c>
      <c r="C8" s="19" t="inlineStr">
        <is>
          <t>Some Met</t>
        </is>
      </c>
      <c r="D8" s="19" t="inlineStr">
        <is>
          <t>Publish responsible-AI statement for clients; ISO/IEC 42001 readiness</t>
        </is>
      </c>
      <c r="E8" s="19" t="inlineStr">
        <is>
          <t>H2</t>
        </is>
      </c>
      <c r="F8" s="19" t="inlineStr">
        <is>
          <t>WS1</t>
        </is>
      </c>
    </row>
    <row r="9" ht="22" customHeight="1">
      <c r="A9" s="18" t="inlineStr">
        <is>
          <t>2.1</t>
        </is>
      </c>
      <c r="B9" s="19" t="inlineStr">
        <is>
          <t>AI Policy &amp; Acceptable Use</t>
        </is>
      </c>
      <c r="C9" s="19" t="inlineStr">
        <is>
          <t>Some Met</t>
        </is>
      </c>
      <c r="D9" s="19" t="inlineStr">
        <is>
          <t>AI acceptable-use policy and approved-tools catalogue</t>
        </is>
      </c>
      <c r="E9" s="19" t="inlineStr">
        <is>
          <t>H1</t>
        </is>
      </c>
      <c r="F9" s="19" t="inlineStr">
        <is>
          <t>WS1</t>
        </is>
      </c>
    </row>
    <row r="10" ht="22" customHeight="1">
      <c r="A10" s="18" t="inlineStr">
        <is>
          <t>2.3</t>
        </is>
      </c>
      <c r="B10" s="19" t="inlineStr">
        <is>
          <t>Adoption Guardrails &amp; Ethical Standards</t>
        </is>
      </c>
      <c r="C10" s="19" t="inlineStr">
        <is>
          <t>Some Met</t>
        </is>
      </c>
      <c r="D10" s="19" t="inlineStr">
        <is>
          <t>AI CoE charter and practical guardrails</t>
        </is>
      </c>
      <c r="E10" s="19" t="inlineStr">
        <is>
          <t>H1</t>
        </is>
      </c>
      <c r="F10" s="19" t="inlineStr">
        <is>
          <t>WS1</t>
        </is>
      </c>
    </row>
    <row r="11" ht="22" customHeight="1">
      <c r="A11" s="18" t="inlineStr">
        <is>
          <t>2.4</t>
        </is>
      </c>
      <c r="B11" s="19" t="inlineStr">
        <is>
          <t>Risk Assessment &amp; Governance Reviews</t>
        </is>
      </c>
      <c r="C11" s="19" t="inlineStr">
        <is>
          <t>Not Met</t>
        </is>
      </c>
      <c r="D11" s="19" t="inlineStr">
        <is>
          <t>Roll out GT AI Risk Assessment Framework to all AI use cases &amp; vendors</t>
        </is>
      </c>
      <c r="E11" s="19" t="inlineStr">
        <is>
          <t>H1</t>
        </is>
      </c>
      <c r="F11" s="19" t="inlineStr">
        <is>
          <t>WS1</t>
        </is>
      </c>
    </row>
    <row r="12" ht="22" customHeight="1">
      <c r="A12" s="18" t="inlineStr">
        <is>
          <t>3.1-3.3</t>
        </is>
      </c>
      <c r="B12" s="19" t="inlineStr">
        <is>
          <t>Literacy, Validation, Security awareness</t>
        </is>
      </c>
      <c r="C12" s="19" t="inlineStr">
        <is>
          <t>Most Met</t>
        </is>
      </c>
      <c r="D12" s="19" t="inlineStr">
        <is>
          <t>Mandatory literacy refresh; deepfake simulations</t>
        </is>
      </c>
      <c r="E12" s="19" t="inlineStr">
        <is>
          <t>H1-H2</t>
        </is>
      </c>
      <c r="F12" s="19" t="inlineStr">
        <is>
          <t>WS2</t>
        </is>
      </c>
    </row>
    <row r="13" ht="22" customHeight="1">
      <c r="A13" s="18" t="inlineStr">
        <is>
          <t>3.4</t>
        </is>
      </c>
      <c r="B13" s="19" t="inlineStr">
        <is>
          <t>Role-Based Capability Development</t>
        </is>
      </c>
      <c r="C13" s="19" t="inlineStr">
        <is>
          <t>Some Met</t>
        </is>
      </c>
      <c r="D13" s="19" t="inlineStr">
        <is>
          <t>Role-based pathways, AI champions, workforce plan</t>
        </is>
      </c>
      <c r="E13" s="19" t="inlineStr">
        <is>
          <t>H2</t>
        </is>
      </c>
      <c r="F13" s="19" t="inlineStr">
        <is>
          <t>WS2</t>
        </is>
      </c>
    </row>
    <row r="14" ht="22" customHeight="1">
      <c r="A14" s="18" t="inlineStr">
        <is>
          <t>4.1</t>
        </is>
      </c>
      <c r="B14" s="19" t="inlineStr">
        <is>
          <t>Enterprise AI Reference Architecture</t>
        </is>
      </c>
      <c r="C14" s="19" t="inlineStr">
        <is>
          <t>Some Met</t>
        </is>
      </c>
      <c r="D14" s="19" t="inlineStr">
        <is>
          <t>Reference architecture v1 (data, models, agents, security)</t>
        </is>
      </c>
      <c r="E14" s="19" t="inlineStr">
        <is>
          <t>H1-H2</t>
        </is>
      </c>
      <c r="F14" s="19" t="inlineStr">
        <is>
          <t>WS3</t>
        </is>
      </c>
    </row>
    <row r="15" ht="22" customHeight="1">
      <c r="A15" s="18" t="inlineStr">
        <is>
          <t>4.2</t>
        </is>
      </c>
      <c r="B15" s="19" t="inlineStr">
        <is>
          <t>Integration &amp; Execution Authority</t>
        </is>
      </c>
      <c r="C15" s="19" t="inlineStr">
        <is>
          <t>Some Met</t>
        </is>
      </c>
      <c r="D15" s="19" t="inlineStr">
        <is>
          <t>Agent execution-authority standard and trust boundaries</t>
        </is>
      </c>
      <c r="E15" s="19" t="inlineStr">
        <is>
          <t>H2</t>
        </is>
      </c>
      <c r="F15" s="19" t="inlineStr">
        <is>
          <t>WS3</t>
        </is>
      </c>
    </row>
    <row r="16" ht="22" customHeight="1">
      <c r="A16" s="18" t="inlineStr">
        <is>
          <t>4.3</t>
        </is>
      </c>
      <c r="B16" s="19" t="inlineStr">
        <is>
          <t>API, Access &amp; Trust Enforcement</t>
        </is>
      </c>
      <c r="C16" s="19" t="inlineStr">
        <is>
          <t>Some Met</t>
        </is>
      </c>
      <c r="D16" s="19" t="inlineStr">
        <is>
          <t>Centralised API gateway / access control for AI</t>
        </is>
      </c>
      <c r="E16" s="19" t="inlineStr">
        <is>
          <t>H2</t>
        </is>
      </c>
      <c r="F16" s="19" t="inlineStr">
        <is>
          <t>WS3</t>
        </is>
      </c>
    </row>
    <row r="17" ht="22" customHeight="1">
      <c r="A17" s="18" t="inlineStr">
        <is>
          <t>4.4</t>
        </is>
      </c>
      <c r="B17" s="19" t="inlineStr">
        <is>
          <t>Observability &amp; Performance</t>
        </is>
      </c>
      <c r="C17" s="19" t="inlineStr">
        <is>
          <t>Some Met</t>
        </is>
      </c>
      <c r="D17" s="19" t="inlineStr">
        <is>
          <t>Monitoring with KRIs, thresholds and mandatory responses</t>
        </is>
      </c>
      <c r="E17" s="19" t="inlineStr">
        <is>
          <t>H2</t>
        </is>
      </c>
      <c r="F17" s="19" t="inlineStr">
        <is>
          <t>WS3</t>
        </is>
      </c>
    </row>
    <row r="18" ht="22" customHeight="1">
      <c r="A18" s="18" t="inlineStr">
        <is>
          <t>4.5</t>
        </is>
      </c>
      <c r="B18" s="19" t="inlineStr">
        <is>
          <t>Cost, Compute &amp; Platform Governance</t>
        </is>
      </c>
      <c r="C18" s="19" t="inlineStr">
        <is>
          <t>Most Met</t>
        </is>
      </c>
      <c r="D18" s="19" t="inlineStr">
        <is>
          <t>Governed pathway from citizen-developed AI to production</t>
        </is>
      </c>
      <c r="E18" s="19" t="inlineStr">
        <is>
          <t>H2</t>
        </is>
      </c>
      <c r="F18" s="19" t="inlineStr">
        <is>
          <t>WS3</t>
        </is>
      </c>
    </row>
    <row r="19" ht="22" customHeight="1">
      <c r="A19" s="18" t="inlineStr">
        <is>
          <t>5.1</t>
        </is>
      </c>
      <c r="B19" s="19" t="inlineStr">
        <is>
          <t>Data Classification, Access &amp; Handling</t>
        </is>
      </c>
      <c r="C19" s="19" t="inlineStr">
        <is>
          <t>Not Met</t>
        </is>
      </c>
      <c r="D19" s="19" t="inlineStr">
        <is>
          <t>Classification rules for AI, DLP on GenAI, data-readiness gate</t>
        </is>
      </c>
      <c r="E19" s="19" t="inlineStr">
        <is>
          <t>H1</t>
        </is>
      </c>
      <c r="F19" s="19" t="inlineStr">
        <is>
          <t>WS3</t>
        </is>
      </c>
    </row>
    <row r="20" ht="22" customHeight="1">
      <c r="A20" s="18" t="inlineStr">
        <is>
          <t>5.2 / 5.5</t>
        </is>
      </c>
      <c r="B20" s="19" t="inlineStr">
        <is>
          <t>Human Oversight; Privacy safeguards</t>
        </is>
      </c>
      <c r="C20" s="19" t="inlineStr">
        <is>
          <t>Most Met</t>
        </is>
      </c>
      <c r="D20" s="19" t="inlineStr">
        <is>
          <t>Human-in-charge standard for deliverables; prompt redaction</t>
        </is>
      </c>
      <c r="E20" s="19" t="inlineStr">
        <is>
          <t>H1</t>
        </is>
      </c>
      <c r="F20" s="19" t="inlineStr">
        <is>
          <t>WS1</t>
        </is>
      </c>
    </row>
    <row r="21" ht="22" customHeight="1">
      <c r="A21" s="18" t="inlineStr">
        <is>
          <t>6.1</t>
        </is>
      </c>
      <c r="B21" s="19" t="inlineStr">
        <is>
          <t>Identity, Access &amp; Privilege</t>
        </is>
      </c>
      <c r="C21" s="19" t="inlineStr">
        <is>
          <t>Most Met</t>
        </is>
      </c>
      <c r="D21" s="19" t="inlineStr">
        <is>
          <t>Non-human / agent identity and credential management</t>
        </is>
      </c>
      <c r="E21" s="19" t="inlineStr">
        <is>
          <t>H2</t>
        </is>
      </c>
      <c r="F21" s="19" t="inlineStr">
        <is>
          <t>WS3</t>
        </is>
      </c>
    </row>
    <row r="22" ht="22" customHeight="1">
      <c r="A22" s="18" t="inlineStr">
        <is>
          <t>6.2</t>
        </is>
      </c>
      <c r="B22" s="19" t="inlineStr">
        <is>
          <t>Data &amp; Model Protection</t>
        </is>
      </c>
      <c r="C22" s="19" t="inlineStr">
        <is>
          <t>Some Met</t>
        </is>
      </c>
      <c r="D22" s="19" t="inlineStr">
        <is>
          <t>Vendor AI contract clauses (no training, residency, audit)</t>
        </is>
      </c>
      <c r="E22" s="19" t="inlineStr">
        <is>
          <t>H1-H2</t>
        </is>
      </c>
      <c r="F22" s="19" t="inlineStr">
        <is>
          <t>WS1</t>
        </is>
      </c>
    </row>
    <row r="23" ht="22" customHeight="1">
      <c r="A23" s="18" t="inlineStr">
        <is>
          <t>6.3</t>
        </is>
      </c>
      <c r="B23" s="19" t="inlineStr">
        <is>
          <t>Secure AI Development &amp; ModelOps</t>
        </is>
      </c>
      <c r="C23" s="19" t="inlineStr">
        <is>
          <t>Some Met</t>
        </is>
      </c>
      <c r="D23" s="19" t="inlineStr">
        <is>
          <t>Secure AI SDLC and ModelOps pipeline</t>
        </is>
      </c>
      <c r="E23" s="19" t="inlineStr">
        <is>
          <t>H2</t>
        </is>
      </c>
      <c r="F23" s="19" t="inlineStr">
        <is>
          <t>WS3</t>
        </is>
      </c>
    </row>
    <row r="24" ht="22" customHeight="1">
      <c r="A24" s="18" t="inlineStr">
        <is>
          <t>6.4</t>
        </is>
      </c>
      <c r="B24" s="19" t="inlineStr">
        <is>
          <t>AI Security Testing</t>
        </is>
      </c>
      <c r="C24" s="19" t="inlineStr">
        <is>
          <t>Some Met</t>
        </is>
      </c>
      <c r="D24" s="19" t="inlineStr">
        <is>
          <t>AI red teaming of internal assistants before scale</t>
        </is>
      </c>
      <c r="E24" s="19" t="inlineStr">
        <is>
          <t>H1-H2</t>
        </is>
      </c>
      <c r="F24" s="19" t="inlineStr">
        <is>
          <t>WS3</t>
        </is>
      </c>
    </row>
    <row r="25" ht="22" customHeight="1">
      <c r="A25" s="18" t="inlineStr">
        <is>
          <t>6.5</t>
        </is>
      </c>
      <c r="B25" s="19" t="inlineStr">
        <is>
          <t>Runtime Protection &amp; Logging</t>
        </is>
      </c>
      <c r="C25" s="19" t="inlineStr">
        <is>
          <t>Some Met</t>
        </is>
      </c>
      <c r="D25" s="19" t="inlineStr">
        <is>
          <t>Runtime guardrails and forensic-ready AI logging</t>
        </is>
      </c>
      <c r="E25" s="19" t="inlineStr">
        <is>
          <t>H2</t>
        </is>
      </c>
      <c r="F25" s="19" t="inlineStr">
        <is>
          <t>WS3</t>
        </is>
      </c>
    </row>
    <row r="26" ht="22" customHeight="1">
      <c r="A26" s="18" t="inlineStr">
        <is>
          <t>7.3</t>
        </is>
      </c>
      <c r="B26" s="19" t="inlineStr">
        <is>
          <t>Identity, Behavioural &amp; Deepfake Defence</t>
        </is>
      </c>
      <c r="C26" s="19" t="inlineStr">
        <is>
          <t>Some Met</t>
        </is>
      </c>
      <c r="D26" s="19" t="inlineStr">
        <is>
          <t>Deepfake-resilient verification for payments &amp; sensitive requests</t>
        </is>
      </c>
      <c r="E26" s="19" t="inlineStr">
        <is>
          <t>H1-H2</t>
        </is>
      </c>
      <c r="F26" s="19" t="inlineStr">
        <is>
          <t>WS3</t>
        </is>
      </c>
    </row>
    <row r="27" ht="22" customHeight="1">
      <c r="A27" s="18" t="inlineStr">
        <is>
          <t>7.1/7.2/7.4/7.5</t>
        </is>
      </c>
      <c r="B27" s="19" t="inlineStr">
        <is>
          <t>Threat intel, SOC, IR, Exposure mgmt</t>
        </is>
      </c>
      <c r="C27" s="19" t="inlineStr">
        <is>
          <t>Most Met</t>
        </is>
      </c>
      <c r="D27" s="19" t="inlineStr">
        <is>
          <t>Sustain; add AI-specific scenarios to SOC and red teaming</t>
        </is>
      </c>
      <c r="E27" s="19" t="inlineStr">
        <is>
          <t>H2-H3</t>
        </is>
      </c>
      <c r="F27" s="19" t="inlineStr">
        <is>
          <t>WS3</t>
        </is>
      </c>
    </row>
  </sheetData>
  <mergeCells count="2">
    <mergeCell ref="A2:F2"/>
    <mergeCell ref="A1:F1"/>
  </mergeCells>
  <conditionalFormatting sqref="C5:C27">
    <cfRule type="cellIs" priority="1" operator="equal" dxfId="5">
      <formula>"Not Met"</formula>
    </cfRule>
    <cfRule type="cellIs" priority="2" operator="equal" dxfId="4">
      <formula>"Some Met"</formula>
    </cfRule>
    <cfRule type="cellIs" priority="3" operator="equal" dxfId="0">
      <formula>"Most Met"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2026-09-24T13:55:03Z</dcterms:created>
  <dcterms:modified xmlns:dcterms="http://purl.org/dc/terms/" xmlns:xsi="http://www.w3.org/2001/XMLSchema-instance" xsi:type="dcterms:W3CDTF">2026-09-24T13:55:03Z</dcterms:modified>
</cp:coreProperties>
</file>