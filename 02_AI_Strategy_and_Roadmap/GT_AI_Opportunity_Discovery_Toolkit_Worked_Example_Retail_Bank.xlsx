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Illustrative Bahrain retail bank</t>
        </is>
      </c>
      <c r="D4" s="8" t="n"/>
    </row>
    <row r="5">
      <c r="A5" s="6" t="inlineStr"/>
      <c r="B5" s="4" t="inlineStr">
        <is>
          <t>Sector (filters the use-case library)</t>
        </is>
      </c>
      <c r="C5" s="7" t="inlineStr">
        <is>
          <t>Banking &amp; payments</t>
        </is>
      </c>
      <c r="D5" s="8" t="n"/>
    </row>
    <row r="6">
      <c r="A6" s="6" t="inlineStr"/>
      <c r="B6" s="4" t="inlineStr">
        <is>
          <t>Scope of discovery</t>
        </is>
      </c>
      <c r="C6" s="7" t="inlineStr">
        <is>
          <t>Retail and SME banking, operations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Owners for key data; quality checked periodically</t>
        </is>
      </c>
      <c r="D14" s="13" t="inlineStr">
        <is>
          <t>Data quality and ownership - ISO/IEC 5259 / ISO/IEC 42001 Annex A.7.</t>
        </is>
      </c>
      <c r="E14" s="14">
        <f>IFERROR(MATCH(C14,Lists!$U$2:$U$5,0),"")</f>
        <v>3</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250 - 999</t>
        </is>
      </c>
      <c r="D19" s="13" t="inlineStr">
        <is>
          <t>Scale drives the size of the prize and what can be sustained.</t>
        </is>
      </c>
      <c r="E19" s="14">
        <f>IFERROR(MATCH(C19,Lists!$Y$2:$Y$5,0),"")</f>
        <v>3</v>
      </c>
    </row>
    <row r="20" ht="42" customHeight="1">
      <c r="A20" s="11" t="inlineStr">
        <is>
          <t>S2</t>
        </is>
      </c>
      <c r="B20" s="5" t="inlineStr">
        <is>
          <t>How many repetitive transactions / cases does your largest process handle per month?</t>
        </is>
      </c>
      <c r="C20" s="12" t="inlineStr">
        <is>
          <t>More than 50,000</t>
        </is>
      </c>
      <c r="D20" s="13" t="inlineStr">
        <is>
          <t>e.g., invoices, applications, claims, customer requests, bookings.</t>
        </is>
      </c>
      <c r="E20" s="14">
        <f>IFERROR(MATCH(C20,Lists!$Z$2:$Z$5,0),"")</f>
        <v>4</v>
      </c>
    </row>
    <row r="21" ht="42" customHeight="1">
      <c r="A21" s="11" t="inlineStr">
        <is>
          <t>S3</t>
        </is>
      </c>
      <c r="B21" s="5" t="inlineStr">
        <is>
          <t>What technology capability do you have in-house?</t>
        </is>
      </c>
      <c r="C21" s="12" t="inlineStr">
        <is>
          <t>IT team with integration / development skills</t>
        </is>
      </c>
      <c r="D21" s="13" t="inlineStr">
        <is>
          <t>Who would configure, integrate and run a solution?</t>
        </is>
      </c>
      <c r="E21" s="14">
        <f>IFERROR(MATCH(C21,Lists!$AA$2:$AA$5,0),"")</f>
        <v>3</v>
      </c>
    </row>
    <row r="22" ht="42" customHeight="1">
      <c r="A22" s="11" t="inlineStr">
        <is>
          <t>S4</t>
        </is>
      </c>
      <c r="B22" s="5" t="inlineStr">
        <is>
          <t>What budget could be made available for digital / AI initiatives in the next 12 months?</t>
        </is>
      </c>
      <c r="C22" s="12" t="inlineStr">
        <is>
          <t>Above BHD 250,000</t>
        </is>
      </c>
      <c r="D22" s="13" t="inlineStr">
        <is>
          <t>Indicative only - used to size the type of solution that is realistic.</t>
        </is>
      </c>
      <c r="E22" s="14">
        <f>IFERROR(MATCH(C22,Lists!$AB$2:$AB$5,0),"")</f>
        <v>4</v>
      </c>
    </row>
    <row r="23" ht="42" customHeight="1">
      <c r="A23" s="11" t="inlineStr">
        <is>
          <t>S5</t>
        </is>
      </c>
      <c r="B23" s="5" t="inlineStr">
        <is>
          <t>How many customer / citizen interactions do you handle through digital channels?</t>
        </is>
      </c>
      <c r="C23" s="12" t="inlineStr">
        <is>
          <t>High - most interactions are digital</t>
        </is>
      </c>
      <c r="D23" s="13" t="inlineStr">
        <is>
          <t>Web, app, email, WhatsApp, call centre.</t>
        </is>
      </c>
      <c r="E23" s="14">
        <f>IFERROR(MATCH(C23,Lists!$AC$2:$AC$5,0),"")</f>
        <v>3</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0.611111111111111</v>
      </c>
      <c r="D28" s="15" t="n"/>
      <c r="E28" s="15" t="n"/>
    </row>
    <row r="29" ht="20" customHeight="1">
      <c r="B29" s="4" t="inlineStr">
        <is>
          <t>Scale &amp; Capacity score</t>
        </is>
      </c>
      <c r="C29" s="16">
        <f>IF(COUNT(E19,E20,E21,E22,E23,E24)=6,(N(E19)+N(E20)+N(E21)+N(E22)+N(E23)+N(E24)-6)/18,"")</f>
        <v>0.777777777777778</v>
      </c>
      <c r="D29" s="15" t="n"/>
      <c r="E29" s="15" t="n"/>
    </row>
    <row r="30" ht="20" customHeight="1">
      <c r="B30" s="4" t="inlineStr">
        <is>
          <t>Archetype</t>
        </is>
      </c>
      <c r="C30" s="5">
        <f>IF(OR(C28="",C29=""),"",IF(C28&lt;0.5,IF(C29&lt;0.5,1,2),IF(C29&lt;0.5,3,4)))</f>
        <v>4</v>
      </c>
      <c r="D30" s="15" t="n"/>
      <c r="E30" s="15" t="n"/>
    </row>
    <row r="31" ht="20" customHeight="1">
      <c r="B31" s="4" t="inlineStr">
        <is>
          <t>AI position</t>
        </is>
      </c>
      <c r="C31" s="17" t="str">
        <f>IF(C30="","Complete all 12 questions",INDEX(Lists!$AH$2:$AH$5,C30))</f>
        <v>Build and scale AI</v>
      </c>
      <c r="D31" s="18" t="n"/>
      <c r="E31" s="18" t="n"/>
    </row>
    <row r="32" ht="20" customHeight="1">
      <c r="B32" s="4" t="inlineStr">
        <is>
          <t>Solution ceiling today</t>
        </is>
      </c>
      <c r="C32" s="19" t="str">
        <f>IF(C30="","",INDEX(Lists!$AI$2:$AI$5,C30)&amp;" - "&amp;INDEX(Lists!$AM$2:$AM$6,INDEX(Lists!$AI$2:$AI$5,C30)))</f>
        <v>5 - Custom AI / agentic AI</v>
      </c>
      <c r="D32" s="18" t="n"/>
      <c r="E32" s="18" t="n"/>
    </row>
    <row r="33" ht="44" customHeight="1">
      <c r="B33" s="4" t="inlineStr">
        <is>
          <t>What it means</t>
        </is>
      </c>
      <c r="C33" s="5" t="str">
        <f>IF(C30="","",INDEX(Lists!$AJ$2:$AJ$5,C30))</f>
        <v>Data and scale support custom AI: build a portfolio, including advanced analytics and governed agentic AI.</v>
      </c>
      <c r="D33" s="15" t="n"/>
      <c r="E33" s="15" t="n"/>
    </row>
    <row r="34" ht="58" customHeight="1">
      <c r="B34" s="4" t="inlineStr">
        <is>
          <t>Detail</t>
        </is>
      </c>
      <c r="C34" s="5" t="str">
        <f>IF(C30="","",INDEX(Lists!$AK$2:$AK$5,C30))</f>
        <v>The organisation can sustain a portfolio of AI use cases, including custom machine-learning models, retrieval-augmented assistants and agentic workflows - provided governance, MLOps and AI security scale with it.</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0</v>
      </c>
      <c r="O230" t="str">
        <f>IF(N230,COUNTIF($N$5:N230,TRUE),"")</f>
        <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0</v>
      </c>
      <c r="O231" t="str">
        <f>IF(N231,COUNTIF($N$5:N231,TRUE),"")</f>
        <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0</v>
      </c>
      <c r="O232" t="str">
        <f>IF(N232,COUNTIF($N$5:N232,TRUE),"")</f>
        <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0</v>
      </c>
      <c r="O233" t="str">
        <f>IF(N233,COUNTIF($N$5:N233,TRUE),"")</f>
        <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0</v>
      </c>
      <c r="O234" t="str">
        <f>IF(N234,COUNTIF($N$5:N234,TRUE),"")</f>
        <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0</v>
      </c>
      <c r="O235" t="str">
        <f>IF(N235,COUNTIF($N$5:N235,TRUE),"")</f>
        <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0</v>
      </c>
      <c r="O236" t="str">
        <f>IF(N236,COUNTIF($N$5:N236,TRUE),"")</f>
        <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0</v>
      </c>
      <c r="O237" t="str">
        <f>IF(N237,COUNTIF($N$5:N237,TRUE),"")</f>
        <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0</v>
      </c>
      <c r="O238" t="str">
        <f>IF(N238,COUNTIF($N$5:N238,TRUE),"")</f>
        <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0</v>
      </c>
      <c r="O239" t="str">
        <f>IF(N239,COUNTIF($N$5:N239,TRUE),"")</f>
        <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0</v>
      </c>
      <c r="O240" t="str">
        <f>IF(N240,COUNTIF($N$5:N240,TRUE),"")</f>
        <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0</v>
      </c>
      <c r="O241" t="str">
        <f>IF(N241,COUNTIF($N$5:N241,TRUE),"")</f>
        <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0</v>
      </c>
      <c r="O242" t="str">
        <f>IF(N242,COUNTIF($N$5:N242,TRUE),"")</f>
        <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0</v>
      </c>
      <c r="O243" t="str">
        <f>IF(N243,COUNTIF($N$5:N243,TRUE),"")</f>
        <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0</v>
      </c>
      <c r="O244" t="str">
        <f>IF(N244,COUNTIF($N$5:N244,TRUE),"")</f>
        <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Build and scale AI</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83</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BNK-01 | Retail customer onboarding (eKYC)</t>
        </is>
      </c>
      <c r="C8" s="37" t="n"/>
      <c r="D8" s="37" t="n"/>
      <c r="E8" s="37" t="n"/>
      <c r="F8" s="37" t="inlineStr">
        <is>
          <t>High (more than 1,000 a month)</t>
        </is>
      </c>
      <c r="G8" s="37" t="n">
        <v>400</v>
      </c>
      <c r="H8" s="37" t="inlineStr">
        <is>
          <t>Yes - documented and consistent</t>
        </is>
      </c>
      <c r="I8" s="37" t="inlineStr">
        <is>
          <t>Digital history available</t>
        </is>
      </c>
      <c r="J8" s="37" t="n">
        <v>5</v>
      </c>
      <c r="K8" s="37" t="n">
        <v>5</v>
      </c>
      <c r="L8" s="37" t="inlineStr">
        <is>
          <t>Yes</t>
        </is>
      </c>
      <c r="M8" s="37" t="inlineStr">
        <is>
          <t>Yes</t>
        </is>
      </c>
      <c r="N8" s="37" t="inlineStr">
        <is>
          <t>Human approves each AI output</t>
        </is>
      </c>
      <c r="O8" s="38" t="str">
        <f>IF(B8="","",IFERROR(INDEX('2. Use-Case Library'!$A$5:$A$244,MATCH(B8,'2. Use-Case Library'!$M$5:$M$244,0)),"Custom"))</f>
        <v>BNK-01</v>
      </c>
      <c r="P8" s="39" t="str">
        <f>IF(B8="","",IF(O8="Custom",IF(E8="","(select function in E)",E8),INDEX('2. Use-Case Library'!$C$5:$C$244,MATCH($O8,'2. Use-Case Library'!$A$5:$A$244,0))))</f>
        <v>Core operations &amp; service delivery</v>
      </c>
      <c r="Q8" s="39" t="str">
        <f>IF(B8="","",IF(D8&lt;&gt;"",D8,IF(O8="Custom","",INDEX('2. Use-Case Library'!$F$5:$F$244,MATCH($O8,'2. Use-Case Library'!$A$5:$A$244,0)))))</f>
        <v>Extract information from documents, forms or emails</v>
      </c>
      <c r="R8" s="39" t="str">
        <f>IF(Q8="","",INDEX(Lists!$B$2:$B$11,MATCH(Q8,Lists!$A$2:$A$11,0)))</f>
        <v>Intelligent document processing (IDP)</v>
      </c>
      <c r="S8" s="38">
        <f>IF(R8="","",INDEX(Lists!$C$2:$C$11,MATCH(R8,Lists!$B$2:$B$11,0)))</f>
        <v>3</v>
      </c>
      <c r="T8" s="38" t="str">
        <f>IF(R8="","",INDEX(Lists!$D$2:$D$11,MATCH(R8,Lists!$B$2:$B$11,0)))</f>
        <v>Light</v>
      </c>
      <c r="U8" s="38" t="str">
        <f>IF(OR(R8="",I8=""),"",IF(INDEX(Lists!$N$2:$N$5,MATCH(I8,Lists!$M$2:$M$5,0))&gt;=INDEX(Lists!$E$2:$E$11,MATCH(R8,Lists!$B$2:$B$11,0)),"Data ready","Data gap"))</f>
        <v>Data ready</v>
      </c>
      <c r="V8" s="39" t="str">
        <f>IF(R8="","",IF(S8&lt;=IF('1. AI Position'!$C$30="",5,INDEX(Lists!$AI$2:$AI$5,'1. AI Position'!$C$30)),"Within current position","Beyond current position"))</f>
        <v>Within current position</v>
      </c>
      <c r="W8" s="40" t="str">
        <f>IF(B8="","",IF(OR(COUNTA(F8:N8)&lt;9,Q8=""),"Complete inputs",IF(H8="No - varies by person / team","Redesign / standardise first",IF(T8="No","Automate - AI not needed",IF(U8="Data gap","AI later - close data gap first",IF(V8="Beyond current position","Stretch - partner or later stage","AI fit now"))))))</f>
        <v>AI fit now</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4.5</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Quick win</v>
      </c>
      <c r="AB8" s="41">
        <f>IF(X8="","",ROUND(X8*Y8*IF(Z8="High",0.85,1)*IF(W8="Redesign / standardise first",0.8,1),2))</f>
        <v>18.17</v>
      </c>
      <c r="AC8" s="42">
        <f>IF(AB8="","",RANK(AB8,$AB$8:$AB$57)+COUNTIF($AB$7:AB7,AB8))</f>
        <v>3</v>
      </c>
      <c r="AD8" s="39" t="str">
        <f>IF(AH8="","",INDEX(Lists!$AV$2:$AV$5,AH8))</f>
        <v>H2 - Next (6-12 months)</v>
      </c>
      <c r="AE8" s="43">
        <f>IF(AB8="","",ROUND(G8*12*INDEX(Lists!$F$2:$F$11,MATCH(R8,Lists!$B$2:$B$11,0)),0))</f>
        <v>2400</v>
      </c>
      <c r="AF8" s="44" t="str">
        <f>IF(OR(B8="",R8=""),"",IF(O8="Custom",INDEX(Lists!$I$2:$I$11,MATCH(R8,Lists!$B$2:$B$11,0)),INDEX('2. Use-Case Library'!$H$5:$H$244,MATCH($O8,'2. Use-Case Library'!$A$5:$A$244,0))))</f>
        <v>Digital onboarding: ID capture (CPR / passport), liveness check, automated screening and risk rating; analyst reviews exceptions.</v>
      </c>
      <c r="AG8" s="44" t="str">
        <f>IF(OR(B8="",O8="Custom"),"",INDEX('2. Use-Case Library'!$K$5:$K$244,MATCH($O8,'2. Use-Case Library'!$A$5:$A$244,0)))</f>
        <v>CBB Rulebook FC (financial crime) KYC; biometric data - treat as sensitive (PDPL); liveness-vendor assurance.</v>
      </c>
      <c r="AH8" s="38">
        <f>IF(AB8="","",IF(AA8="Deprioritise",4,IF(W8="AI later - close data gap first",3,IF(OR(W8="Redesign / standardise first",W8="Stretch - partner or later stage",AA8="Strategic bet",Z8="High",S8=5),2,1))))</f>
        <v>2</v>
      </c>
      <c r="AI8" s="38">
        <f>IF(AC8="","",AH8*100+AC8)</f>
        <v>203</v>
      </c>
      <c r="AJ8" s="38" t="str">
        <f>IF(B8="","",IF(O8="Custom",B8,INDEX('2. Use-Case Library'!$D$5:$D$244,MATCH($O8,'2. Use-Case Library'!$A$5:$A$244,0))))</f>
        <v>Retail customer onboarding (eKYC)</v>
      </c>
    </row>
    <row r="9" ht="52" customHeight="1">
      <c r="A9" s="14" t="n">
        <v>2</v>
      </c>
      <c r="B9" s="37" t="inlineStr">
        <is>
          <t>BNK-02 | Sanctions &amp; PEP screening alert review</t>
        </is>
      </c>
      <c r="C9" s="37" t="n"/>
      <c r="D9" s="37" t="n"/>
      <c r="E9" s="37" t="n"/>
      <c r="F9" s="37" t="inlineStr">
        <is>
          <t>High (more than 1,000 a month)</t>
        </is>
      </c>
      <c r="G9" s="37" t="n">
        <v>600</v>
      </c>
      <c r="H9" s="37" t="inlineStr">
        <is>
          <t>Yes - documented and consistent</t>
        </is>
      </c>
      <c r="I9" s="37" t="inlineStr">
        <is>
          <t>Digital history with recorded outcomes</t>
        </is>
      </c>
      <c r="J9" s="37" t="n">
        <v>5</v>
      </c>
      <c r="K9" s="37" t="n">
        <v>4</v>
      </c>
      <c r="L9" s="37" t="inlineStr">
        <is>
          <t>No</t>
        </is>
      </c>
      <c r="M9" s="37" t="inlineStr">
        <is>
          <t>Yes</t>
        </is>
      </c>
      <c r="N9" s="37" t="inlineStr">
        <is>
          <t>Human approves each AI output</t>
        </is>
      </c>
      <c r="O9" s="38" t="str">
        <f>IF(B9="","",IFERROR(INDEX('2. Use-Case Library'!$A$5:$A$244,MATCH(B9,'2. Use-Case Library'!$M$5:$M$244,0)),"Custom"))</f>
        <v>BNK-02</v>
      </c>
      <c r="P9" s="39" t="str">
        <f>IF(B9="","",IF(O9="Custom",IF(E9="","(select function in E)",E9),INDEX('2. Use-Case Library'!$C$5:$C$244,MATCH($O9,'2. Use-Case Library'!$A$5:$A$244,0))))</f>
        <v>Risk, compliance &amp; legal</v>
      </c>
      <c r="Q9" s="39" t="str">
        <f>IF(B9="","",IF(D9&lt;&gt;"",D9,IF(O9="Custom","",INDEX('2. Use-Case Library'!$F$5:$F$244,MATCH($O9,'2. Use-Case Library'!$A$5:$A$244,0)))))</f>
        <v>Forecast, score, classify or detect anomalies from historical data</v>
      </c>
      <c r="R9" s="39" t="str">
        <f>IF(Q9="","",INDEX(Lists!$B$2:$B$11,MATCH(Q9,Lists!$A$2:$A$11,0)))</f>
        <v>Predictive analytics / machine learning</v>
      </c>
      <c r="S9" s="38">
        <f>IF(R9="","",INDEX(Lists!$C$2:$C$11,MATCH(R9,Lists!$B$2:$B$11,0)))</f>
        <v>5</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4.8</v>
      </c>
      <c r="Y9" s="41">
        <f>IF(X9="","",ROUND(0.3*IF(U9="Data ready",5,IF(INDEX(Lists!$N$2:$N$5,MATCH(I9,Lists!$M$2:$M$5,0))=INDEX(Lists!$E$2:$E$11,MATCH(R9,Lists!$B$2:$B$11,0))-1,3,1))+0.25*INDEX(Lists!$N$13:$N$15,MATCH(H9,Lists!$M$13:$M$15,0))+0.25*(6-S9)+0.2*IF(V9="Within current position",5,2),2))</f>
        <v>4</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19.2</v>
      </c>
      <c r="AC9" s="42">
        <f>IF(AB9="","",RANK(AB9,$AB$8:$AB$57)+COUNTIF($AB$7:AB8,AB9))</f>
        <v>2</v>
      </c>
      <c r="AD9" s="39" t="str">
        <f>IF(AH9="","",INDEX(Lists!$AV$2:$AV$5,AH9))</f>
        <v>H2 - Next (6-12 months)</v>
      </c>
      <c r="AE9" s="43">
        <f>IF(AB9="","",ROUND(G9*12*INDEX(Lists!$F$2:$F$11,MATCH(R9,Lists!$B$2:$B$11,0)),0))</f>
        <v>1440</v>
      </c>
      <c r="AF9" s="44" t="str">
        <f>IF(OR(B9="",R9=""),"",IF(O9="Custom",INDEX(Lists!$I$2:$I$11,MATCH(R9,Lists!$B$2:$B$11,0)),INDEX('2. Use-Case Library'!$H$5:$H$244,MATCH($O9,'2. Use-Case Library'!$A$5:$A$244,0))))</f>
        <v>Tune name-matching, then ML / GenAI-assisted alert disposition with evidence summary; analyst decides.</v>
      </c>
      <c r="AG9" s="44" t="str">
        <f>IF(OR(B9="",O9="Custom"),"",INDEX('2. Use-Case Library'!$K$5:$K$244,MATCH($O9,'2. Use-Case Library'!$A$5:$A$244,0)))</f>
        <v>CBB FC; FATF; model validation; never auto-close true-match candidates.</v>
      </c>
      <c r="AH9" s="38">
        <f>IF(AB9="","",IF(AA9="Deprioritise",4,IF(W9="AI later - close data gap first",3,IF(OR(W9="Redesign / standardise first",W9="Stretch - partner or later stage",AA9="Strategic bet",Z9="High",S9=5),2,1))))</f>
        <v>2</v>
      </c>
      <c r="AI9" s="38">
        <f>IF(AC9="","",AH9*100+AC9)</f>
        <v>202</v>
      </c>
      <c r="AJ9" s="38" t="str">
        <f>IF(B9="","",IF(O9="Custom",B9,INDEX('2. Use-Case Library'!$D$5:$D$244,MATCH($O9,'2. Use-Case Library'!$A$5:$A$244,0))))</f>
        <v>Sanctions &amp; PEP screening alert review</v>
      </c>
    </row>
    <row r="10" ht="52" customHeight="1">
      <c r="A10" s="14" t="n">
        <v>3</v>
      </c>
      <c r="B10" s="37" t="inlineStr">
        <is>
          <t>BNK-03 | AML transaction-monitoring alert triage</t>
        </is>
      </c>
      <c r="C10" s="37" t="n"/>
      <c r="D10" s="37" t="n"/>
      <c r="E10" s="37" t="n"/>
      <c r="F10" s="37" t="inlineStr">
        <is>
          <t>High (more than 1,000 a month)</t>
        </is>
      </c>
      <c r="G10" s="37" t="n">
        <v>1200</v>
      </c>
      <c r="H10" s="37" t="inlineStr">
        <is>
          <t>Partly - common steps, some variation</t>
        </is>
      </c>
      <c r="I10" s="37" t="inlineStr">
        <is>
          <t>Digital history with recorded outcomes</t>
        </is>
      </c>
      <c r="J10" s="37" t="n">
        <v>5</v>
      </c>
      <c r="K10" s="37" t="n">
        <v>5</v>
      </c>
      <c r="L10" s="37" t="inlineStr">
        <is>
          <t>No</t>
        </is>
      </c>
      <c r="M10" s="37" t="inlineStr">
        <is>
          <t>Yes</t>
        </is>
      </c>
      <c r="N10" s="37" t="inlineStr">
        <is>
          <t>Human approves each AI output</t>
        </is>
      </c>
      <c r="O10" s="38" t="str">
        <f>IF(B10="","",IFERROR(INDEX('2. Use-Case Library'!$A$5:$A$244,MATCH(B10,'2. Use-Case Library'!$M$5:$M$244,0)),"Custom"))</f>
        <v>BNK-03</v>
      </c>
      <c r="P10" s="39" t="str">
        <f>IF(B10="","",IF(O10="Custom",IF(E10="","(select function in E)",E10),INDEX('2. Use-Case Library'!$C$5:$C$244,MATCH($O10,'2. Use-Case Library'!$A$5:$A$244,0))))</f>
        <v>Risk, compliance &amp; legal</v>
      </c>
      <c r="Q10" s="39" t="str">
        <f>IF(B10="","",IF(D10&lt;&gt;"",D10,IF(O10="Custom","",INDEX('2. Use-Case Library'!$F$5:$F$244,MATCH($O10,'2. Use-Case Library'!$A$5:$A$244,0)))))</f>
        <v>Forecast, score, classify or detect anomalies from historical data</v>
      </c>
      <c r="R10" s="39" t="str">
        <f>IF(Q10="","",INDEX(Lists!$B$2:$B$11,MATCH(Q10,Lists!$A$2:$A$11,0)))</f>
        <v>Predictive analytics / machine learning</v>
      </c>
      <c r="S10" s="38">
        <f>IF(R10="","",INDEX(Lists!$C$2:$C$11,MATCH(R10,Lists!$B$2:$B$11,0)))</f>
        <v>5</v>
      </c>
      <c r="T10" s="38" t="str">
        <f>IF(R10="","",INDEX(Lists!$D$2:$D$11,MATCH(R10,Lists!$B$2:$B$11,0)))</f>
        <v>Yes</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5</v>
      </c>
      <c r="Y10" s="41">
        <f>IF(X10="","",ROUND(0.3*IF(U10="Data ready",5,IF(INDEX(Lists!$N$2:$N$5,MATCH(I10,Lists!$M$2:$M$5,0))=INDEX(Lists!$E$2:$E$11,MATCH(R10,Lists!$B$2:$B$11,0))-1,3,1))+0.25*INDEX(Lists!$N$13:$N$15,MATCH(H10,Lists!$M$13:$M$15,0))+0.25*(6-S10)+0.2*IF(V10="Within current position",5,2),2))</f>
        <v>3.5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High</v>
      </c>
      <c r="AA10" s="38" t="str">
        <f>IF(X10="","",IF(AND(X10&gt;=$C$4,Y10&gt;=$C$4),"Quick win",IF(X10&gt;=$C$4,"Strategic bet",IF(Y10&gt;=$C$4,"Fill-in","Deprioritise"))))</f>
        <v>Quick win</v>
      </c>
      <c r="AB10" s="41">
        <f>IF(X10="","",ROUND(X10*Y10*IF(Z10="High",0.85,1)*IF(W10="Redesign / standardise first",0.8,1),2))</f>
        <v>14.88</v>
      </c>
      <c r="AC10" s="42">
        <f>IF(AB10="","",RANK(AB10,$AB$8:$AB$57)+COUNTIF($AB$7:AB9,AB10))</f>
        <v>11</v>
      </c>
      <c r="AD10" s="39" t="str">
        <f>IF(AH10="","",INDEX(Lists!$AV$2:$AV$5,AH10))</f>
        <v>H2 - Next (6-12 months)</v>
      </c>
      <c r="AE10" s="43">
        <f>IF(AB10="","",ROUND(G10*12*INDEX(Lists!$F$2:$F$11,MATCH(R10,Lists!$B$2:$B$11,0)),0))</f>
        <v>2880</v>
      </c>
      <c r="AF10" s="44" t="str">
        <f>IF(OR(B10="",R10=""),"",IF(O10="Custom",INDEX(Lists!$I$2:$I$11,MATCH(R10,Lists!$B$2:$B$11,0)),INDEX('2. Use-Case Library'!$H$5:$H$244,MATCH($O10,'2. Use-Case Library'!$A$5:$A$244,0))))</f>
        <v>ML alert prioritisation on top of rule scenarios; investigators focus on high-risk alerts; challenger testing before go-live.</v>
      </c>
      <c r="AG10" s="44" t="str">
        <f>IF(OR(B10="",O10="Custom"),"",INDEX('2. Use-Case Library'!$K$5:$K$244,MATCH($O10,'2. Use-Case Library'!$A$5:$A$244,0)))</f>
        <v>CBB FC; FATF; model risk management (SR 11-7 principles); explainability to regulator.</v>
      </c>
      <c r="AH10" s="38">
        <f>IF(AB10="","",IF(AA10="Deprioritise",4,IF(W10="AI later - close data gap first",3,IF(OR(W10="Redesign / standardise first",W10="Stretch - partner or later stage",AA10="Strategic bet",Z10="High",S10=5),2,1))))</f>
        <v>2</v>
      </c>
      <c r="AI10" s="38">
        <f>IF(AC10="","",AH10*100+AC10)</f>
        <v>211</v>
      </c>
      <c r="AJ10" s="38" t="str">
        <f>IF(B10="","",IF(O10="Custom",B10,INDEX('2. Use-Case Library'!$D$5:$D$244,MATCH($O10,'2. Use-Case Library'!$A$5:$A$244,0))))</f>
        <v>AML transaction-monitoring alert triage</v>
      </c>
    </row>
    <row r="11" ht="52" customHeight="1">
      <c r="A11" s="14" t="n">
        <v>4</v>
      </c>
      <c r="B11" s="37" t="inlineStr">
        <is>
          <t>BNK-04 | Suspicious transaction report (STR) narratives</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Yes</t>
        </is>
      </c>
      <c r="N11" s="37" t="inlineStr">
        <is>
          <t>Human approves each AI output</t>
        </is>
      </c>
      <c r="O11" s="38" t="str">
        <f>IF(B11="","",IFERROR(INDEX('2. Use-Case Library'!$A$5:$A$244,MATCH(B11,'2. Use-Case Library'!$M$5:$M$244,0)),"Custom"))</f>
        <v>BNK-04</v>
      </c>
      <c r="P11" s="39" t="str">
        <f>IF(B11="","",IF(O11="Custom",IF(E11="","(select function in E)",E11),INDEX('2. Use-Case Library'!$C$5:$C$244,MATCH($O11,'2. Use-Case Library'!$A$5:$A$244,0))))</f>
        <v>Risk, compliance &amp; legal</v>
      </c>
      <c r="Q11" s="39" t="str">
        <f>IF(B11="","",IF(D11&lt;&gt;"",D11,IF(O11="Custom","",INDEX('2. Use-Case Library'!$F$5:$F$244,MATCH($O11,'2. Use-Case Library'!$A$5:$A$244,0)))))</f>
        <v>Draft, summarise, translate or review text</v>
      </c>
      <c r="R11" s="39" t="str">
        <f>IF(Q11="","",INDEX(Lists!$B$2:$B$11,MATCH(Q11,Lists!$A$2:$A$11,0)))</f>
        <v>Generative AI assistant (off-the-shelf)</v>
      </c>
      <c r="S11" s="38">
        <f>IF(R11="","",INDEX(Lists!$C$2:$C$11,MATCH(R11,Lists!$B$2:$B$11,0)))</f>
        <v>3</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4</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Medium</v>
      </c>
      <c r="AA11" s="38" t="str">
        <f>IF(X11="","",IF(AND(X11&gt;=$C$4,Y11&gt;=$C$4),"Quick win",IF(X11&gt;=$C$4,"Strategic bet",IF(Y11&gt;=$C$4,"Fill-in","Deprioritise"))))</f>
        <v>Quick win</v>
      </c>
      <c r="AB11" s="41">
        <f>IF(X11="","",ROUND(X11*Y11*IF(Z11="High",0.85,1)*IF(W11="Redesign / standardise first",0.8,1),2))</f>
        <v>14.8</v>
      </c>
      <c r="AC11" s="42">
        <f>IF(AB11="","",RANK(AB11,$AB$8:$AB$57)+COUNTIF($AB$7:AB10,AB11))</f>
        <v>12</v>
      </c>
      <c r="AD11" s="39" t="str">
        <f>IF(AH11="","",INDEX(Lists!$AV$2:$AV$5,AH11))</f>
        <v>H1 - Now (0-6 months)</v>
      </c>
      <c r="AE11" s="43">
        <f>IF(AB11="","",ROUND(G11*12*INDEX(Lists!$F$2:$F$11,MATCH(R11,Lists!$B$2:$B$11,0)),0))</f>
        <v>576</v>
      </c>
      <c r="AF11" s="44" t="str">
        <f>IF(OR(B11="",R11=""),"",IF(O11="Custom",INDEX(Lists!$I$2:$I$11,MATCH(R11,Lists!$B$2:$B$11,0)),INDEX('2. Use-Case Library'!$H$5:$H$244,MATCH($O11,'2. Use-Case Library'!$A$5:$A$244,0))))</f>
        <v>GenAI drafts STR narratives from case evidence in a secured environment; MLRO reviews and files.</v>
      </c>
      <c r="AG11" s="44" t="str">
        <f>IF(OR(B11="",O11="Custom"),"",INDEX('2. Use-Case Library'!$K$5:$K$244,MATCH($O11,'2. Use-Case Library'!$A$5:$A$244,0)))</f>
        <v>Tipping-off confidentiality; enterprise tool only; MLRO accountability.</v>
      </c>
      <c r="AH11" s="38">
        <f>IF(AB11="","",IF(AA11="Deprioritise",4,IF(W11="AI later - close data gap first",3,IF(OR(W11="Redesign / standardise first",W11="Stretch - partner or later stage",AA11="Strategic bet",Z11="High",S11=5),2,1))))</f>
        <v>1</v>
      </c>
      <c r="AI11" s="38">
        <f>IF(AC11="","",AH11*100+AC11)</f>
        <v>112</v>
      </c>
      <c r="AJ11" s="38" t="str">
        <f>IF(B11="","",IF(O11="Custom",B11,INDEX('2. Use-Case Library'!$D$5:$D$244,MATCH($O11,'2. Use-Case Library'!$A$5:$A$244,0))))</f>
        <v>Suspicious transaction report (STR) narratives</v>
      </c>
    </row>
    <row r="12" ht="52" customHeight="1">
      <c r="A12" s="14" t="n">
        <v>5</v>
      </c>
      <c r="B12" s="37" t="inlineStr">
        <is>
          <t>BNK-05 | Retail credit decisioning</t>
        </is>
      </c>
      <c r="C12" s="37" t="n"/>
      <c r="D12" s="37" t="n"/>
      <c r="E12" s="37" t="n"/>
      <c r="F12" s="37" t="inlineStr">
        <is>
          <t>High (more than 1,000 a month)</t>
        </is>
      </c>
      <c r="G12" s="37" t="n">
        <v>500</v>
      </c>
      <c r="H12" s="37" t="inlineStr">
        <is>
          <t>Yes - documented and consistent</t>
        </is>
      </c>
      <c r="I12" s="37" t="inlineStr">
        <is>
          <t>Digital history with recorded outcomes</t>
        </is>
      </c>
      <c r="J12" s="37" t="n">
        <v>5</v>
      </c>
      <c r="K12" s="37" t="n">
        <v>5</v>
      </c>
      <c r="L12" s="37" t="inlineStr">
        <is>
          <t>Yes</t>
        </is>
      </c>
      <c r="M12" s="37" t="inlineStr">
        <is>
          <t>Yes</t>
        </is>
      </c>
      <c r="N12" s="37" t="inlineStr">
        <is>
          <t>Human approves each AI output</t>
        </is>
      </c>
      <c r="O12" s="38" t="str">
        <f>IF(B12="","",IFERROR(INDEX('2. Use-Case Library'!$A$5:$A$244,MATCH(B12,'2. Use-Case Library'!$M$5:$M$244,0)),"Custom"))</f>
        <v>BNK-05</v>
      </c>
      <c r="P12" s="39" t="str">
        <f>IF(B12="","",IF(O12="Custom",IF(E12="","(select function in E)",E12),INDEX('2. Use-Case Library'!$C$5:$C$244,MATCH($O12,'2. Use-Case Library'!$A$5:$A$244,0))))</f>
        <v>Core operations &amp; service delivery</v>
      </c>
      <c r="Q12" s="39" t="str">
        <f>IF(B12="","",IF(D12&lt;&gt;"",D12,IF(O12="Custom","",INDEX('2. Use-Case Library'!$F$5:$F$244,MATCH($O12,'2. Use-Case Library'!$A$5:$A$244,0)))))</f>
        <v>Forecast, score, classify or detect anomalies from historical data</v>
      </c>
      <c r="R12" s="39" t="str">
        <f>IF(Q12="","",INDEX(Lists!$B$2:$B$11,MATCH(Q12,Lists!$A$2:$A$11,0)))</f>
        <v>Predictive analytics / machine learning</v>
      </c>
      <c r="S12" s="38">
        <f>IF(R12="","",INDEX(Lists!$C$2:$C$11,MATCH(R12,Lists!$B$2:$B$11,0)))</f>
        <v>5</v>
      </c>
      <c r="T12" s="38" t="str">
        <f>IF(R12="","",INDEX(Lists!$D$2:$D$11,MATCH(R12,Lists!$B$2:$B$11,0)))</f>
        <v>Yes</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AI fit now</v>
      </c>
      <c r="X12" s="41">
        <f>IF(OR(W12="",W12="Complete inputs"),"",ROUND(0.3*INDEX(Lists!$N$8:$N$10,MATCH(F12,Lists!$M$8:$M$10,0))+0.25*IF(G12&lt;20,1,IF(G12&lt;80,2,IF(G12&lt;160,3,IF(G12&lt;480,4,5))))+0.25*J12+0.2*K12,2))</f>
        <v>5</v>
      </c>
      <c r="Y12" s="41">
        <f>IF(X12="","",ROUND(0.3*IF(U12="Data ready",5,IF(INDEX(Lists!$N$2:$N$5,MATCH(I12,Lists!$M$2:$M$5,0))=INDEX(Lists!$E$2:$E$11,MATCH(R12,Lists!$B$2:$B$11,0))-1,3,1))+0.25*INDEX(Lists!$N$13:$N$15,MATCH(H12,Lists!$M$13:$M$15,0))+0.25*(6-S12)+0.2*IF(V12="Within current position",5,2),2))</f>
        <v>4</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High</v>
      </c>
      <c r="AA12" s="38" t="str">
        <f>IF(X12="","",IF(AND(X12&gt;=$C$4,Y12&gt;=$C$4),"Quick win",IF(X12&gt;=$C$4,"Strategic bet",IF(Y12&gt;=$C$4,"Fill-in","Deprioritise"))))</f>
        <v>Quick win</v>
      </c>
      <c r="AB12" s="41">
        <f>IF(X12="","",ROUND(X12*Y12*IF(Z12="High",0.85,1)*IF(W12="Redesign / standardise first",0.8,1),2))</f>
        <v>17</v>
      </c>
      <c r="AC12" s="42">
        <f>IF(AB12="","",RANK(AB12,$AB$8:$AB$57)+COUNTIF($AB$7:AB11,AB12))</f>
        <v>5</v>
      </c>
      <c r="AD12" s="39" t="str">
        <f>IF(AH12="","",INDEX(Lists!$AV$2:$AV$5,AH12))</f>
        <v>H2 - Next (6-12 months)</v>
      </c>
      <c r="AE12" s="43">
        <f>IF(AB12="","",ROUND(G12*12*INDEX(Lists!$F$2:$F$11,MATCH(R12,Lists!$B$2:$B$11,0)),0))</f>
        <v>1200</v>
      </c>
      <c r="AF12" s="44" t="str">
        <f>IF(OR(B12="",R12=""),"",IF(O12="Custom",INDEX(Lists!$I$2:$I$11,MATCH(R12,Lists!$B$2:$B$11,0)),INDEX('2. Use-Case Library'!$H$5:$H$244,MATCH($O12,'2. Use-Case Library'!$A$5:$A$244,0))))</f>
        <v>Explainable scorecard / ML credit model with policy rules, reason codes and human review of declines; bias and stability testing.</v>
      </c>
      <c r="AG12" s="44" t="str">
        <f>IF(OR(B12="",O12="Custom"),"",INDEX('2. Use-Case Library'!$K$5:$K$244,MATCH($O12,'2. Use-Case Library'!$A$5:$A$244,0)))</f>
        <v>HIGH-RISK: EU AI Act Annex III 5(b) creditworthiness of natural persons; CBB credit-risk rules; fair-lending; model validation.</v>
      </c>
      <c r="AH12" s="38">
        <f>IF(AB12="","",IF(AA12="Deprioritise",4,IF(W12="AI later - close data gap first",3,IF(OR(W12="Redesign / standardise first",W12="Stretch - partner or later stage",AA12="Strategic bet",Z12="High",S12=5),2,1))))</f>
        <v>2</v>
      </c>
      <c r="AI12" s="38">
        <f>IF(AC12="","",AH12*100+AC12)</f>
        <v>205</v>
      </c>
      <c r="AJ12" s="38" t="str">
        <f>IF(B12="","",IF(O12="Custom",B12,INDEX('2. Use-Case Library'!$D$5:$D$244,MATCH($O12,'2. Use-Case Library'!$A$5:$A$244,0))))</f>
        <v>Retail credit decisioning</v>
      </c>
    </row>
    <row r="13" ht="52" customHeight="1">
      <c r="A13" s="14" t="n">
        <v>6</v>
      </c>
      <c r="B13" s="37" t="inlineStr">
        <is>
          <t>BNK-06 | SME credit memo drafting</t>
        </is>
      </c>
      <c r="C13" s="37" t="n"/>
      <c r="D13" s="37" t="n"/>
      <c r="E13" s="37" t="n"/>
      <c r="F13" s="37" t="inlineStr">
        <is>
          <t>Medium (100 - 1,000 a month)</t>
        </is>
      </c>
      <c r="G13" s="37" t="n">
        <v>300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BNK-06</v>
      </c>
      <c r="P13" s="39" t="str">
        <f>IF(B13="","",IF(O13="Custom",IF(E13="","(select function in E)",E13),INDEX('2. Use-Case Library'!$C$5:$C$244,MATCH($O13,'2. Use-Case Library'!$A$5:$A$244,0))))</f>
        <v>Core operations &amp; service delivery</v>
      </c>
      <c r="Q13" s="39" t="str">
        <f>IF(B13="","",IF(D13&lt;&gt;"",D13,IF(O13="Custom","",INDEX('2. Use-Case Library'!$F$5:$F$244,MATCH($O13,'2. Use-Case Library'!$A$5:$A$244,0)))))</f>
        <v>Draft, summarise, translate or review text</v>
      </c>
      <c r="R13" s="39" t="str">
        <f>IF(Q13="","",INDEX(Lists!$B$2:$B$11,MATCH(Q13,Lists!$A$2:$A$11,0)))</f>
        <v>Generative AI assistant (off-the-shelf)</v>
      </c>
      <c r="S13" s="38">
        <f>IF(R13="","",INDEX(Lists!$C$2:$C$11,MATCH(R13,Lists!$B$2:$B$11,0)))</f>
        <v>3</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Within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AI fit now</v>
      </c>
      <c r="X13" s="41">
        <f>IF(OR(W13="",W13="Complete inputs"),"",ROUND(0.3*INDEX(Lists!$N$8:$N$10,MATCH(F13,Lists!$M$8:$M$10,0))+0.25*IF(G13&lt;20,1,IF(G13&lt;80,2,IF(G13&lt;160,3,IF(G13&lt;480,4,5))))+0.25*J13+0.2*K13,2))</f>
        <v>3.7</v>
      </c>
      <c r="Y13" s="41">
        <f>IF(X13="","",ROUND(0.3*IF(U13="Data ready",5,IF(INDEX(Lists!$N$2:$N$5,MATCH(I13,Lists!$M$2:$M$5,0))=INDEX(Lists!$E$2:$E$11,MATCH(R13,Lists!$B$2:$B$11,0))-1,3,1))+0.25*INDEX(Lists!$N$13:$N$15,MATCH(H13,Lists!$M$13:$M$15,0))+0.25*(6-S13)+0.2*IF(V13="Within current position",5,2),2))</f>
        <v>4</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Quick win</v>
      </c>
      <c r="AB13" s="41">
        <f>IF(X13="","",ROUND(X13*Y13*IF(Z13="High",0.85,1)*IF(W13="Redesign / standardise first",0.8,1),2))</f>
        <v>14.8</v>
      </c>
      <c r="AC13" s="42">
        <f>IF(AB13="","",RANK(AB13,$AB$8:$AB$57)+COUNTIF($AB$7:AB12,AB13))</f>
        <v>13</v>
      </c>
      <c r="AD13" s="39" t="str">
        <f>IF(AH13="","",INDEX(Lists!$AV$2:$AV$5,AH13))</f>
        <v>H1 - Now (0-6 months)</v>
      </c>
      <c r="AE13" s="43">
        <f>IF(AB13="","",ROUND(G13*12*INDEX(Lists!$F$2:$F$11,MATCH(R13,Lists!$B$2:$B$11,0)),0))</f>
        <v>1080</v>
      </c>
      <c r="AF13" s="44" t="str">
        <f>IF(OR(B13="",R13=""),"",IF(O13="Custom",INDEX(Lists!$I$2:$I$11,MATCH(R13,Lists!$B$2:$B$11,0)),INDEX('2. Use-Case Library'!$H$5:$H$244,MATCH($O13,'2. Use-Case Library'!$A$5:$A$244,0))))</f>
        <v>GenAI drafts credit memos from financial statements and account data using the bank template; credit officer reviews.</v>
      </c>
      <c r="AG13" s="44" t="str">
        <f>IF(OR(B13="",O13="Custom"),"",INDEX('2. Use-Case Library'!$K$5:$K$244,MATCH($O13,'2. Use-Case Library'!$A$5:$A$244,0)))</f>
        <v>Decision stays with credit committee; data confidentiality.</v>
      </c>
      <c r="AH13" s="38">
        <f>IF(AB13="","",IF(AA13="Deprioritise",4,IF(W13="AI later - close data gap first",3,IF(OR(W13="Redesign / standardise first",W13="Stretch - partner or later stage",AA13="Strategic bet",Z13="High",S13=5),2,1))))</f>
        <v>1</v>
      </c>
      <c r="AI13" s="38">
        <f>IF(AC13="","",AH13*100+AC13)</f>
        <v>113</v>
      </c>
      <c r="AJ13" s="38" t="str">
        <f>IF(B13="","",IF(O13="Custom",B13,INDEX('2. Use-Case Library'!$D$5:$D$244,MATCH($O13,'2. Use-Case Library'!$A$5:$A$244,0))))</f>
        <v>SME credit memo drafting</v>
      </c>
    </row>
    <row r="14" ht="52" customHeight="1">
      <c r="A14" s="14" t="n">
        <v>7</v>
      </c>
      <c r="B14" s="37" t="inlineStr">
        <is>
          <t>BNK-07 | Trade-finance document checking (LCs)</t>
        </is>
      </c>
      <c r="C14" s="37" t="n"/>
      <c r="D14" s="37" t="n"/>
      <c r="E14" s="37" t="n"/>
      <c r="F14" s="37" t="inlineStr">
        <is>
          <t>Medium (100 - 1,000 a month)</t>
        </is>
      </c>
      <c r="G14" s="37" t="n">
        <v>350</v>
      </c>
      <c r="H14" s="37" t="inlineStr">
        <is>
          <t>Yes - documented and consistent</t>
        </is>
      </c>
      <c r="I14" s="37" t="inlineStr">
        <is>
          <t>Digital history available</t>
        </is>
      </c>
      <c r="J14" s="37" t="n">
        <v>4</v>
      </c>
      <c r="K14" s="37" t="n">
        <v>4</v>
      </c>
      <c r="L14" s="37" t="inlineStr">
        <is>
          <t>No</t>
        </is>
      </c>
      <c r="M14" s="37" t="inlineStr">
        <is>
          <t>Yes</t>
        </is>
      </c>
      <c r="N14" s="37" t="inlineStr">
        <is>
          <t>Human approves each AI output</t>
        </is>
      </c>
      <c r="O14" s="38" t="str">
        <f>IF(B14="","",IFERROR(INDEX('2. Use-Case Library'!$A$5:$A$244,MATCH(B14,'2. Use-Case Library'!$M$5:$M$244,0)),"Custom"))</f>
        <v>BNK-07</v>
      </c>
      <c r="P14" s="39" t="str">
        <f>IF(B14="","",IF(O14="Custom",IF(E14="","(select function in E)",E14),INDEX('2. Use-Case Library'!$C$5:$C$244,MATCH($O14,'2. Use-Case Library'!$A$5:$A$244,0))))</f>
        <v>Core operations &amp; service delivery</v>
      </c>
      <c r="Q14" s="39" t="str">
        <f>IF(B14="","",IF(D14&lt;&gt;"",D14,IF(O14="Custom","",INDEX('2. Use-Case Library'!$F$5:$F$244,MATCH($O14,'2. Use-Case Library'!$A$5:$A$244,0)))))</f>
        <v>Extract information from documents, forms or emails</v>
      </c>
      <c r="R14" s="39" t="str">
        <f>IF(Q14="","",INDEX(Lists!$B$2:$B$11,MATCH(Q14,Lists!$A$2:$A$11,0)))</f>
        <v>Intelligent document processing (IDP)</v>
      </c>
      <c r="S14" s="38">
        <f>IF(R14="","",INDEX(Lists!$C$2:$C$11,MATCH(R14,Lists!$B$2:$B$11,0)))</f>
        <v>3</v>
      </c>
      <c r="T14" s="38" t="str">
        <f>IF(R14="","",INDEX(Lists!$D$2:$D$11,MATCH(R14,Lists!$B$2:$B$11,0)))</f>
        <v>Light</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4.5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Medium</v>
      </c>
      <c r="AA14" s="38" t="str">
        <f>IF(X14="","",IF(AND(X14&gt;=$C$4,Y14&gt;=$C$4),"Quick win",IF(X14&gt;=$C$4,"Strategic bet",IF(Y14&gt;=$C$4,"Fill-in","Deprioritise"))))</f>
        <v>Quick win</v>
      </c>
      <c r="AB14" s="41">
        <f>IF(X14="","",ROUND(X14*Y14*IF(Z14="High",0.85,1)*IF(W14="Redesign / standardise first",0.8,1),2))</f>
        <v>16.65</v>
      </c>
      <c r="AC14" s="42">
        <f>IF(AB14="","",RANK(AB14,$AB$8:$AB$57)+COUNTIF($AB$7:AB13,AB14))</f>
        <v>6</v>
      </c>
      <c r="AD14" s="39" t="str">
        <f>IF(AH14="","",INDEX(Lists!$AV$2:$AV$5,AH14))</f>
        <v>H1 - Now (0-6 months)</v>
      </c>
      <c r="AE14" s="43">
        <f>IF(AB14="","",ROUND(G14*12*INDEX(Lists!$F$2:$F$11,MATCH(R14,Lists!$B$2:$B$11,0)),0))</f>
        <v>2100</v>
      </c>
      <c r="AF14" s="44" t="str">
        <f>IF(OR(B14="",R14=""),"",IF(O14="Custom",INDEX(Lists!$I$2:$I$11,MATCH(R14,Lists!$B$2:$B$11,0)),INDEX('2. Use-Case Library'!$H$5:$H$244,MATCH($O14,'2. Use-Case Library'!$A$5:$A$244,0))))</f>
        <v>IDP extracts LC and shipping-document data and checks discrepancies against UCP 600 / ISBP rules; checker confirms.</v>
      </c>
      <c r="AG14" s="44" t="str">
        <f>IF(OR(B14="",O14="Custom"),"",INDEX('2. Use-Case Library'!$K$5:$K$244,MATCH($O14,'2. Use-Case Library'!$A$5:$A$244,0)))</f>
        <v>Sanctions / dual-use screening of goods and vessels.</v>
      </c>
      <c r="AH14" s="38">
        <f>IF(AB14="","",IF(AA14="Deprioritise",4,IF(W14="AI later - close data gap first",3,IF(OR(W14="Redesign / standardise first",W14="Stretch - partner or later stage",AA14="Strategic bet",Z14="High",S14=5),2,1))))</f>
        <v>1</v>
      </c>
      <c r="AI14" s="38">
        <f>IF(AC14="","",AH14*100+AC14)</f>
        <v>106</v>
      </c>
      <c r="AJ14" s="38" t="str">
        <f>IF(B14="","",IF(O14="Custom",B14,INDEX('2. Use-Case Library'!$D$5:$D$244,MATCH($O14,'2. Use-Case Library'!$A$5:$A$244,0))))</f>
        <v>Trade-finance document checking (LCs)</v>
      </c>
    </row>
    <row r="15" ht="52" customHeight="1">
      <c r="A15" s="14" t="n">
        <v>8</v>
      </c>
      <c r="B15" s="37" t="inlineStr">
        <is>
          <t>BNK-08 | Card &amp; payment fraud detection</t>
        </is>
      </c>
      <c r="C15" s="37" t="n"/>
      <c r="D15" s="37" t="n"/>
      <c r="E15" s="37" t="n"/>
      <c r="F15" s="37" t="inlineStr">
        <is>
          <t>High (more than 1,000 a month)</t>
        </is>
      </c>
      <c r="G15" s="37" t="n">
        <v>300</v>
      </c>
      <c r="H15" s="37" t="inlineStr">
        <is>
          <t>Yes - documented and consistent</t>
        </is>
      </c>
      <c r="I15" s="37" t="inlineStr">
        <is>
          <t>Digital history with recorded outcomes</t>
        </is>
      </c>
      <c r="J15" s="37" t="n">
        <v>5</v>
      </c>
      <c r="K15" s="37" t="n">
        <v>5</v>
      </c>
      <c r="L15" s="37" t="inlineStr">
        <is>
          <t>No</t>
        </is>
      </c>
      <c r="M15" s="37" t="inlineStr">
        <is>
          <t>Yes</t>
        </is>
      </c>
      <c r="N15" s="37" t="inlineStr">
        <is>
          <t>Fully automated - no human review</t>
        </is>
      </c>
      <c r="O15" s="38" t="str">
        <f>IF(B15="","",IFERROR(INDEX('2. Use-Case Library'!$A$5:$A$244,MATCH(B15,'2. Use-Case Library'!$M$5:$M$244,0)),"Custom"))</f>
        <v>BNK-08</v>
      </c>
      <c r="P15" s="39" t="str">
        <f>IF(B15="","",IF(O15="Custom",IF(E15="","(select function in E)",E15),INDEX('2. Use-Case Library'!$C$5:$C$244,MATCH($O15,'2. Use-Case Library'!$A$5:$A$244,0))))</f>
        <v>Core operations &amp; service delivery</v>
      </c>
      <c r="Q15" s="39" t="str">
        <f>IF(B15="","",IF(D15&lt;&gt;"",D15,IF(O15="Custom","",INDEX('2. Use-Case Library'!$F$5:$F$244,MATCH($O15,'2. Use-Case Library'!$A$5:$A$244,0)))))</f>
        <v>Forecast, score, classify or detect anomalies from historical data</v>
      </c>
      <c r="R15" s="39" t="str">
        <f>IF(Q15="","",INDEX(Lists!$B$2:$B$11,MATCH(Q15,Lists!$A$2:$A$11,0)))</f>
        <v>Predictive analytics / machine learning</v>
      </c>
      <c r="S15" s="38">
        <f>IF(R15="","",INDEX(Lists!$C$2:$C$11,MATCH(R15,Lists!$B$2:$B$11,0)))</f>
        <v>5</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4.75</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High</v>
      </c>
      <c r="AA15" s="38" t="str">
        <f>IF(X15="","",IF(AND(X15&gt;=$C$4,Y15&gt;=$C$4),"Quick win",IF(X15&gt;=$C$4,"Strategic bet",IF(Y15&gt;=$C$4,"Fill-in","Deprioritise"))))</f>
        <v>Quick win</v>
      </c>
      <c r="AB15" s="41">
        <f>IF(X15="","",ROUND(X15*Y15*IF(Z15="High",0.85,1)*IF(W15="Redesign / standardise first",0.8,1),2))</f>
        <v>16.15</v>
      </c>
      <c r="AC15" s="42">
        <f>IF(AB15="","",RANK(AB15,$AB$8:$AB$57)+COUNTIF($AB$7:AB14,AB15))</f>
        <v>8</v>
      </c>
      <c r="AD15" s="39" t="str">
        <f>IF(AH15="","",INDEX(Lists!$AV$2:$AV$5,AH15))</f>
        <v>H2 - Next (6-12 months)</v>
      </c>
      <c r="AE15" s="43">
        <f>IF(AB15="","",ROUND(G15*12*INDEX(Lists!$F$2:$F$11,MATCH(R15,Lists!$B$2:$B$11,0)),0))</f>
        <v>720</v>
      </c>
      <c r="AF15" s="44" t="str">
        <f>IF(OR(B15="",R15=""),"",IF(O15="Custom",INDEX(Lists!$I$2:$I$11,MATCH(R15,Lists!$B$2:$B$11,0)),INDEX('2. Use-Case Library'!$H$5:$H$244,MATCH($O15,'2. Use-Case Library'!$A$5:$A$244,0))))</f>
        <v>Real-time ML fraud scoring with step-up authentication; continuous model monitoring for drift.</v>
      </c>
      <c r="AG15" s="44" t="str">
        <f>IF(OR(B15="",O15="Custom"),"",INDEX('2. Use-Case Library'!$K$5:$K$244,MATCH($O15,'2. Use-Case Library'!$A$5:$A$244,0)))</f>
        <v>PCI DSS; customer-friction trade-off; model validation.</v>
      </c>
      <c r="AH15" s="38">
        <f>IF(AB15="","",IF(AA15="Deprioritise",4,IF(W15="AI later - close data gap first",3,IF(OR(W15="Redesign / standardise first",W15="Stretch - partner or later stage",AA15="Strategic bet",Z15="High",S15=5),2,1))))</f>
        <v>2</v>
      </c>
      <c r="AI15" s="38">
        <f>IF(AC15="","",AH15*100+AC15)</f>
        <v>208</v>
      </c>
      <c r="AJ15" s="38" t="str">
        <f>IF(B15="","",IF(O15="Custom",B15,INDEX('2. Use-Case Library'!$D$5:$D$244,MATCH($O15,'2. Use-Case Library'!$A$5:$A$244,0))))</f>
        <v>Card &amp; payment fraud detection</v>
      </c>
    </row>
    <row r="16" ht="52" customHeight="1">
      <c r="A16" s="14" t="n">
        <v>9</v>
      </c>
      <c r="B16" s="37" t="inlineStr">
        <is>
          <t>BNK-09 | Payment exceptions &amp; repairs</t>
        </is>
      </c>
      <c r="C16" s="37" t="n"/>
      <c r="D16" s="37" t="n"/>
      <c r="E16" s="37" t="n"/>
      <c r="F16" s="37" t="inlineStr">
        <is>
          <t>High (more than 1,000 a month)</t>
        </is>
      </c>
      <c r="G16" s="37" t="n">
        <v>250</v>
      </c>
      <c r="H16" s="37" t="inlineStr">
        <is>
          <t>Yes - documented and consistent</t>
        </is>
      </c>
      <c r="I16" s="37" t="inlineStr">
        <is>
          <t>Digital history available</t>
        </is>
      </c>
      <c r="J16" s="37" t="n">
        <v>3</v>
      </c>
      <c r="K16" s="37" t="n">
        <v>4</v>
      </c>
      <c r="L16" s="37" t="inlineStr">
        <is>
          <t>No</t>
        </is>
      </c>
      <c r="M16" s="37" t="inlineStr">
        <is>
          <t>Yes</t>
        </is>
      </c>
      <c r="N16" s="37" t="inlineStr">
        <is>
          <t>Fully automated - no human review</t>
        </is>
      </c>
      <c r="O16" s="38" t="str">
        <f>IF(B16="","",IFERROR(INDEX('2. Use-Case Library'!$A$5:$A$244,MATCH(B16,'2. Use-Case Library'!$M$5:$M$244,0)),"Custom"))</f>
        <v>BNK-09</v>
      </c>
      <c r="P16" s="39" t="str">
        <f>IF(B16="","",IF(O16="Custom",IF(E16="","(select function in E)",E16),INDEX('2. Use-Case Library'!$C$5:$C$244,MATCH($O16,'2. Use-Case Library'!$A$5:$A$244,0))))</f>
        <v>Core operations &amp; service delivery</v>
      </c>
      <c r="Q16" s="39" t="str">
        <f>IF(B16="","",IF(D16&lt;&gt;"",D16,IF(O16="Custom","",INDEX('2. Use-Case Library'!$F$5:$F$244,MATCH($O16,'2. Use-Case Library'!$A$5:$A$244,0)))))</f>
        <v>Check or approve items against fixed criteria (rules, thresholds, checklists)</v>
      </c>
      <c r="R16" s="39" t="str">
        <f>IF(Q16="","",INDEX(Lists!$B$2:$B$11,MATCH(Q16,Lists!$A$2:$A$11,0)))</f>
        <v>Rules engine / workflow automation</v>
      </c>
      <c r="S16" s="38">
        <f>IF(R16="","",INDEX(Lists!$C$2:$C$11,MATCH(R16,Lists!$B$2:$B$11,0)))</f>
        <v>2</v>
      </c>
      <c r="T16" s="38" t="str">
        <f>IF(R16="","",INDEX(Lists!$D$2:$D$11,MATCH(R16,Lists!$B$2:$B$11,0)))</f>
        <v>No</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Automate - AI not needed</v>
      </c>
      <c r="X16" s="41">
        <f>IF(OR(W16="",W16="Complete inputs"),"",ROUND(0.3*INDEX(Lists!$N$8:$N$10,MATCH(F16,Lists!$M$8:$M$10,0))+0.25*IF(G16&lt;20,1,IF(G16&lt;80,2,IF(G16&lt;160,3,IF(G16&lt;480,4,5))))+0.25*J16+0.2*K16,2))</f>
        <v>4.05</v>
      </c>
      <c r="Y16" s="41">
        <f>IF(X16="","",ROUND(0.3*IF(U16="Data ready",5,IF(INDEX(Lists!$N$2:$N$5,MATCH(I16,Lists!$M$2:$M$5,0))=INDEX(Lists!$E$2:$E$11,MATCH(R16,Lists!$B$2:$B$11,0))-1,3,1))+0.25*INDEX(Lists!$N$13:$N$15,MATCH(H16,Lists!$M$13:$M$15,0))+0.25*(6-S16)+0.2*IF(V16="Within current position",5,2),2))</f>
        <v>4.75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19.24</v>
      </c>
      <c r="AC16" s="42">
        <f>IF(AB16="","",RANK(AB16,$AB$8:$AB$57)+COUNTIF($AB$7:AB15,AB16))</f>
        <v>1</v>
      </c>
      <c r="AD16" s="39" t="str">
        <f>IF(AH16="","",INDEX(Lists!$AV$2:$AV$5,AH16))</f>
        <v>H1 - Now (0-6 months)</v>
      </c>
      <c r="AE16" s="43">
        <f>IF(AB16="","",ROUND(G16*12*INDEX(Lists!$F$2:$F$11,MATCH(R16,Lists!$B$2:$B$11,0)),0))</f>
        <v>1500</v>
      </c>
      <c r="AF16" s="44" t="str">
        <f>IF(OR(B16="",R16=""),"",IF(O16="Custom",INDEX(Lists!$I$2:$I$11,MATCH(R16,Lists!$B$2:$B$11,0)),INDEX('2. Use-Case Library'!$H$5:$H$244,MATCH($O16,'2. Use-Case Library'!$A$5:$A$244,0))))</f>
        <v>Rules-based auto-repair of common payment errors (IBAN, BIC, format) with exception queue.</v>
      </c>
      <c r="AG16" s="44" t="str">
        <f>IF(OR(B16="",O16="Custom"),"",INDEX('2. Use-Case Library'!$K$5:$K$244,MATCH($O16,'2. Use-Case Library'!$A$5:$A$244,0)))</f>
        <v>Four-eyes on high-value payments.</v>
      </c>
      <c r="AH16" s="38">
        <f>IF(AB16="","",IF(AA16="Deprioritise",4,IF(W16="AI later - close data gap first",3,IF(OR(W16="Redesign / standardise first",W16="Stretch - partner or later stage",AA16="Strategic bet",Z16="High",S16=5),2,1))))</f>
        <v>1</v>
      </c>
      <c r="AI16" s="38">
        <f>IF(AC16="","",AH16*100+AC16)</f>
        <v>101</v>
      </c>
      <c r="AJ16" s="38" t="str">
        <f>IF(B16="","",IF(O16="Custom",B16,INDEX('2. Use-Case Library'!$D$5:$D$244,MATCH($O16,'2. Use-Case Library'!$A$5:$A$244,0))))</f>
        <v>Payment exceptions &amp; repairs</v>
      </c>
    </row>
    <row r="17" ht="52" customHeight="1">
      <c r="A17" s="14" t="n">
        <v>10</v>
      </c>
      <c r="B17" s="37" t="inlineStr">
        <is>
          <t>BNK-10 | Banking virtual assistant</t>
        </is>
      </c>
      <c r="C17" s="37" t="n"/>
      <c r="D17" s="37" t="n"/>
      <c r="E17" s="37" t="n"/>
      <c r="F17" s="37" t="inlineStr">
        <is>
          <t>High (more than 1,000 a month)</t>
        </is>
      </c>
      <c r="G17" s="37" t="n">
        <v>900</v>
      </c>
      <c r="H17" s="37" t="inlineStr">
        <is>
          <t>Partly - common steps, some variation</t>
        </is>
      </c>
      <c r="I17" s="37" t="inlineStr">
        <is>
          <t>Digital history available</t>
        </is>
      </c>
      <c r="J17" s="37" t="n">
        <v>4</v>
      </c>
      <c r="K17" s="37" t="n">
        <v>5</v>
      </c>
      <c r="L17" s="37" t="inlineStr">
        <is>
          <t>No</t>
        </is>
      </c>
      <c r="M17" s="37" t="inlineStr">
        <is>
          <t>Yes</t>
        </is>
      </c>
      <c r="N17" s="37" t="inlineStr">
        <is>
          <t>Assist - AI suggests, a person does the work</t>
        </is>
      </c>
      <c r="O17" s="38" t="str">
        <f>IF(B17="","",IFERROR(INDEX('2. Use-Case Library'!$A$5:$A$244,MATCH(B17,'2. Use-Case Library'!$M$5:$M$244,0)),"Custom"))</f>
        <v>BNK-10</v>
      </c>
      <c r="P17" s="39" t="str">
        <f>IF(B17="","",IF(O17="Custom",IF(E17="","(select function in E)",E17),INDEX('2. Use-Case Library'!$C$5:$C$244,MATCH($O17,'2. Use-Case Library'!$A$5:$A$244,0))))</f>
        <v>Customer service</v>
      </c>
      <c r="Q17" s="39" t="str">
        <f>IF(B17="","",IF(D17&lt;&gt;"",D17,IF(O17="Custom","",INDEX('2. Use-Case Library'!$F$5:$F$244,MATCH($O17,'2. Use-Case Library'!$A$5:$A$244,0)))))</f>
        <v>Converse with customers, citizens or staff (chat, voice, WhatsApp)</v>
      </c>
      <c r="R17" s="39" t="str">
        <f>IF(Q17="","",INDEX(Lists!$B$2:$B$11,MATCH(Q17,Lists!$A$2:$A$11,0)))</f>
        <v>Conversational AI / virtual agent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4.75</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Medium</v>
      </c>
      <c r="AA17" s="38" t="str">
        <f>IF(X17="","",IF(AND(X17&gt;=$C$4,Y17&gt;=$C$4),"Quick win",IF(X17&gt;=$C$4,"Strategic bet",IF(Y17&gt;=$C$4,"Fill-in","Deprioritise"))))</f>
        <v>Quick win</v>
      </c>
      <c r="AB17" s="41">
        <f>IF(X17="","",ROUND(X17*Y17*IF(Z17="High",0.85,1)*IF(W17="Redesign / standardise first",0.8,1),2))</f>
        <v>17.81</v>
      </c>
      <c r="AC17" s="42">
        <f>IF(AB17="","",RANK(AB17,$AB$8:$AB$57)+COUNTIF($AB$7:AB16,AB17))</f>
        <v>4</v>
      </c>
      <c r="AD17" s="39" t="str">
        <f>IF(AH17="","",INDEX(Lists!$AV$2:$AV$5,AH17))</f>
        <v>H1 - Now (0-6 months)</v>
      </c>
      <c r="AE17" s="43">
        <f>IF(AB17="","",ROUND(G17*12*INDEX(Lists!$F$2:$F$11,MATCH(R17,Lists!$B$2:$B$11,0)),0))</f>
        <v>3240</v>
      </c>
      <c r="AF17" s="44" t="str">
        <f>IF(OR(B17="",R17=""),"",IF(O17="Custom",INDEX(Lists!$I$2:$I$11,MATCH(R17,Lists!$B$2:$B$11,0)),INDEX('2. Use-Case Library'!$H$5:$H$244,MATCH($O17,'2. Use-Case Library'!$A$5:$A$244,0))))</f>
        <v>Authenticated bilingual virtual assistant for balances, card controls and FAQs; no financial advice; hand-off to agents.</v>
      </c>
      <c r="AG17" s="44" t="str">
        <f>IF(OR(B17="",O17="Custom"),"",INDEX('2. Use-Case Library'!$K$5:$K$244,MATCH($O17,'2. Use-Case Library'!$A$5:$A$244,0)))</f>
        <v>Authentication; disclose AI; CBB business-conduct and complaints rules.</v>
      </c>
      <c r="AH17" s="38">
        <f>IF(AB17="","",IF(AA17="Deprioritise",4,IF(W17="AI later - close data gap first",3,IF(OR(W17="Redesign / standardise first",W17="Stretch - partner or later stage",AA17="Strategic bet",Z17="High",S17=5),2,1))))</f>
        <v>1</v>
      </c>
      <c r="AI17" s="38">
        <f>IF(AC17="","",AH17*100+AC17)</f>
        <v>104</v>
      </c>
      <c r="AJ17" s="38" t="str">
        <f>IF(B17="","",IF(O17="Custom",B17,INDEX('2. Use-Case Library'!$D$5:$D$244,MATCH($O17,'2. Use-Case Library'!$A$5:$A$244,0))))</f>
        <v>Banking virtual assistant</v>
      </c>
    </row>
    <row r="18" ht="52" customHeight="1">
      <c r="A18" s="14" t="n">
        <v>11</v>
      </c>
      <c r="B18" s="37" t="inlineStr">
        <is>
          <t>BNK-11 | Complaints handling (CBB timelines)</t>
        </is>
      </c>
      <c r="C18" s="37" t="n"/>
      <c r="D18" s="37" t="n"/>
      <c r="E18" s="37" t="n"/>
      <c r="F18" s="37" t="inlineStr">
        <is>
          <t>Medium (100 - 1,000 a month)</t>
        </is>
      </c>
      <c r="G18" s="37" t="n">
        <v>200</v>
      </c>
      <c r="H18" s="37" t="inlineStr">
        <is>
          <t>No - varies by person / team</t>
        </is>
      </c>
      <c r="I18" s="37" t="inlineStr">
        <is>
          <t>Digital history available</t>
        </is>
      </c>
      <c r="J18" s="37" t="n">
        <v>4</v>
      </c>
      <c r="K18" s="37" t="n">
        <v>5</v>
      </c>
      <c r="L18" s="37" t="inlineStr">
        <is>
          <t>No</t>
        </is>
      </c>
      <c r="M18" s="37" t="inlineStr">
        <is>
          <t>Yes</t>
        </is>
      </c>
      <c r="N18" s="37" t="inlineStr">
        <is>
          <t>Human approves each AI output</t>
        </is>
      </c>
      <c r="O18" s="38" t="str">
        <f>IF(B18="","",IFERROR(INDEX('2. Use-Case Library'!$A$5:$A$244,MATCH(B18,'2. Use-Case Library'!$M$5:$M$244,0)),"Custom"))</f>
        <v>BNK-11</v>
      </c>
      <c r="P18" s="39" t="str">
        <f>IF(B18="","",IF(O18="Custom",IF(E18="","(select function in E)",E18),INDEX('2. Use-Case Library'!$C$5:$C$244,MATCH($O18,'2. Use-Case Library'!$A$5:$A$244,0))))</f>
        <v>Customer service</v>
      </c>
      <c r="Q18" s="39" t="str">
        <f>IF(B18="","",IF(D18&lt;&gt;"",D18,IF(O18="Custom","",INDEX('2. Use-Case Library'!$F$5:$F$244,MATCH($O18,'2. Use-Case Library'!$A$5:$A$244,0)))))</f>
        <v>Draft, summarise, translate or review text</v>
      </c>
      <c r="R18" s="39" t="str">
        <f>IF(Q18="","",INDEX(Lists!$B$2:$B$11,MATCH(Q18,Lists!$A$2:$A$11,0)))</f>
        <v>Generative AI assistant (off-the-shelf)</v>
      </c>
      <c r="S18" s="38">
        <f>IF(R18="","",INDEX(Lists!$C$2:$C$11,MATCH(R18,Lists!$B$2:$B$11,0)))</f>
        <v>3</v>
      </c>
      <c r="T18" s="38" t="str">
        <f>IF(R18="","",INDEX(Lists!$D$2:$D$11,MATCH(R18,Lists!$B$2:$B$11,0)))</f>
        <v>Yes</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Redesign / standardise first</v>
      </c>
      <c r="X18" s="41">
        <f>IF(OR(W18="",W18="Complete inputs"),"",ROUND(0.3*INDEX(Lists!$N$8:$N$10,MATCH(F18,Lists!$M$8:$M$10,0))+0.25*IF(G18&lt;20,1,IF(G18&lt;80,2,IF(G18&lt;160,3,IF(G18&lt;480,4,5))))+0.25*J18+0.2*K18,2))</f>
        <v>3.9</v>
      </c>
      <c r="Y18" s="41">
        <f>IF(X18="","",ROUND(0.3*IF(U18="Data ready",5,IF(INDEX(Lists!$N$2:$N$5,MATCH(I18,Lists!$M$2:$M$5,0))=INDEX(Lists!$E$2:$E$11,MATCH(R18,Lists!$B$2:$B$11,0))-1,3,1))+0.25*INDEX(Lists!$N$13:$N$15,MATCH(H18,Lists!$M$13:$M$15,0))+0.25*(6-S18)+0.2*IF(V18="Within current position",5,2),2))</f>
        <v>3.5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High</v>
      </c>
      <c r="AA18" s="38" t="str">
        <f>IF(X18="","",IF(AND(X18&gt;=$C$4,Y18&gt;=$C$4),"Quick win",IF(X18&gt;=$C$4,"Strategic bet",IF(Y18&gt;=$C$4,"Fill-in","Deprioritise"))))</f>
        <v>Quick win</v>
      </c>
      <c r="AB18" s="41">
        <f>IF(X18="","",ROUND(X18*Y18*IF(Z18="High",0.85,1)*IF(W18="Redesign / standardise first",0.8,1),2))</f>
        <v>9.28</v>
      </c>
      <c r="AC18" s="42">
        <f>IF(AB18="","",RANK(AB18,$AB$8:$AB$57)+COUNTIF($AB$7:AB17,AB18))</f>
        <v>24</v>
      </c>
      <c r="AD18" s="39" t="str">
        <f>IF(AH18="","",INDEX(Lists!$AV$2:$AV$5,AH18))</f>
        <v>H2 - Next (6-12 months)</v>
      </c>
      <c r="AE18" s="43">
        <f>IF(AB18="","",ROUND(G18*12*INDEX(Lists!$F$2:$F$11,MATCH(R18,Lists!$B$2:$B$11,0)),0))</f>
        <v>720</v>
      </c>
      <c r="AF18" s="44" t="str">
        <f>IF(OR(B18="",R18=""),"",IF(O18="Custom",INDEX(Lists!$I$2:$I$11,MATCH(R18,Lists!$B$2:$B$11,0)),INDEX('2. Use-Case Library'!$H$5:$H$244,MATCH($O18,'2. Use-Case Library'!$A$5:$A$244,0))))</f>
        <v>GenAI categorisation and draft responses with workflow deadline tracking and root-cause reporting.</v>
      </c>
      <c r="AG18" s="44" t="str">
        <f>IF(OR(B18="",O18="Custom"),"",INDEX('2. Use-Case Library'!$K$5:$K$244,MATCH($O18,'2. Use-Case Library'!$A$5:$A$244,0)))</f>
        <v>CBB complaints-handling requirements; human-approved responses.</v>
      </c>
      <c r="AH18" s="38">
        <f>IF(AB18="","",IF(AA18="Deprioritise",4,IF(W18="AI later - close data gap first",3,IF(OR(W18="Redesign / standardise first",W18="Stretch - partner or later stage",AA18="Strategic bet",Z18="High",S18=5),2,1))))</f>
        <v>2</v>
      </c>
      <c r="AI18" s="38">
        <f>IF(AC18="","",AH18*100+AC18)</f>
        <v>224</v>
      </c>
      <c r="AJ18" s="38" t="str">
        <f>IF(B18="","",IF(O18="Custom",B18,INDEX('2. Use-Case Library'!$D$5:$D$244,MATCH($O18,'2. Use-Case Library'!$A$5:$A$244,0))))</f>
        <v>Complaints handling (CBB timelines)</v>
      </c>
    </row>
    <row r="19" ht="52" customHeight="1">
      <c r="A19" s="14" t="n">
        <v>12</v>
      </c>
      <c r="B19" s="37" t="inlineStr">
        <is>
          <t>BNK-12 | Collections prioritisation</t>
        </is>
      </c>
      <c r="C19" s="37" t="n"/>
      <c r="D19" s="37" t="n"/>
      <c r="E19" s="37" t="n"/>
      <c r="F19" s="37" t="inlineStr">
        <is>
          <t>High (more than 1,000 a month)</t>
        </is>
      </c>
      <c r="G19" s="37" t="n">
        <v>400</v>
      </c>
      <c r="H19" s="37" t="inlineStr">
        <is>
          <t>Partly - common steps, some variation</t>
        </is>
      </c>
      <c r="I19" s="37" t="inlineStr">
        <is>
          <t>Partial or paper-based</t>
        </is>
      </c>
      <c r="J19" s="37" t="n">
        <v>4</v>
      </c>
      <c r="K19" s="37" t="n">
        <v>4</v>
      </c>
      <c r="L19" s="37" t="inlineStr">
        <is>
          <t>Yes</t>
        </is>
      </c>
      <c r="M19" s="37" t="inlineStr">
        <is>
          <t>Yes</t>
        </is>
      </c>
      <c r="N19" s="37" t="inlineStr">
        <is>
          <t>Human approves each AI output</t>
        </is>
      </c>
      <c r="O19" s="38" t="str">
        <f>IF(B19="","",IFERROR(INDEX('2. Use-Case Library'!$A$5:$A$244,MATCH(B19,'2. Use-Case Library'!$M$5:$M$244,0)),"Custom"))</f>
        <v>BNK-12</v>
      </c>
      <c r="P19" s="39" t="str">
        <f>IF(B19="","",IF(O19="Custom",IF(E19="","(select function in E)",E19),INDEX('2. Use-Case Library'!$C$5:$C$244,MATCH($O19,'2. Use-Case Library'!$A$5:$A$244,0))))</f>
        <v>Core operations &amp; service delivery</v>
      </c>
      <c r="Q19" s="39" t="str">
        <f>IF(B19="","",IF(D19&lt;&gt;"",D19,IF(O19="Custom","",INDEX('2. Use-Case Library'!$F$5:$F$244,MATCH($O19,'2. Use-Case Library'!$A$5:$A$244,0)))))</f>
        <v>Forecast, score, classify or detect anomalies from historical data</v>
      </c>
      <c r="R19" s="39" t="str">
        <f>IF(Q19="","",INDEX(Lists!$B$2:$B$11,MATCH(Q19,Lists!$A$2:$A$11,0)))</f>
        <v>Predictive analytics / machine learning</v>
      </c>
      <c r="S19" s="38">
        <f>IF(R19="","",INDEX(Lists!$C$2:$C$11,MATCH(R19,Lists!$B$2:$B$11,0)))</f>
        <v>5</v>
      </c>
      <c r="T19" s="38" t="str">
        <f>IF(R19="","",INDEX(Lists!$D$2:$D$11,MATCH(R19,Lists!$B$2:$B$11,0)))</f>
        <v>Yes</v>
      </c>
      <c r="U19" s="38" t="str">
        <f>IF(OR(R19="",I19=""),"",IF(INDEX(Lists!$N$2:$N$5,MATCH(I19,Lists!$M$2:$M$5,0))&gt;=INDEX(Lists!$E$2:$E$11,MATCH(R19,Lists!$B$2:$B$11,0)),"Data ready","Data gap"))</f>
        <v>Data gap</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AI later - close data gap first</v>
      </c>
      <c r="X19" s="41">
        <f>IF(OR(W19="",W19="Complete inputs"),"",ROUND(0.3*INDEX(Lists!$N$8:$N$10,MATCH(F19,Lists!$M$8:$M$10,0))+0.25*IF(G19&lt;20,1,IF(G19&lt;80,2,IF(G19&lt;160,3,IF(G19&lt;480,4,5))))+0.25*J19+0.2*K19,2))</f>
        <v>4.3</v>
      </c>
      <c r="Y19" s="41">
        <f>IF(X19="","",ROUND(0.3*IF(U19="Data ready",5,IF(INDEX(Lists!$N$2:$N$5,MATCH(I19,Lists!$M$2:$M$5,0))=INDEX(Lists!$E$2:$E$11,MATCH(R19,Lists!$B$2:$B$11,0))-1,3,1))+0.25*INDEX(Lists!$N$13:$N$15,MATCH(H19,Lists!$M$13:$M$15,0))+0.25*(6-S19)+0.2*IF(V19="Within current position",5,2),2))</f>
        <v>2.9</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High</v>
      </c>
      <c r="AA19" s="38" t="str">
        <f>IF(X19="","",IF(AND(X19&gt;=$C$4,Y19&gt;=$C$4),"Quick win",IF(X19&gt;=$C$4,"Strategic bet",IF(Y19&gt;=$C$4,"Fill-in","Deprioritise"))))</f>
        <v>Strategic bet</v>
      </c>
      <c r="AB19" s="41">
        <f>IF(X19="","",ROUND(X19*Y19*IF(Z19="High",0.85,1)*IF(W19="Redesign / standardise first",0.8,1),2))</f>
        <v>10.6</v>
      </c>
      <c r="AC19" s="42">
        <f>IF(AB19="","",RANK(AB19,$AB$8:$AB$57)+COUNTIF($AB$7:AB18,AB19))</f>
        <v>22</v>
      </c>
      <c r="AD19" s="39" t="str">
        <f>IF(AH19="","",INDEX(Lists!$AV$2:$AV$5,AH19))</f>
        <v>H3 - Later (12-24 months)</v>
      </c>
      <c r="AE19" s="43">
        <f>IF(AB19="","",ROUND(G19*12*INDEX(Lists!$F$2:$F$11,MATCH(R19,Lists!$B$2:$B$11,0)),0))</f>
        <v>960</v>
      </c>
      <c r="AF19" s="44" t="str">
        <f>IF(OR(B19="",R19=""),"",IF(O19="Custom",INDEX(Lists!$I$2:$I$11,MATCH(R19,Lists!$B$2:$B$11,0)),INDEX('2. Use-Case Library'!$H$5:$H$244,MATCH($O19,'2. Use-Case Library'!$A$5:$A$244,0))))</f>
        <v>ML roll-rate models prioritise accounts and channel; treatment strategies approved by credit risk.</v>
      </c>
      <c r="AG19" s="44" t="str">
        <f>IF(OR(B19="",O19="Custom"),"",INDEX('2. Use-Case Library'!$K$5:$K$244,MATCH($O19,'2. Use-Case Library'!$A$5:$A$244,0)))</f>
        <v>Fair treatment of customers; avoid sensitive attributes.</v>
      </c>
      <c r="AH19" s="38">
        <f>IF(AB19="","",IF(AA19="Deprioritise",4,IF(W19="AI later - close data gap first",3,IF(OR(W19="Redesign / standardise first",W19="Stretch - partner or later stage",AA19="Strategic bet",Z19="High",S19=5),2,1))))</f>
        <v>3</v>
      </c>
      <c r="AI19" s="38">
        <f>IF(AC19="","",AH19*100+AC19)</f>
        <v>322</v>
      </c>
      <c r="AJ19" s="38" t="str">
        <f>IF(B19="","",IF(O19="Custom",B19,INDEX('2. Use-Case Library'!$D$5:$D$244,MATCH($O19,'2. Use-Case Library'!$A$5:$A$244,0))))</f>
        <v>Collections prioritisation</v>
      </c>
    </row>
    <row r="20" ht="52" customHeight="1">
      <c r="A20" s="14" t="n">
        <v>13</v>
      </c>
      <c r="B20" s="37" t="inlineStr">
        <is>
          <t>BNK-13 | Regulatory reporting (CBB returns)</t>
        </is>
      </c>
      <c r="C20" s="37" t="n"/>
      <c r="D20" s="37" t="n"/>
      <c r="E20" s="37" t="n"/>
      <c r="F20" s="37" t="inlineStr">
        <is>
          <t>Low (fewer than 100 a month)</t>
        </is>
      </c>
      <c r="G20" s="37" t="n">
        <v>300</v>
      </c>
      <c r="H20" s="37" t="inlineStr">
        <is>
          <t>Partly - common steps, some variation</t>
        </is>
      </c>
      <c r="I20" s="37" t="inlineStr">
        <is>
          <t>Digital history available</t>
        </is>
      </c>
      <c r="J20" s="37" t="n">
        <v>5</v>
      </c>
      <c r="K20" s="37" t="n">
        <v>3</v>
      </c>
      <c r="L20" s="37" t="inlineStr">
        <is>
          <t>No</t>
        </is>
      </c>
      <c r="M20" s="37" t="inlineStr">
        <is>
          <t>No</t>
        </is>
      </c>
      <c r="N20" s="37" t="inlineStr">
        <is>
          <t>Human approves each AI output</t>
        </is>
      </c>
      <c r="O20" s="38" t="str">
        <f>IF(B20="","",IFERROR(INDEX('2. Use-Case Library'!$A$5:$A$244,MATCH(B20,'2. Use-Case Library'!$M$5:$M$244,0)),"Custom"))</f>
        <v>BNK-13</v>
      </c>
      <c r="P20" s="39" t="str">
        <f>IF(B20="","",IF(O20="Custom",IF(E20="","(select function in E)",E20),INDEX('2. Use-Case Library'!$C$5:$C$244,MATCH($O20,'2. Use-Case Library'!$A$5:$A$244,0))))</f>
        <v>Risk, compliance &amp; legal</v>
      </c>
      <c r="Q20" s="39" t="str">
        <f>IF(B20="","",IF(D20&lt;&gt;"",D20,IF(O20="Custom","",INDEX('2. Use-Case Library'!$F$5:$F$244,MATCH($O20,'2. Use-Case Library'!$A$5:$A$244,0)))))</f>
        <v>Produce reports, dashboards or reconciliations from existing data</v>
      </c>
      <c r="R20" s="39" t="str">
        <f>IF(Q20="","",INDEX(Lists!$B$2:$B$11,MATCH(Q20,Lists!$A$2:$A$11,0)))</f>
        <v>BI, dashboards &amp; reconciliation automation</v>
      </c>
      <c r="S20" s="38">
        <f>IF(R20="","",INDEX(Lists!$C$2:$C$11,MATCH(R20,Lists!$B$2:$B$11,0)))</f>
        <v>2</v>
      </c>
      <c r="T20" s="38" t="str">
        <f>IF(R20="","",INDEX(Lists!$D$2:$D$11,MATCH(R20,Lists!$B$2:$B$11,0)))</f>
        <v>No</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Automate - AI not needed</v>
      </c>
      <c r="X20" s="41">
        <f>IF(OR(W20="",W20="Complete inputs"),"",ROUND(0.3*INDEX(Lists!$N$8:$N$10,MATCH(F20,Lists!$M$8:$M$10,0))+0.25*IF(G20&lt;20,1,IF(G20&lt;80,2,IF(G20&lt;160,3,IF(G20&lt;480,4,5))))+0.25*J20+0.2*K20,2))</f>
        <v>3.15</v>
      </c>
      <c r="Y20" s="41">
        <f>IF(X20="","",ROUND(0.3*IF(U20="Data ready",5,IF(INDEX(Lists!$N$2:$N$5,MATCH(I20,Lists!$M$2:$M$5,0))=INDEX(Lists!$E$2:$E$11,MATCH(R20,Lists!$B$2:$B$11,0))-1,3,1))+0.25*INDEX(Lists!$N$13:$N$15,MATCH(H20,Lists!$M$13:$M$15,0))+0.25*(6-S20)+0.2*IF(V20="Within current position",5,2),2))</f>
        <v>4.25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Low</v>
      </c>
      <c r="AA20" s="38" t="str">
        <f>IF(X20="","",IF(AND(X20&gt;=$C$4,Y20&gt;=$C$4),"Quick win",IF(X20&gt;=$C$4,"Strategic bet",IF(Y20&gt;=$C$4,"Fill-in","Deprioritise"))))</f>
        <v>Fill-in</v>
      </c>
      <c r="AB20" s="41">
        <f>IF(X20="","",ROUND(X20*Y20*IF(Z20="High",0.85,1)*IF(W20="Redesign / standardise first",0.8,1),2))</f>
        <v>13.39</v>
      </c>
      <c r="AC20" s="42">
        <f>IF(AB20="","",RANK(AB20,$AB$8:$AB$57)+COUNTIF($AB$7:AB19,AB20))</f>
        <v>17</v>
      </c>
      <c r="AD20" s="39" t="str">
        <f>IF(AH20="","",INDEX(Lists!$AV$2:$AV$5,AH20))</f>
        <v>H1 - Now (0-6 months)</v>
      </c>
      <c r="AE20" s="43">
        <f>IF(AB20="","",ROUND(G20*12*INDEX(Lists!$F$2:$F$11,MATCH(R20,Lists!$B$2:$B$11,0)),0))</f>
        <v>900</v>
      </c>
      <c r="AF20" s="44" t="str">
        <f>IF(OR(B20="",R20=""),"",IF(O20="Custom",INDEX(Lists!$I$2:$I$11,MATCH(R20,Lists!$B$2:$B$11,0)),INDEX('2. Use-Case Library'!$H$5:$H$244,MATCH($O20,'2. Use-Case Library'!$A$5:$A$244,0))))</f>
        <v>Automated data lineage, validation rules and return population with reconciliation to GL (BCBS 239 principles).</v>
      </c>
      <c r="AG20" s="44" t="str">
        <f>IF(OR(B20="",O20="Custom"),"",INDEX('2. Use-Case Library'!$K$5:$K$244,MATCH($O20,'2. Use-Case Library'!$A$5:$A$244,0)))</f>
        <v>CBB reporting accuracy; maker-checker.</v>
      </c>
      <c r="AH20" s="38">
        <f>IF(AB20="","",IF(AA20="Deprioritise",4,IF(W20="AI later - close data gap first",3,IF(OR(W20="Redesign / standardise first",W20="Stretch - partner or later stage",AA20="Strategic bet",Z20="High",S20=5),2,1))))</f>
        <v>1</v>
      </c>
      <c r="AI20" s="38">
        <f>IF(AC20="","",AH20*100+AC20)</f>
        <v>117</v>
      </c>
      <c r="AJ20" s="38" t="str">
        <f>IF(B20="","",IF(O20="Custom",B20,INDEX('2. Use-Case Library'!$D$5:$D$244,MATCH($O20,'2. Use-Case Library'!$A$5:$A$244,0))))</f>
        <v>Regulatory reporting (CBB returns)</v>
      </c>
    </row>
    <row r="21" ht="52" customHeight="1">
      <c r="A21" s="14" t="n">
        <v>14</v>
      </c>
      <c r="B21" s="37" t="inlineStr">
        <is>
          <t>BNK-15 | ATM &amp; branch cash forecasting</t>
        </is>
      </c>
      <c r="C21" s="37" t="n"/>
      <c r="D21" s="37" t="n"/>
      <c r="E21" s="37" t="n"/>
      <c r="F21" s="37" t="inlineStr">
        <is>
          <t>Medium (100 - 1,000 a month)</t>
        </is>
      </c>
      <c r="G21" s="37" t="n">
        <v>80</v>
      </c>
      <c r="H21" s="37" t="inlineStr">
        <is>
          <t>Yes - documented and consistent</t>
        </is>
      </c>
      <c r="I21" s="37" t="inlineStr">
        <is>
          <t>Digital history with recorded outcomes</t>
        </is>
      </c>
      <c r="J21" s="37" t="n">
        <v>3</v>
      </c>
      <c r="K21" s="37" t="n">
        <v>3</v>
      </c>
      <c r="L21" s="37" t="inlineStr">
        <is>
          <t>No</t>
        </is>
      </c>
      <c r="M21" s="37" t="inlineStr">
        <is>
          <t>No</t>
        </is>
      </c>
      <c r="N21" s="37" t="inlineStr">
        <is>
          <t>Human approves each AI output</t>
        </is>
      </c>
      <c r="O21" s="38" t="str">
        <f>IF(B21="","",IFERROR(INDEX('2. Use-Case Library'!$A$5:$A$244,MATCH(B21,'2. Use-Case Library'!$M$5:$M$244,0)),"Custom"))</f>
        <v>BNK-15</v>
      </c>
      <c r="P21" s="39" t="str">
        <f>IF(B21="","",IF(O21="Custom",IF(E21="","(select function in E)",E21),INDEX('2. Use-Case Library'!$C$5:$C$244,MATCH($O21,'2. Use-Case Library'!$A$5:$A$244,0))))</f>
        <v>Assets, facilities &amp; maintenance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ready</v>
      </c>
      <c r="V21" s="39" t="str">
        <f>IF(R21="","",IF(S21&lt;=IF('1. AI Position'!$C$30="",5,INDEX(Lists!$AI$2:$AI$5,'1. AI Position'!$C$30)),"Within current position","Beyond current position"))</f>
        <v>Within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fit now</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4</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Low</v>
      </c>
      <c r="AA21" s="38" t="str">
        <f>IF(X21="","",IF(AND(X21&gt;=$C$4,Y21&gt;=$C$4),"Quick win",IF(X21&gt;=$C$4,"Strategic bet",IF(Y21&gt;=$C$4,"Fill-in","Deprioritise"))))</f>
        <v>Fill-in</v>
      </c>
      <c r="AB21" s="41">
        <f>IF(X21="","",ROUND(X21*Y21*IF(Z21="High",0.85,1)*IF(W21="Redesign / standardise first",0.8,1),2))</f>
        <v>12</v>
      </c>
      <c r="AC21" s="42">
        <f>IF(AB21="","",RANK(AB21,$AB$8:$AB$57)+COUNTIF($AB$7:AB20,AB21))</f>
        <v>19</v>
      </c>
      <c r="AD21" s="39" t="str">
        <f>IF(AH21="","",INDEX(Lists!$AV$2:$AV$5,AH21))</f>
        <v>H2 - Next (6-12 months)</v>
      </c>
      <c r="AE21" s="43">
        <f>IF(AB21="","",ROUND(G21*12*INDEX(Lists!$F$2:$F$11,MATCH(R21,Lists!$B$2:$B$11,0)),0))</f>
        <v>192</v>
      </c>
      <c r="AF21" s="44" t="str">
        <f>IF(OR(B21="",R21=""),"",IF(O21="Custom",INDEX(Lists!$I$2:$I$11,MATCH(R21,Lists!$B$2:$B$11,0)),INDEX('2. Use-Case Library'!$H$5:$H$244,MATCH($O21,'2. Use-Case Library'!$A$5:$A$244,0))))</f>
        <v>ML cash-demand forecasting and optimised replenishment schedules.</v>
      </c>
      <c r="AG21" s="44" t="str">
        <f>IF(OR(B21="",O21="Custom"),"",INDEX('2. Use-Case Library'!$K$5:$K$244,MATCH($O21,'2. Use-Case Library'!$A$5:$A$244,0)))</f>
        <v>-</v>
      </c>
      <c r="AH21" s="38">
        <f>IF(AB21="","",IF(AA21="Deprioritise",4,IF(W21="AI later - close data gap first",3,IF(OR(W21="Redesign / standardise first",W21="Stretch - partner or later stage",AA21="Strategic bet",Z21="High",S21=5),2,1))))</f>
        <v>2</v>
      </c>
      <c r="AI21" s="38">
        <f>IF(AC21="","",AH21*100+AC21)</f>
        <v>219</v>
      </c>
      <c r="AJ21" s="38" t="str">
        <f>IF(B21="","",IF(O21="Custom",B21,INDEX('2. Use-Case Library'!$D$5:$D$244,MATCH($O21,'2. Use-Case Library'!$A$5:$A$244,0))))</f>
        <v>ATM &amp; branch cash forecasting</v>
      </c>
    </row>
    <row r="22" ht="52" customHeight="1">
      <c r="A22" s="14" t="n">
        <v>15</v>
      </c>
      <c r="B22" s="37" t="inlineStr">
        <is>
          <t>BNK-16 | Corporate onboarding (KYB)</t>
        </is>
      </c>
      <c r="C22" s="37" t="n"/>
      <c r="D22" s="37" t="n"/>
      <c r="E22" s="37" t="n"/>
      <c r="F22" s="37" t="inlineStr">
        <is>
          <t>Medium (100 - 1,000 a month)</t>
        </is>
      </c>
      <c r="G22" s="37" t="n">
        <v>250</v>
      </c>
      <c r="H22" s="37" t="inlineStr">
        <is>
          <t>Partly - common steps, some variation</t>
        </is>
      </c>
      <c r="I22" s="37" t="inlineStr">
        <is>
          <t>Digital history available</t>
        </is>
      </c>
      <c r="J22" s="37" t="n">
        <v>4</v>
      </c>
      <c r="K22" s="37" t="n">
        <v>4</v>
      </c>
      <c r="L22" s="37" t="inlineStr">
        <is>
          <t>No</t>
        </is>
      </c>
      <c r="M22" s="37" t="inlineStr">
        <is>
          <t>Yes</t>
        </is>
      </c>
      <c r="N22" s="37" t="inlineStr">
        <is>
          <t>Human approves each AI output</t>
        </is>
      </c>
      <c r="O22" s="38" t="str">
        <f>IF(B22="","",IFERROR(INDEX('2. Use-Case Library'!$A$5:$A$244,MATCH(B22,'2. Use-Case Library'!$M$5:$M$244,0)),"Custom"))</f>
        <v>BNK-16</v>
      </c>
      <c r="P22" s="39" t="str">
        <f>IF(B22="","",IF(O22="Custom",IF(E22="","(select function in E)",E22),INDEX('2. Use-Case Library'!$C$5:$C$244,MATCH($O22,'2. Use-Case Library'!$A$5:$A$244,0))))</f>
        <v>Core operations &amp; service delivery</v>
      </c>
      <c r="Q22" s="39" t="str">
        <f>IF(B22="","",IF(D22&lt;&gt;"",D22,IF(O22="Custom","",INDEX('2. Use-Case Library'!$F$5:$F$244,MATCH($O22,'2. Use-Case Library'!$A$5:$A$244,0)))))</f>
        <v>Extract information from documents, forms or emails</v>
      </c>
      <c r="R22" s="39" t="str">
        <f>IF(Q22="","",INDEX(Lists!$B$2:$B$11,MATCH(Q22,Lists!$A$2:$A$11,0)))</f>
        <v>Intelligent document processing (IDP)</v>
      </c>
      <c r="S22" s="38">
        <f>IF(R22="","",INDEX(Lists!$C$2:$C$11,MATCH(R22,Lists!$B$2:$B$11,0)))</f>
        <v>3</v>
      </c>
      <c r="T22" s="38" t="str">
        <f>IF(R22="","",INDEX(Lists!$D$2:$D$11,MATCH(R22,Lists!$B$2:$B$11,0)))</f>
        <v>Light</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3.7</v>
      </c>
      <c r="Y22" s="41">
        <f>IF(X22="","",ROUND(0.3*IF(U22="Data ready",5,IF(INDEX(Lists!$N$2:$N$5,MATCH(I22,Lists!$M$2:$M$5,0))=INDEX(Lists!$E$2:$E$11,MATCH(R22,Lists!$B$2:$B$11,0))-1,3,1))+0.25*INDEX(Lists!$N$13:$N$15,MATCH(H22,Lists!$M$13:$M$15,0))+0.25*(6-S22)+0.2*IF(V22="Within current position",5,2),2))</f>
        <v>4</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Medium</v>
      </c>
      <c r="AA22" s="38" t="str">
        <f>IF(X22="","",IF(AND(X22&gt;=$C$4,Y22&gt;=$C$4),"Quick win",IF(X22&gt;=$C$4,"Strategic bet",IF(Y22&gt;=$C$4,"Fill-in","Deprioritise"))))</f>
        <v>Quick win</v>
      </c>
      <c r="AB22" s="41">
        <f>IF(X22="","",ROUND(X22*Y22*IF(Z22="High",0.85,1)*IF(W22="Redesign / standardise first",0.8,1),2))</f>
        <v>14.8</v>
      </c>
      <c r="AC22" s="42">
        <f>IF(AB22="","",RANK(AB22,$AB$8:$AB$57)+COUNTIF($AB$7:AB21,AB22))</f>
        <v>14</v>
      </c>
      <c r="AD22" s="39" t="str">
        <f>IF(AH22="","",INDEX(Lists!$AV$2:$AV$5,AH22))</f>
        <v>H1 - Now (0-6 months)</v>
      </c>
      <c r="AE22" s="43">
        <f>IF(AB22="","",ROUND(G22*12*INDEX(Lists!$F$2:$F$11,MATCH(R22,Lists!$B$2:$B$11,0)),0))</f>
        <v>1500</v>
      </c>
      <c r="AF22" s="44" t="str">
        <f>IF(OR(B22="",R22=""),"",IF(O22="Custom",INDEX(Lists!$I$2:$I$11,MATCH(R22,Lists!$B$2:$B$11,0)),INDEX('2. Use-Case Library'!$H$5:$H$244,MATCH($O22,'2. Use-Case Library'!$A$5:$A$244,0))))</f>
        <v>IDP of commercial registration and constitutional documents, ownership-structure extraction and GenAI file summary for the analyst.</v>
      </c>
      <c r="AG22" s="44" t="str">
        <f>IF(OR(B22="",O22="Custom"),"",INDEX('2. Use-Case Library'!$K$5:$K$244,MATCH($O22,'2. Use-Case Library'!$A$5:$A$244,0)))</f>
        <v>UBO identification (CBB FC; FATF R.24).</v>
      </c>
      <c r="AH22" s="38">
        <f>IF(AB22="","",IF(AA22="Deprioritise",4,IF(W22="AI later - close data gap first",3,IF(OR(W22="Redesign / standardise first",W22="Stretch - partner or later stage",AA22="Strategic bet",Z22="High",S22=5),2,1))))</f>
        <v>1</v>
      </c>
      <c r="AI22" s="38">
        <f>IF(AC22="","",AH22*100+AC22)</f>
        <v>114</v>
      </c>
      <c r="AJ22" s="38" t="str">
        <f>IF(B22="","",IF(O22="Custom",B22,INDEX('2. Use-Case Library'!$D$5:$D$244,MATCH($O22,'2. Use-Case Library'!$A$5:$A$244,0))))</f>
        <v>Corporate onboarding (KYB)</v>
      </c>
    </row>
    <row r="23" ht="52" customHeight="1">
      <c r="A23" s="14" t="n">
        <v>16</v>
      </c>
      <c r="B23" s="37" t="inlineStr">
        <is>
          <t>BNK-20 | Card dispute &amp; chargeback handling</t>
        </is>
      </c>
      <c r="C23" s="37" t="n"/>
      <c r="D23" s="37" t="n"/>
      <c r="E23" s="37" t="n"/>
      <c r="F23" s="37" t="inlineStr">
        <is>
          <t>High (more than 1,000 a month)</t>
        </is>
      </c>
      <c r="G23" s="37" t="n">
        <v>300</v>
      </c>
      <c r="H23" s="37" t="inlineStr">
        <is>
          <t>Yes - documented and consistent</t>
        </is>
      </c>
      <c r="I23" s="37" t="inlineStr">
        <is>
          <t>Partial or paper-based</t>
        </is>
      </c>
      <c r="J23" s="37" t="n">
        <v>3</v>
      </c>
      <c r="K23" s="37" t="n">
        <v>4</v>
      </c>
      <c r="L23" s="37" t="inlineStr">
        <is>
          <t>No</t>
        </is>
      </c>
      <c r="M23" s="37" t="inlineStr">
        <is>
          <t>Yes</t>
        </is>
      </c>
      <c r="N23" s="37" t="inlineStr">
        <is>
          <t>Human approves each AI output</t>
        </is>
      </c>
      <c r="O23" s="38" t="str">
        <f>IF(B23="","",IFERROR(INDEX('2. Use-Case Library'!$A$5:$A$244,MATCH(B23,'2. Use-Case Library'!$M$5:$M$244,0)),"Custom"))</f>
        <v>BNK-20</v>
      </c>
      <c r="P23" s="39" t="str">
        <f>IF(B23="","",IF(O23="Custom",IF(E23="","(select function in E)",E23),INDEX('2. Use-Case Library'!$C$5:$C$244,MATCH($O23,'2. Use-Case Library'!$A$5:$A$244,0))))</f>
        <v>Customer service</v>
      </c>
      <c r="Q23" s="39" t="str">
        <f>IF(B23="","",IF(D23&lt;&gt;"",D23,IF(O23="Custom","",INDEX('2. Use-Case Library'!$F$5:$F$244,MATCH($O23,'2. Use-Case Library'!$A$5:$A$244,0)))))</f>
        <v>Coordinate multi-step work across systems that needs judgement</v>
      </c>
      <c r="R23" s="39" t="str">
        <f>IF(Q23="","",INDEX(Lists!$B$2:$B$11,MATCH(Q23,Lists!$A$2:$A$11,0)))</f>
        <v>Agentic AI (supervised agents)</v>
      </c>
      <c r="S23" s="38">
        <f>IF(R23="","",INDEX(Lists!$C$2:$C$11,MATCH(R23,Lists!$B$2:$B$11,0)))</f>
        <v>5</v>
      </c>
      <c r="T23" s="38" t="str">
        <f>IF(R23="","",INDEX(Lists!$D$2:$D$11,MATCH(R23,Lists!$B$2:$B$11,0)))</f>
        <v>Yes</v>
      </c>
      <c r="U23" s="38" t="str">
        <f>IF(OR(R23="",I23=""),"",IF(INDEX(Lists!$N$2:$N$5,MATCH(I23,Lists!$M$2:$M$5,0))&gt;=INDEX(Lists!$E$2:$E$11,MATCH(R23,Lists!$B$2:$B$11,0)),"Data ready","Data gap"))</f>
        <v>Data gap</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later - close data gap first</v>
      </c>
      <c r="X23" s="41">
        <f>IF(OR(W23="",W23="Complete inputs"),"",ROUND(0.3*INDEX(Lists!$N$8:$N$10,MATCH(F23,Lists!$M$8:$M$10,0))+0.25*IF(G23&lt;20,1,IF(G23&lt;80,2,IF(G23&lt;160,3,IF(G23&lt;480,4,5))))+0.25*J23+0.2*K23,2))</f>
        <v>4.05</v>
      </c>
      <c r="Y23" s="41">
        <f>IF(X23="","",ROUND(0.3*IF(U23="Data ready",5,IF(INDEX(Lists!$N$2:$N$5,MATCH(I23,Lists!$M$2:$M$5,0))=INDEX(Lists!$E$2:$E$11,MATCH(R23,Lists!$B$2:$B$11,0))-1,3,1))+0.25*INDEX(Lists!$N$13:$N$15,MATCH(H23,Lists!$M$13:$M$15,0))+0.25*(6-S23)+0.2*IF(V23="Within current position",5,2),2))</f>
        <v>3.4</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Medium</v>
      </c>
      <c r="AA23" s="38" t="str">
        <f>IF(X23="","",IF(AND(X23&gt;=$C$4,Y23&gt;=$C$4),"Quick win",IF(X23&gt;=$C$4,"Strategic bet",IF(Y23&gt;=$C$4,"Fill-in","Deprioritise"))))</f>
        <v>Quick win</v>
      </c>
      <c r="AB23" s="41">
        <f>IF(X23="","",ROUND(X23*Y23*IF(Z23="High",0.85,1)*IF(W23="Redesign / standardise first",0.8,1),2))</f>
        <v>13.77</v>
      </c>
      <c r="AC23" s="42">
        <f>IF(AB23="","",RANK(AB23,$AB$8:$AB$57)+COUNTIF($AB$7:AB22,AB23))</f>
        <v>16</v>
      </c>
      <c r="AD23" s="39" t="str">
        <f>IF(AH23="","",INDEX(Lists!$AV$2:$AV$5,AH23))</f>
        <v>H3 - Later (12-24 months)</v>
      </c>
      <c r="AE23" s="43">
        <f>IF(AB23="","",ROUND(G23*12*INDEX(Lists!$F$2:$F$11,MATCH(R23,Lists!$B$2:$B$11,0)),0))</f>
        <v>1440</v>
      </c>
      <c r="AF23" s="44" t="str">
        <f>IF(OR(B23="",R23=""),"",IF(O23="Custom",INDEX(Lists!$I$2:$I$11,MATCH(R23,Lists!$B$2:$B$11,0)),INDEX('2. Use-Case Library'!$H$5:$H$244,MATCH($O23,'2. Use-Case Library'!$A$5:$A$244,0))))</f>
        <v>Supervised agent gathers transaction evidence, pre-fills scheme forms and proposes outcome; staff approve submission.</v>
      </c>
      <c r="AG23" s="44" t="str">
        <f>IF(OR(B23="",O23="Custom"),"",INDEX('2. Use-Case Library'!$K$5:$K$244,MATCH($O23,'2. Use-Case Library'!$A$5:$A$244,0)))</f>
        <v>Card-scheme rules; human approval of every submission; agent least privilege.</v>
      </c>
      <c r="AH23" s="38">
        <f>IF(AB23="","",IF(AA23="Deprioritise",4,IF(W23="AI later - close data gap first",3,IF(OR(W23="Redesign / standardise first",W23="Stretch - partner or later stage",AA23="Strategic bet",Z23="High",S23=5),2,1))))</f>
        <v>3</v>
      </c>
      <c r="AI23" s="38">
        <f>IF(AC23="","",AH23*100+AC23)</f>
        <v>316</v>
      </c>
      <c r="AJ23" s="38" t="str">
        <f>IF(B23="","",IF(O23="Custom",B23,INDEX('2. Use-Case Library'!$D$5:$D$244,MATCH($O23,'2. Use-Case Library'!$A$5:$A$244,0))))</f>
        <v>Card dispute &amp; chargeback handling</v>
      </c>
    </row>
    <row r="24" ht="52" customHeight="1">
      <c r="A24" s="14" t="n">
        <v>17</v>
      </c>
      <c r="B24" s="37" t="inlineStr">
        <is>
          <t>BNK-22 | Periodic KYC refresh</t>
        </is>
      </c>
      <c r="C24" s="37" t="n"/>
      <c r="D24" s="37" t="n"/>
      <c r="E24" s="37" t="n"/>
      <c r="F24" s="37" t="inlineStr">
        <is>
          <t>High (more than 1,000 a month)</t>
        </is>
      </c>
      <c r="G24" s="37" t="n">
        <v>500</v>
      </c>
      <c r="H24" s="37" t="inlineStr">
        <is>
          <t>Partly - common steps, some variation</t>
        </is>
      </c>
      <c r="I24" s="37" t="inlineStr">
        <is>
          <t>Digital history available</t>
        </is>
      </c>
      <c r="J24" s="37" t="n">
        <v>4</v>
      </c>
      <c r="K24" s="37" t="n">
        <v>4</v>
      </c>
      <c r="L24" s="37" t="inlineStr">
        <is>
          <t>No</t>
        </is>
      </c>
      <c r="M24" s="37" t="inlineStr">
        <is>
          <t>Yes</t>
        </is>
      </c>
      <c r="N24" s="37" t="inlineStr">
        <is>
          <t>Human approves each AI output</t>
        </is>
      </c>
      <c r="O24" s="38" t="str">
        <f>IF(B24="","",IFERROR(INDEX('2. Use-Case Library'!$A$5:$A$244,MATCH(B24,'2. Use-Case Library'!$M$5:$M$244,0)),"Custom"))</f>
        <v>BNK-22</v>
      </c>
      <c r="P24" s="39" t="str">
        <f>IF(B24="","",IF(O24="Custom",IF(E24="","(select function in E)",E24),INDEX('2. Use-Case Library'!$C$5:$C$244,MATCH($O24,'2. Use-Case Library'!$A$5:$A$244,0))))</f>
        <v>Risk, compliance &amp; legal</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ready</v>
      </c>
      <c r="V24" s="39" t="str">
        <f>IF(R24="","",IF(S24&lt;=IF('1. AI Position'!$C$30="",5,INDEX(Lists!$AI$2:$AI$5,'1. AI Position'!$C$30)),"Within current position","Beyond current position"))</f>
        <v>Within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AI fit now</v>
      </c>
      <c r="X24" s="41">
        <f>IF(OR(W24="",W24="Complete inputs"),"",ROUND(0.3*INDEX(Lists!$N$8:$N$10,MATCH(F24,Lists!$M$8:$M$10,0))+0.25*IF(G24&lt;20,1,IF(G24&lt;80,2,IF(G24&lt;160,3,IF(G24&lt;480,4,5))))+0.25*J24+0.2*K24,2))</f>
        <v>4.55</v>
      </c>
      <c r="Y24" s="41">
        <f>IF(X24="","",ROUND(0.3*IF(U24="Data ready",5,IF(INDEX(Lists!$N$2:$N$5,MATCH(I24,Lists!$M$2:$M$5,0))=INDEX(Lists!$E$2:$E$11,MATCH(R24,Lists!$B$2:$B$11,0))-1,3,1))+0.25*INDEX(Lists!$N$13:$N$15,MATCH(H24,Lists!$M$13:$M$15,0))+0.25*(6-S24)+0.2*IF(V24="Within current position",5,2),2))</f>
        <v>3.5</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Quick win</v>
      </c>
      <c r="AB24" s="41">
        <f>IF(X24="","",ROUND(X24*Y24*IF(Z24="High",0.85,1)*IF(W24="Redesign / standardise first",0.8,1),2))</f>
        <v>15.93</v>
      </c>
      <c r="AC24" s="42">
        <f>IF(AB24="","",RANK(AB24,$AB$8:$AB$57)+COUNTIF($AB$7:AB23,AB24))</f>
        <v>9</v>
      </c>
      <c r="AD24" s="39" t="str">
        <f>IF(AH24="","",INDEX(Lists!$AV$2:$AV$5,AH24))</f>
        <v>H2 - Next (6-12 months)</v>
      </c>
      <c r="AE24" s="43">
        <f>IF(AB24="","",ROUND(G24*12*INDEX(Lists!$F$2:$F$11,MATCH(R24,Lists!$B$2:$B$11,0)),0))</f>
        <v>2400</v>
      </c>
      <c r="AF24" s="44" t="str">
        <f>IF(OR(B24="",R24=""),"",IF(O24="Custom",INDEX(Lists!$I$2:$I$11,MATCH(R24,Lists!$B$2:$B$11,0)),INDEX('2. Use-Case Library'!$H$5:$H$244,MATCH($O24,'2. Use-Case Library'!$A$5:$A$244,0))))</f>
        <v>Supervised agent collects updated data, pre-fills the review and flags changes in risk; analyst approves.</v>
      </c>
      <c r="AG24" s="44" t="str">
        <f>IF(OR(B24="",O24="Custom"),"",INDEX('2. Use-Case Library'!$K$5:$K$244,MATCH($O24,'2. Use-Case Library'!$A$5:$A$244,0)))</f>
        <v>CBB FC; analyst accountable; agent audit trail.</v>
      </c>
      <c r="AH24" s="38">
        <f>IF(AB24="","",IF(AA24="Deprioritise",4,IF(W24="AI later - close data gap first",3,IF(OR(W24="Redesign / standardise first",W24="Stretch - partner or later stage",AA24="Strategic bet",Z24="High",S24=5),2,1))))</f>
        <v>2</v>
      </c>
      <c r="AI24" s="38">
        <f>IF(AC24="","",AH24*100+AC24)</f>
        <v>209</v>
      </c>
      <c r="AJ24" s="38" t="str">
        <f>IF(B24="","",IF(O24="Custom",B24,INDEX('2. Use-Case Library'!$D$5:$D$244,MATCH($O24,'2. Use-Case Library'!$A$5:$A$244,0))))</f>
        <v>Periodic KYC refresh</v>
      </c>
    </row>
    <row r="25" ht="52" customHeight="1">
      <c r="A25" s="14" t="n">
        <v>18</v>
      </c>
      <c r="B25" s="37" t="inlineStr">
        <is>
          <t>BNK-23 | Mortgage document verification</t>
        </is>
      </c>
      <c r="C25" s="37" t="n"/>
      <c r="D25" s="37" t="n"/>
      <c r="E25" s="37" t="n"/>
      <c r="F25" s="37" t="inlineStr">
        <is>
          <t>Medium (100 - 1,000 a month)</t>
        </is>
      </c>
      <c r="G25" s="37" t="n">
        <v>120</v>
      </c>
      <c r="H25" s="37" t="inlineStr">
        <is>
          <t>Yes - documented and consistent</t>
        </is>
      </c>
      <c r="I25" s="37" t="inlineStr">
        <is>
          <t>Digital history available</t>
        </is>
      </c>
      <c r="J25" s="37" t="n">
        <v>3</v>
      </c>
      <c r="K25" s="37" t="n">
        <v>4</v>
      </c>
      <c r="L25" s="37" t="inlineStr">
        <is>
          <t>No</t>
        </is>
      </c>
      <c r="M25" s="37" t="inlineStr">
        <is>
          <t>Yes</t>
        </is>
      </c>
      <c r="N25" s="37" t="inlineStr">
        <is>
          <t>Human approves each AI output</t>
        </is>
      </c>
      <c r="O25" s="38" t="str">
        <f>IF(B25="","",IFERROR(INDEX('2. Use-Case Library'!$A$5:$A$244,MATCH(B25,'2. Use-Case Library'!$M$5:$M$244,0)),"Custom"))</f>
        <v>BNK-23</v>
      </c>
      <c r="P25" s="39" t="str">
        <f>IF(B25="","",IF(O25="Custom",IF(E25="","(select function in E)",E25),INDEX('2. Use-Case Library'!$C$5:$C$244,MATCH($O25,'2. Use-Case Library'!$A$5:$A$244,0))))</f>
        <v>Core operations &amp; service delivery</v>
      </c>
      <c r="Q25" s="39" t="str">
        <f>IF(B25="","",IF(D25&lt;&gt;"",D25,IF(O25="Custom","",INDEX('2. Use-Case Library'!$F$5:$F$244,MATCH($O25,'2. Use-Case Library'!$A$5:$A$244,0)))))</f>
        <v>Extract information from documents, forms or emails</v>
      </c>
      <c r="R25" s="39" t="str">
        <f>IF(Q25="","",INDEX(Lists!$B$2:$B$11,MATCH(Q25,Lists!$A$2:$A$11,0)))</f>
        <v>Intelligent document processing (IDP)</v>
      </c>
      <c r="S25" s="38">
        <f>IF(R25="","",INDEX(Lists!$C$2:$C$11,MATCH(R25,Lists!$B$2:$B$11,0)))</f>
        <v>3</v>
      </c>
      <c r="T25" s="38" t="str">
        <f>IF(R25="","",INDEX(Lists!$D$2:$D$11,MATCH(R25,Lists!$B$2:$B$11,0)))</f>
        <v>Light</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AI fit now</v>
      </c>
      <c r="X25" s="41">
        <f>IF(OR(W25="",W25="Complete inputs"),"",ROUND(0.3*INDEX(Lists!$N$8:$N$10,MATCH(F25,Lists!$M$8:$M$10,0))+0.25*IF(G25&lt;20,1,IF(G25&lt;80,2,IF(G25&lt;160,3,IF(G25&lt;480,4,5))))+0.25*J25+0.2*K25,2))</f>
        <v>3.2</v>
      </c>
      <c r="Y25" s="41">
        <f>IF(X25="","",ROUND(0.3*IF(U25="Data ready",5,IF(INDEX(Lists!$N$2:$N$5,MATCH(I25,Lists!$M$2:$M$5,0))=INDEX(Lists!$E$2:$E$11,MATCH(R25,Lists!$B$2:$B$11,0))-1,3,1))+0.25*INDEX(Lists!$N$13:$N$15,MATCH(H25,Lists!$M$13:$M$15,0))+0.25*(6-S25)+0.2*IF(V25="Within current position",5,2),2))</f>
        <v>4.5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Medium</v>
      </c>
      <c r="AA25" s="38" t="str">
        <f>IF(X25="","",IF(AND(X25&gt;=$C$4,Y25&gt;=$C$4),"Quick win",IF(X25&gt;=$C$4,"Strategic bet",IF(Y25&gt;=$C$4,"Fill-in","Deprioritise"))))</f>
        <v>Fill-in</v>
      </c>
      <c r="AB25" s="41">
        <f>IF(X25="","",ROUND(X25*Y25*IF(Z25="High",0.85,1)*IF(W25="Redesign / standardise first",0.8,1),2))</f>
        <v>14.4</v>
      </c>
      <c r="AC25" s="42">
        <f>IF(AB25="","",RANK(AB25,$AB$8:$AB$57)+COUNTIF($AB$7:AB24,AB25))</f>
        <v>15</v>
      </c>
      <c r="AD25" s="39" t="str">
        <f>IF(AH25="","",INDEX(Lists!$AV$2:$AV$5,AH25))</f>
        <v>H1 - Now (0-6 months)</v>
      </c>
      <c r="AE25" s="43">
        <f>IF(AB25="","",ROUND(G25*12*INDEX(Lists!$F$2:$F$11,MATCH(R25,Lists!$B$2:$B$11,0)),0))</f>
        <v>720</v>
      </c>
      <c r="AF25" s="44" t="str">
        <f>IF(OR(B25="",R25=""),"",IF(O25="Custom",INDEX(Lists!$I$2:$I$11,MATCH(R25,Lists!$B$2:$B$11,0)),INDEX('2. Use-Case Library'!$H$5:$H$244,MATCH($O25,'2. Use-Case Library'!$A$5:$A$244,0))))</f>
        <v>IDP with authenticity checks and data comparison against application.</v>
      </c>
      <c r="AG25" s="44" t="str">
        <f>IF(OR(B25="",O25="Custom"),"",INDEX('2. Use-Case Library'!$K$5:$K$244,MATCH($O25,'2. Use-Case Library'!$A$5:$A$244,0)))</f>
        <v>Document-fraud controls.</v>
      </c>
      <c r="AH25" s="38">
        <f>IF(AB25="","",IF(AA25="Deprioritise",4,IF(W25="AI later - close data gap first",3,IF(OR(W25="Redesign / standardise first",W25="Stretch - partner or later stage",AA25="Strategic bet",Z25="High",S25=5),2,1))))</f>
        <v>1</v>
      </c>
      <c r="AI25" s="38">
        <f>IF(AC25="","",AH25*100+AC25)</f>
        <v>115</v>
      </c>
      <c r="AJ25" s="38" t="str">
        <f>IF(B25="","",IF(O25="Custom",B25,INDEX('2. Use-Case Library'!$D$5:$D$244,MATCH($O25,'2. Use-Case Library'!$A$5:$A$244,0))))</f>
        <v>Mortgage document verification</v>
      </c>
    </row>
    <row r="26" ht="52" customHeight="1">
      <c r="A26" s="14" t="n">
        <v>19</v>
      </c>
      <c r="B26" s="37" t="inlineStr">
        <is>
          <t>BNK-21 | IFRS 9 ECL staging &amp; overlays support</t>
        </is>
      </c>
      <c r="C26" s="37" t="n"/>
      <c r="D26" s="37" t="n"/>
      <c r="E26" s="37" t="n"/>
      <c r="F26" s="37" t="inlineStr">
        <is>
          <t>Low (fewer than 100 a month)</t>
        </is>
      </c>
      <c r="G26" s="37" t="n">
        <v>200</v>
      </c>
      <c r="H26" s="37" t="inlineStr">
        <is>
          <t>Partly - common steps, some variation</t>
        </is>
      </c>
      <c r="I26" s="37" t="inlineStr">
        <is>
          <t>Partial or paper-based</t>
        </is>
      </c>
      <c r="J26" s="37" t="n">
        <v>4</v>
      </c>
      <c r="K26" s="37" t="n">
        <v>4</v>
      </c>
      <c r="L26" s="37" t="inlineStr">
        <is>
          <t>No</t>
        </is>
      </c>
      <c r="M26" s="37" t="inlineStr">
        <is>
          <t>Yes</t>
        </is>
      </c>
      <c r="N26" s="37" t="inlineStr">
        <is>
          <t>Human approves each AI output</t>
        </is>
      </c>
      <c r="O26" s="38" t="str">
        <f>IF(B26="","",IFERROR(INDEX('2. Use-Case Library'!$A$5:$A$244,MATCH(B26,'2. Use-Case Library'!$M$5:$M$244,0)),"Custom"))</f>
        <v>BNK-21</v>
      </c>
      <c r="P26" s="39" t="str">
        <f>IF(B26="","",IF(O26="Custom",IF(E26="","(select function in E)",E26),INDEX('2. Use-Case Library'!$C$5:$C$244,MATCH($O26,'2. Use-Case Library'!$A$5:$A$244,0))))</f>
        <v>Risk, compliance &amp; legal</v>
      </c>
      <c r="Q26" s="39" t="str">
        <f>IF(B26="","",IF(D26&lt;&gt;"",D26,IF(O26="Custom","",INDEX('2. Use-Case Library'!$F$5:$F$244,MATCH($O26,'2. Use-Case Library'!$A$5:$A$244,0)))))</f>
        <v>Forecast, score, classify or detect anomalies from historical data</v>
      </c>
      <c r="R26" s="39" t="str">
        <f>IF(Q26="","",INDEX(Lists!$B$2:$B$11,MATCH(Q26,Lists!$A$2:$A$11,0)))</f>
        <v>Predictive analytics / machine learning</v>
      </c>
      <c r="S26" s="38">
        <f>IF(R26="","",INDEX(Lists!$C$2:$C$11,MATCH(R26,Lists!$B$2:$B$11,0)))</f>
        <v>5</v>
      </c>
      <c r="T26" s="38" t="str">
        <f>IF(R26="","",INDEX(Lists!$D$2:$D$11,MATCH(R26,Lists!$B$2:$B$11,0)))</f>
        <v>Yes</v>
      </c>
      <c r="U26" s="38" t="str">
        <f>IF(OR(R26="",I26=""),"",IF(INDEX(Lists!$N$2:$N$5,MATCH(I26,Lists!$M$2:$M$5,0))&gt;=INDEX(Lists!$E$2:$E$11,MATCH(R26,Lists!$B$2:$B$11,0)),"Data ready","Data gap"))</f>
        <v>Data gap</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AI later - close data gap first</v>
      </c>
      <c r="X26" s="41">
        <f>IF(OR(W26="",W26="Complete inputs"),"",ROUND(0.3*INDEX(Lists!$N$8:$N$10,MATCH(F26,Lists!$M$8:$M$10,0))+0.25*IF(G26&lt;20,1,IF(G26&lt;80,2,IF(G26&lt;160,3,IF(G26&lt;480,4,5))))+0.25*J26+0.2*K26,2))</f>
        <v>3.1</v>
      </c>
      <c r="Y26" s="41">
        <f>IF(X26="","",ROUND(0.3*IF(U26="Data ready",5,IF(INDEX(Lists!$N$2:$N$5,MATCH(I26,Lists!$M$2:$M$5,0))=INDEX(Lists!$E$2:$E$11,MATCH(R26,Lists!$B$2:$B$11,0))-1,3,1))+0.25*INDEX(Lists!$N$13:$N$15,MATCH(H26,Lists!$M$13:$M$15,0))+0.25*(6-S26)+0.2*IF(V26="Within current position",5,2),2))</f>
        <v>2.9</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Medium</v>
      </c>
      <c r="AA26" s="38" t="str">
        <f>IF(X26="","",IF(AND(X26&gt;=$C$4,Y26&gt;=$C$4),"Quick win",IF(X26&gt;=$C$4,"Strategic bet",IF(Y26&gt;=$C$4,"Fill-in","Deprioritise"))))</f>
        <v>Deprioritise</v>
      </c>
      <c r="AB26" s="41">
        <f>IF(X26="","",ROUND(X26*Y26*IF(Z26="High",0.85,1)*IF(W26="Redesign / standardise first",0.8,1),2))</f>
        <v>8.99</v>
      </c>
      <c r="AC26" s="42">
        <f>IF(AB26="","",RANK(AB26,$AB$8:$AB$57)+COUNTIF($AB$7:AB25,AB26))</f>
        <v>25</v>
      </c>
      <c r="AD26" s="39" t="str">
        <f>IF(AH26="","",INDEX(Lists!$AV$2:$AV$5,AH26))</f>
        <v>Backlog / not prioritised</v>
      </c>
      <c r="AE26" s="43">
        <f>IF(AB26="","",ROUND(G26*12*INDEX(Lists!$F$2:$F$11,MATCH(R26,Lists!$B$2:$B$11,0)),0))</f>
        <v>480</v>
      </c>
      <c r="AF26" s="44" t="str">
        <f>IF(OR(B26="",R26=""),"",IF(O26="Custom",INDEX(Lists!$I$2:$I$11,MATCH(R26,Lists!$B$2:$B$11,0)),INDEX('2. Use-Case Library'!$H$5:$H$244,MATCH($O26,'2. Use-Case Library'!$A$5:$A$244,0))))</f>
        <v>ML early-warning indicators to support significant-increase-in-credit-risk staging; overlays documented.</v>
      </c>
      <c r="AG26" s="44" t="str">
        <f>IF(OR(B26="",O26="Custom"),"",INDEX('2. Use-Case Library'!$K$5:$K$244,MATCH($O26,'2. Use-Case Library'!$A$5:$A$244,0)))</f>
        <v>Model risk management; auditor and CBB scrutiny.</v>
      </c>
      <c r="AH26" s="38">
        <f>IF(AB26="","",IF(AA26="Deprioritise",4,IF(W26="AI later - close data gap first",3,IF(OR(W26="Redesign / standardise first",W26="Stretch - partner or later stage",AA26="Strategic bet",Z26="High",S26=5),2,1))))</f>
        <v>4</v>
      </c>
      <c r="AI26" s="38">
        <f>IF(AC26="","",AH26*100+AC26)</f>
        <v>425</v>
      </c>
      <c r="AJ26" s="38" t="str">
        <f>IF(B26="","",IF(O26="Custom",B26,INDEX('2. Use-Case Library'!$D$5:$D$244,MATCH($O26,'2. Use-Case Library'!$A$5:$A$244,0))))</f>
        <v>IFRS 9 ECL staging &amp; overlays support</v>
      </c>
    </row>
    <row r="27" ht="52" customHeight="1">
      <c r="A27" s="14" t="n">
        <v>20</v>
      </c>
      <c r="B27" s="37" t="inlineStr">
        <is>
          <t>XI-47 | IT service desk</t>
        </is>
      </c>
      <c r="C27" s="37" t="n"/>
      <c r="D27" s="37" t="n"/>
      <c r="E27" s="37" t="n"/>
      <c r="F27" s="37" t="inlineStr">
        <is>
          <t>High (more than 1,000 a month)</t>
        </is>
      </c>
      <c r="G27" s="37" t="n">
        <v>300</v>
      </c>
      <c r="H27" s="37" t="inlineStr">
        <is>
          <t>Yes - documented and consistent</t>
        </is>
      </c>
      <c r="I27" s="37" t="inlineStr">
        <is>
          <t>Digital history available</t>
        </is>
      </c>
      <c r="J27" s="37" t="n">
        <v>3</v>
      </c>
      <c r="K27" s="37" t="n">
        <v>3</v>
      </c>
      <c r="L27" s="37" t="inlineStr">
        <is>
          <t>No</t>
        </is>
      </c>
      <c r="M27" s="37" t="inlineStr">
        <is>
          <t>No</t>
        </is>
      </c>
      <c r="N27" s="37" t="inlineStr">
        <is>
          <t>Assist - AI suggests, a person does the work</t>
        </is>
      </c>
      <c r="O27" s="38" t="str">
        <f>IF(B27="","",IFERROR(INDEX('2. Use-Case Library'!$A$5:$A$244,MATCH(B27,'2. Use-Case Library'!$M$5:$M$244,0)),"Custom"))</f>
        <v>XI-47</v>
      </c>
      <c r="P27" s="39" t="str">
        <f>IF(B27="","",IF(O27="Custom",IF(E27="","(select function in E)",E27),INDEX('2. Use-Case Library'!$C$5:$C$244,MATCH($O27,'2. Use-Case Library'!$A$5:$A$244,0))))</f>
        <v>IT &amp; cybersecurity</v>
      </c>
      <c r="Q27" s="39" t="str">
        <f>IF(B27="","",IF(D27&lt;&gt;"",D27,IF(O27="Custom","",INDEX('2. Use-Case Library'!$F$5:$F$244,MATCH($O27,'2. Use-Case Library'!$A$5:$A$244,0)))))</f>
        <v>Converse with customers, citizens or staff (chat, voice, WhatsApp)</v>
      </c>
      <c r="R27" s="39" t="str">
        <f>IF(Q27="","",INDEX(Lists!$B$2:$B$11,MATCH(Q27,Lists!$A$2:$A$11,0)))</f>
        <v>Conversational AI / virtual agent</v>
      </c>
      <c r="S27" s="38">
        <f>IF(R27="","",INDEX(Lists!$C$2:$C$11,MATCH(R27,Lists!$B$2:$B$11,0)))</f>
        <v>4</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3.85</v>
      </c>
      <c r="Y27" s="41">
        <f>IF(X27="","",ROUND(0.3*IF(U27="Data ready",5,IF(INDEX(Lists!$N$2:$N$5,MATCH(I27,Lists!$M$2:$M$5,0))=INDEX(Lists!$E$2:$E$11,MATCH(R27,Lists!$B$2:$B$11,0))-1,3,1))+0.25*INDEX(Lists!$N$13:$N$15,MATCH(H27,Lists!$M$13:$M$15,0))+0.25*(6-S27)+0.2*IF(V27="Within current position",5,2),2))</f>
        <v>4.25</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Low</v>
      </c>
      <c r="AA27" s="38" t="str">
        <f>IF(X27="","",IF(AND(X27&gt;=$C$4,Y27&gt;=$C$4),"Quick win",IF(X27&gt;=$C$4,"Strategic bet",IF(Y27&gt;=$C$4,"Fill-in","Deprioritise"))))</f>
        <v>Quick win</v>
      </c>
      <c r="AB27" s="41">
        <f>IF(X27="","",ROUND(X27*Y27*IF(Z27="High",0.85,1)*IF(W27="Redesign / standardise first",0.8,1),2))</f>
        <v>16.36</v>
      </c>
      <c r="AC27" s="42">
        <f>IF(AB27="","",RANK(AB27,$AB$8:$AB$57)+COUNTIF($AB$7:AB26,AB27))</f>
        <v>7</v>
      </c>
      <c r="AD27" s="39" t="str">
        <f>IF(AH27="","",INDEX(Lists!$AV$2:$AV$5,AH27))</f>
        <v>H1 - Now (0-6 months)</v>
      </c>
      <c r="AE27" s="43">
        <f>IF(AB27="","",ROUND(G27*12*INDEX(Lists!$F$2:$F$11,MATCH(R27,Lists!$B$2:$B$11,0)),0))</f>
        <v>1080</v>
      </c>
      <c r="AF27" s="44" t="str">
        <f>IF(OR(B27="",R27=""),"",IF(O27="Custom",INDEX(Lists!$I$2:$I$11,MATCH(R27,Lists!$B$2:$B$11,0)),INDEX('2. Use-Case Library'!$H$5:$H$244,MATCH($O27,'2. Use-Case Library'!$A$5:$A$244,0))))</f>
        <v>Virtual agent with automated password resets and access requests via ITSM integration.</v>
      </c>
      <c r="AG27" s="44" t="str">
        <f>IF(OR(B27="",O27="Custom"),"",INDEX('2. Use-Case Library'!$K$5:$K$244,MATCH($O27,'2. Use-Case Library'!$A$5:$A$244,0)))</f>
        <v>Strong identity verification for resets.</v>
      </c>
      <c r="AH27" s="38">
        <f>IF(AB27="","",IF(AA27="Deprioritise",4,IF(W27="AI later - close data gap first",3,IF(OR(W27="Redesign / standardise first",W27="Stretch - partner or later stage",AA27="Strategic bet",Z27="High",S27=5),2,1))))</f>
        <v>1</v>
      </c>
      <c r="AI27" s="38">
        <f>IF(AC27="","",AH27*100+AC27)</f>
        <v>107</v>
      </c>
      <c r="AJ27" s="38" t="str">
        <f>IF(B27="","",IF(O27="Custom",B27,INDEX('2. Use-Case Library'!$D$5:$D$244,MATCH($O27,'2. Use-Case Library'!$A$5:$A$244,0))))</f>
        <v>IT service desk</v>
      </c>
    </row>
    <row r="28" ht="52" customHeight="1">
      <c r="A28" s="14" t="n">
        <v>21</v>
      </c>
      <c r="B28" s="37" t="inlineStr">
        <is>
          <t>XI-49 | Security alert triage (SOC)</t>
        </is>
      </c>
      <c r="C28" s="37" t="n"/>
      <c r="D28" s="37" t="n"/>
      <c r="E28" s="37" t="n"/>
      <c r="F28" s="37" t="inlineStr">
        <is>
          <t>High (more than 1,000 a month)</t>
        </is>
      </c>
      <c r="G28" s="37" t="n">
        <v>400</v>
      </c>
      <c r="H28" s="37" t="inlineStr">
        <is>
          <t>Partly - common steps, some variation</t>
        </is>
      </c>
      <c r="I28" s="37" t="inlineStr">
        <is>
          <t>Digital history available</t>
        </is>
      </c>
      <c r="J28" s="37" t="n">
        <v>5</v>
      </c>
      <c r="K28" s="37" t="n">
        <v>4</v>
      </c>
      <c r="L28" s="37" t="inlineStr">
        <is>
          <t>No</t>
        </is>
      </c>
      <c r="M28" s="37" t="inlineStr">
        <is>
          <t>Yes</t>
        </is>
      </c>
      <c r="N28" s="37" t="inlineStr">
        <is>
          <t>Human approves each AI output</t>
        </is>
      </c>
      <c r="O28" s="38" t="str">
        <f>IF(B28="","",IFERROR(INDEX('2. Use-Case Library'!$A$5:$A$244,MATCH(B28,'2. Use-Case Library'!$M$5:$M$244,0)),"Custom"))</f>
        <v>XI-49</v>
      </c>
      <c r="P28" s="39" t="str">
        <f>IF(B28="","",IF(O28="Custom",IF(E28="","(select function in E)",E28),INDEX('2. Use-Case Library'!$C$5:$C$244,MATCH($O28,'2. Use-Case Library'!$A$5:$A$244,0))))</f>
        <v>IT &amp; cybersecurity</v>
      </c>
      <c r="Q28" s="39" t="str">
        <f>IF(B28="","",IF(D28&lt;&gt;"",D28,IF(O28="Custom","",INDEX('2. Use-Case Library'!$F$5:$F$244,MATCH($O28,'2. Use-Case Library'!$A$5:$A$244,0)))))</f>
        <v>Coordinate multi-step work across systems that needs judgement</v>
      </c>
      <c r="R28" s="39" t="str">
        <f>IF(Q28="","",INDEX(Lists!$B$2:$B$11,MATCH(Q28,Lists!$A$2:$A$11,0)))</f>
        <v>Agentic AI (supervised agents)</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Within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AI fit now</v>
      </c>
      <c r="X28" s="41">
        <f>IF(OR(W28="",W28="Complete inputs"),"",ROUND(0.3*INDEX(Lists!$N$8:$N$10,MATCH(F28,Lists!$M$8:$M$10,0))+0.25*IF(G28&lt;20,1,IF(G28&lt;80,2,IF(G28&lt;160,3,IF(G28&lt;480,4,5))))+0.25*J28+0.2*K28,2))</f>
        <v>4.55</v>
      </c>
      <c r="Y28" s="41">
        <f>IF(X28="","",ROUND(0.3*IF(U28="Data ready",5,IF(INDEX(Lists!$N$2:$N$5,MATCH(I28,Lists!$M$2:$M$5,0))=INDEX(Lists!$E$2:$E$11,MATCH(R28,Lists!$B$2:$B$11,0))-1,3,1))+0.25*INDEX(Lists!$N$13:$N$15,MATCH(H28,Lists!$M$13:$M$15,0))+0.25*(6-S28)+0.2*IF(V28="Within current position",5,2),2))</f>
        <v>3.5</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Medium</v>
      </c>
      <c r="AA28" s="38" t="str">
        <f>IF(X28="","",IF(AND(X28&gt;=$C$4,Y28&gt;=$C$4),"Quick win",IF(X28&gt;=$C$4,"Strategic bet",IF(Y28&gt;=$C$4,"Fill-in","Deprioritise"))))</f>
        <v>Quick win</v>
      </c>
      <c r="AB28" s="41">
        <f>IF(X28="","",ROUND(X28*Y28*IF(Z28="High",0.85,1)*IF(W28="Redesign / standardise first",0.8,1),2))</f>
        <v>15.93</v>
      </c>
      <c r="AC28" s="42">
        <f>IF(AB28="","",RANK(AB28,$AB$8:$AB$57)+COUNTIF($AB$7:AB27,AB28))</f>
        <v>10</v>
      </c>
      <c r="AD28" s="39" t="str">
        <f>IF(AH28="","",INDEX(Lists!$AV$2:$AV$5,AH28))</f>
        <v>H2 - Next (6-12 months)</v>
      </c>
      <c r="AE28" s="43">
        <f>IF(AB28="","",ROUND(G28*12*INDEX(Lists!$F$2:$F$11,MATCH(R28,Lists!$B$2:$B$11,0)),0))</f>
        <v>1920</v>
      </c>
      <c r="AF28" s="44" t="str">
        <f>IF(OR(B28="",R28=""),"",IF(O28="Custom",INDEX(Lists!$I$2:$I$11,MATCH(R28,Lists!$B$2:$B$11,0)),INDEX('2. Use-Case Library'!$H$5:$H$244,MATCH($O28,'2. Use-Case Library'!$A$5:$A$244,0))))</f>
        <v>Security copilot for alert enrichment and triage; automated containment only for pre-approved playbooks with human approval for high-impact actions.</v>
      </c>
      <c r="AG28" s="44" t="str">
        <f>IF(OR(B28="",O28="Custom"),"",INDEX('2. Use-Case Library'!$K$5:$K$244,MATCH($O28,'2. Use-Case Library'!$A$5:$A$244,0)))</f>
        <v>Least agency and privilege, logging and kill-switch (ISACA Securing AI Agents 2026).</v>
      </c>
      <c r="AH28" s="38">
        <f>IF(AB28="","",IF(AA28="Deprioritise",4,IF(W28="AI later - close data gap first",3,IF(OR(W28="Redesign / standardise first",W28="Stretch - partner or later stage",AA28="Strategic bet",Z28="High",S28=5),2,1))))</f>
        <v>2</v>
      </c>
      <c r="AI28" s="38">
        <f>IF(AC28="","",AH28*100+AC28)</f>
        <v>210</v>
      </c>
      <c r="AJ28" s="38" t="str">
        <f>IF(B28="","",IF(O28="Custom",B28,INDEX('2. Use-Case Library'!$D$5:$D$244,MATCH($O28,'2. Use-Case Library'!$A$5:$A$244,0))))</f>
        <v>Security alert triage (SOC)</v>
      </c>
    </row>
    <row r="29" ht="52" customHeight="1">
      <c r="A29" s="14" t="n">
        <v>22</v>
      </c>
      <c r="B29" s="37" t="inlineStr">
        <is>
          <t>XI-16 | Employee HR queries (leave, policies, payslips)</t>
        </is>
      </c>
      <c r="C29" s="37" t="n"/>
      <c r="D29" s="37" t="n"/>
      <c r="E29" s="37" t="n"/>
      <c r="F29" s="37" t="inlineStr">
        <is>
          <t>Medium (100 - 1,000 a month)</t>
        </is>
      </c>
      <c r="G29" s="37" t="n">
        <v>80</v>
      </c>
      <c r="H29" s="37" t="inlineStr">
        <is>
          <t>Yes - documented and consistent</t>
        </is>
      </c>
      <c r="I29" s="37" t="inlineStr">
        <is>
          <t>Digital history available</t>
        </is>
      </c>
      <c r="J29" s="37" t="n">
        <v>2</v>
      </c>
      <c r="K29" s="37" t="n">
        <v>3</v>
      </c>
      <c r="L29" s="37" t="inlineStr">
        <is>
          <t>No</t>
        </is>
      </c>
      <c r="M29" s="37" t="inlineStr">
        <is>
          <t>Yes</t>
        </is>
      </c>
      <c r="N29" s="37" t="inlineStr">
        <is>
          <t>Assist - AI suggests, a person does the work</t>
        </is>
      </c>
      <c r="O29" s="38" t="str">
        <f>IF(B29="","",IFERROR(INDEX('2. Use-Case Library'!$A$5:$A$244,MATCH(B29,'2. Use-Case Library'!$M$5:$M$244,0)),"Custom"))</f>
        <v>XI-16</v>
      </c>
      <c r="P29" s="39" t="str">
        <f>IF(B29="","",IF(O29="Custom",IF(E29="","(select function in E)",E29),INDEX('2. Use-Case Library'!$C$5:$C$244,MATCH($O29,'2. Use-Case Library'!$A$5:$A$244,0))))</f>
        <v>HR &amp; people</v>
      </c>
      <c r="Q29" s="39" t="str">
        <f>IF(B29="","",IF(D29&lt;&gt;"",D29,IF(O29="Custom","",INDEX('2. Use-Case Library'!$F$5:$F$244,MATCH($O29,'2. Use-Case Library'!$A$5:$A$244,0)))))</f>
        <v>Converse with customers, citizens or staff (chat, voice, WhatsApp)</v>
      </c>
      <c r="R29" s="39" t="str">
        <f>IF(Q29="","",INDEX(Lists!$B$2:$B$11,MATCH(Q29,Lists!$A$2:$A$11,0)))</f>
        <v>Conversational AI / virtual agent</v>
      </c>
      <c r="S29" s="38">
        <f>IF(R29="","",INDEX(Lists!$C$2:$C$11,MATCH(R29,Lists!$B$2:$B$11,0)))</f>
        <v>4</v>
      </c>
      <c r="T29" s="38" t="str">
        <f>IF(R29="","",INDEX(Lists!$D$2:$D$11,MATCH(R29,Lists!$B$2:$B$11,0)))</f>
        <v>Yes</v>
      </c>
      <c r="U29" s="38" t="str">
        <f>IF(OR(R29="",I29=""),"",IF(INDEX(Lists!$N$2:$N$5,MATCH(I29,Lists!$M$2:$M$5,0))&gt;=INDEX(Lists!$E$2:$E$11,MATCH(R29,Lists!$B$2:$B$11,0)),"Data ready","Data gap"))</f>
        <v>Data ready</v>
      </c>
      <c r="V29" s="39" t="str">
        <f>IF(R29="","",IF(S29&lt;=IF('1. AI Position'!$C$30="",5,INDEX(Lists!$AI$2:$AI$5,'1. AI Position'!$C$30)),"Within current position","Beyond current position"))</f>
        <v>Within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fit now</v>
      </c>
      <c r="X29" s="41">
        <f>IF(OR(W29="",W29="Complete inputs"),"",ROUND(0.3*INDEX(Lists!$N$8:$N$10,MATCH(F29,Lists!$M$8:$M$10,0))+0.25*IF(G29&lt;20,1,IF(G29&lt;80,2,IF(G29&lt;160,3,IF(G29&lt;480,4,5))))+0.25*J29+0.2*K29,2))</f>
        <v>2.75</v>
      </c>
      <c r="Y29" s="41">
        <f>IF(X29="","",ROUND(0.3*IF(U29="Data ready",5,IF(INDEX(Lists!$N$2:$N$5,MATCH(I29,Lists!$M$2:$M$5,0))=INDEX(Lists!$E$2:$E$11,MATCH(R29,Lists!$B$2:$B$11,0))-1,3,1))+0.25*INDEX(Lists!$N$13:$N$15,MATCH(H29,Lists!$M$13:$M$15,0))+0.25*(6-S29)+0.2*IF(V29="Within current position",5,2),2))</f>
        <v>4.25</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Low</v>
      </c>
      <c r="AA29" s="38" t="str">
        <f>IF(X29="","",IF(AND(X29&gt;=$C$4,Y29&gt;=$C$4),"Quick win",IF(X29&gt;=$C$4,"Strategic bet",IF(Y29&gt;=$C$4,"Fill-in","Deprioritise"))))</f>
        <v>Fill-in</v>
      </c>
      <c r="AB29" s="41">
        <f>IF(X29="","",ROUND(X29*Y29*IF(Z29="High",0.85,1)*IF(W29="Redesign / standardise first",0.8,1),2))</f>
        <v>11.69</v>
      </c>
      <c r="AC29" s="42">
        <f>IF(AB29="","",RANK(AB29,$AB$8:$AB$57)+COUNTIF($AB$7:AB28,AB29))</f>
        <v>20</v>
      </c>
      <c r="AD29" s="39" t="str">
        <f>IF(AH29="","",INDEX(Lists!$AV$2:$AV$5,AH29))</f>
        <v>H1 - Now (0-6 months)</v>
      </c>
      <c r="AE29" s="43">
        <f>IF(AB29="","",ROUND(G29*12*INDEX(Lists!$F$2:$F$11,MATCH(R29,Lists!$B$2:$B$11,0)),0))</f>
        <v>288</v>
      </c>
      <c r="AF29" s="44" t="str">
        <f>IF(OR(B29="",R29=""),"",IF(O29="Custom",INDEX(Lists!$I$2:$I$11,MATCH(R29,Lists!$B$2:$B$11,0)),INDEX('2. Use-Case Library'!$H$5:$H$244,MATCH($O29,'2. Use-Case Library'!$A$5:$A$244,0))))</f>
        <v>HR virtual agent grounded on HR policies plus self-service transactions via HRIS integration; hand-off to HR for sensitive cases.</v>
      </c>
      <c r="AG29" s="44" t="str">
        <f>IF(OR(B29="",O29="Custom"),"",INDEX('2. Use-Case Library'!$K$5:$K$244,MATCH($O29,'2. Use-Case Library'!$A$5:$A$244,0)))</f>
        <v>Disclose AI to users; access control on personal data.</v>
      </c>
      <c r="AH29" s="38">
        <f>IF(AB29="","",IF(AA29="Deprioritise",4,IF(W29="AI later - close data gap first",3,IF(OR(W29="Redesign / standardise first",W29="Stretch - partner or later stage",AA29="Strategic bet",Z29="High",S29=5),2,1))))</f>
        <v>1</v>
      </c>
      <c r="AI29" s="38">
        <f>IF(AC29="","",AH29*100+AC29)</f>
        <v>120</v>
      </c>
      <c r="AJ29" s="38" t="str">
        <f>IF(B29="","",IF(O29="Custom",B29,INDEX('2. Use-Case Library'!$D$5:$D$244,MATCH($O29,'2. Use-Case Library'!$A$5:$A$244,0))))</f>
        <v>Employee HR queries (leave, policies, payslips)</v>
      </c>
    </row>
    <row r="30" ht="52" customHeight="1">
      <c r="A30" s="14" t="n">
        <v>23</v>
      </c>
      <c r="B30" s="37" t="inlineStr">
        <is>
          <t>XI-01 | Supplier invoice capture &amp; posting</t>
        </is>
      </c>
      <c r="C30" s="37" t="n"/>
      <c r="D30" s="37" t="n"/>
      <c r="E30" s="37" t="n"/>
      <c r="F30" s="37" t="inlineStr">
        <is>
          <t>Medium (100 - 1,000 a month)</t>
        </is>
      </c>
      <c r="G30" s="37" t="n">
        <v>150</v>
      </c>
      <c r="H30" s="37" t="inlineStr">
        <is>
          <t>Yes - documented and consistent</t>
        </is>
      </c>
      <c r="I30" s="37" t="inlineStr">
        <is>
          <t>Digital history available</t>
        </is>
      </c>
      <c r="J30" s="37" t="n">
        <v>2</v>
      </c>
      <c r="K30" s="37" t="n">
        <v>2</v>
      </c>
      <c r="L30" s="37" t="inlineStr">
        <is>
          <t>No</t>
        </is>
      </c>
      <c r="M30" s="37" t="inlineStr">
        <is>
          <t>No</t>
        </is>
      </c>
      <c r="N30" s="37" t="inlineStr">
        <is>
          <t>Human approves each AI output</t>
        </is>
      </c>
      <c r="O30" s="38" t="str">
        <f>IF(B30="","",IFERROR(INDEX('2. Use-Case Library'!$A$5:$A$244,MATCH(B30,'2. Use-Case Library'!$M$5:$M$244,0)),"Custom"))</f>
        <v>XI-01</v>
      </c>
      <c r="P30" s="39" t="str">
        <f>IF(B30="","",IF(O30="Custom",IF(E30="","(select function in E)",E30),INDEX('2. Use-Case Library'!$C$5:$C$244,MATCH($O30,'2. Use-Case Library'!$A$5:$A$244,0))))</f>
        <v>Finance &amp; accounting</v>
      </c>
      <c r="Q30" s="39" t="str">
        <f>IF(B30="","",IF(D30&lt;&gt;"",D30,IF(O30="Custom","",INDEX('2. Use-Case Library'!$F$5:$F$244,MATCH($O30,'2. Use-Case Library'!$A$5:$A$244,0)))))</f>
        <v>Extract information from documents, forms or emails</v>
      </c>
      <c r="R30" s="39" t="str">
        <f>IF(Q30="","",INDEX(Lists!$B$2:$B$11,MATCH(Q30,Lists!$A$2:$A$11,0)))</f>
        <v>Intelligent document processing (IDP)</v>
      </c>
      <c r="S30" s="38">
        <f>IF(R30="","",INDEX(Lists!$C$2:$C$11,MATCH(R30,Lists!$B$2:$B$11,0)))</f>
        <v>3</v>
      </c>
      <c r="T30" s="38" t="str">
        <f>IF(R30="","",INDEX(Lists!$D$2:$D$11,MATCH(R30,Lists!$B$2:$B$11,0)))</f>
        <v>Light</v>
      </c>
      <c r="U30" s="38" t="str">
        <f>IF(OR(R30="",I30=""),"",IF(INDEX(Lists!$N$2:$N$5,MATCH(I30,Lists!$M$2:$M$5,0))&gt;=INDEX(Lists!$E$2:$E$11,MATCH(R30,Lists!$B$2:$B$11,0)),"Data ready","Data gap"))</f>
        <v>Data ready</v>
      </c>
      <c r="V30" s="39" t="str">
        <f>IF(R30="","",IF(S30&lt;=IF('1. AI Position'!$C$30="",5,INDEX(Lists!$AI$2:$AI$5,'1. AI Position'!$C$30)),"Within current position","Beyond current position"))</f>
        <v>Within current position</v>
      </c>
      <c r="W30" s="40" t="str">
        <f>IF(B30="","",IF(OR(COUNTA(F30:N30)&lt;9,Q30=""),"Complete inputs",IF(H30="No - varies by person / team","Redesign / standardise first",IF(T30="No","Automate - AI not needed",IF(U30="Data gap","AI later - close data gap first",IF(V30="Beyond current position","Stretch - partner or later stage","AI fit now"))))))</f>
        <v>AI fit now</v>
      </c>
      <c r="X30" s="41">
        <f>IF(OR(W30="",W30="Complete inputs"),"",ROUND(0.3*INDEX(Lists!$N$8:$N$10,MATCH(F30,Lists!$M$8:$M$10,0))+0.25*IF(G30&lt;20,1,IF(G30&lt;80,2,IF(G30&lt;160,3,IF(G30&lt;480,4,5))))+0.25*J30+0.2*K30,2))</f>
        <v>2.55</v>
      </c>
      <c r="Y30" s="41">
        <f>IF(X30="","",ROUND(0.3*IF(U30="Data ready",5,IF(INDEX(Lists!$N$2:$N$5,MATCH(I30,Lists!$M$2:$M$5,0))=INDEX(Lists!$E$2:$E$11,MATCH(R30,Lists!$B$2:$B$11,0))-1,3,1))+0.25*INDEX(Lists!$N$13:$N$15,MATCH(H30,Lists!$M$13:$M$15,0))+0.25*(6-S30)+0.2*IF(V30="Within current position",5,2),2))</f>
        <v>4.5</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Low</v>
      </c>
      <c r="AA30" s="38" t="str">
        <f>IF(X30="","",IF(AND(X30&gt;=$C$4,Y30&gt;=$C$4),"Quick win",IF(X30&gt;=$C$4,"Strategic bet",IF(Y30&gt;=$C$4,"Fill-in","Deprioritise"))))</f>
        <v>Fill-in</v>
      </c>
      <c r="AB30" s="41">
        <f>IF(X30="","",ROUND(X30*Y30*IF(Z30="High",0.85,1)*IF(W30="Redesign / standardise first",0.8,1),2))</f>
        <v>11.48</v>
      </c>
      <c r="AC30" s="42">
        <f>IF(AB30="","",RANK(AB30,$AB$8:$AB$57)+COUNTIF($AB$7:AB29,AB30))</f>
        <v>21</v>
      </c>
      <c r="AD30" s="39" t="str">
        <f>IF(AH30="","",INDEX(Lists!$AV$2:$AV$5,AH30))</f>
        <v>H1 - Now (0-6 months)</v>
      </c>
      <c r="AE30" s="43">
        <f>IF(AB30="","",ROUND(G30*12*INDEX(Lists!$F$2:$F$11,MATCH(R30,Lists!$B$2:$B$11,0)),0))</f>
        <v>900</v>
      </c>
      <c r="AF30" s="44" t="str">
        <f>IF(OR(B30="",R30=""),"",IF(O30="Custom",INDEX(Lists!$I$2:$I$11,MATCH(R30,Lists!$B$2:$B$11,0)),INDEX('2. Use-Case Library'!$H$5:$H$244,MATCH($O30,'2. Use-Case Library'!$A$5:$A$244,0))))</f>
        <v>Capture invoices with intelligent document processing, validate against PO and vendor master, post automatically; route exceptions to AP.</v>
      </c>
      <c r="AG30" s="44" t="str">
        <f>IF(OR(B30="",O30="Custom"),"",INDEX('2. Use-Case Library'!$K$5:$K$244,MATCH($O30,'2. Use-Case Library'!$A$5:$A$244,0)))</f>
        <v>Segregation of duties in approval; vendor bank-detail change controls (payment fraud).</v>
      </c>
      <c r="AH30" s="38">
        <f>IF(AB30="","",IF(AA30="Deprioritise",4,IF(W30="AI later - close data gap first",3,IF(OR(W30="Redesign / standardise first",W30="Stretch - partner or later stage",AA30="Strategic bet",Z30="High",S30=5),2,1))))</f>
        <v>1</v>
      </c>
      <c r="AI30" s="38">
        <f>IF(AC30="","",AH30*100+AC30)</f>
        <v>121</v>
      </c>
      <c r="AJ30" s="38" t="str">
        <f>IF(B30="","",IF(O30="Custom",B30,INDEX('2. Use-Case Library'!$D$5:$D$244,MATCH($O30,'2. Use-Case Library'!$A$5:$A$244,0))))</f>
        <v>Supplier invoice capture &amp; posting</v>
      </c>
    </row>
    <row r="31" ht="52" customHeight="1">
      <c r="A31" s="14" t="n">
        <v>24</v>
      </c>
      <c r="B31" s="37" t="inlineStr">
        <is>
          <t>XI-39 | Regulatory change monitoring</t>
        </is>
      </c>
      <c r="C31" s="37" t="n"/>
      <c r="D31" s="37" t="n"/>
      <c r="E31" s="37" t="n"/>
      <c r="F31" s="37" t="inlineStr">
        <is>
          <t>Low (fewer than 100 a month)</t>
        </is>
      </c>
      <c r="G31" s="37" t="n">
        <v>120</v>
      </c>
      <c r="H31" s="37" t="inlineStr">
        <is>
          <t>Partly - common steps, some variation</t>
        </is>
      </c>
      <c r="I31" s="37" t="inlineStr">
        <is>
          <t>Digital history available</t>
        </is>
      </c>
      <c r="J31" s="37" t="n">
        <v>4</v>
      </c>
      <c r="K31" s="37" t="n">
        <v>3</v>
      </c>
      <c r="L31" s="37" t="inlineStr">
        <is>
          <t>No</t>
        </is>
      </c>
      <c r="M31" s="37" t="inlineStr">
        <is>
          <t>No</t>
        </is>
      </c>
      <c r="N31" s="37" t="inlineStr">
        <is>
          <t>Assist - AI suggests, a person does the work</t>
        </is>
      </c>
      <c r="O31" s="38" t="str">
        <f>IF(B31="","",IFERROR(INDEX('2. Use-Case Library'!$A$5:$A$244,MATCH(B31,'2. Use-Case Library'!$M$5:$M$244,0)),"Custom"))</f>
        <v>XI-39</v>
      </c>
      <c r="P31" s="39" t="str">
        <f>IF(B31="","",IF(O31="Custom",IF(E31="","(select function in E)",E31),INDEX('2. Use-Case Library'!$C$5:$C$244,MATCH($O31,'2. Use-Case Library'!$A$5:$A$244,0))))</f>
        <v>Risk, compliance &amp; legal</v>
      </c>
      <c r="Q31" s="39" t="str">
        <f>IF(B31="","",IF(D31&lt;&gt;"",D31,IF(O31="Custom","",INDEX('2. Use-Case Library'!$F$5:$F$244,MATCH($O31,'2. Use-Case Library'!$A$5:$A$244,0)))))</f>
        <v>Answer questions from internal knowledge, policies or past work</v>
      </c>
      <c r="R31" s="39" t="str">
        <f>IF(Q31="","",INDEX(Lists!$B$2:$B$11,MATCH(Q31,Lists!$A$2:$A$11,0)))</f>
        <v>GenAI knowledge assistant (RAG on own content)</v>
      </c>
      <c r="S31" s="38">
        <f>IF(R31="","",INDEX(Lists!$C$2:$C$11,MATCH(R31,Lists!$B$2:$B$11,0)))</f>
        <v>4</v>
      </c>
      <c r="T31" s="38" t="str">
        <f>IF(R31="","",INDEX(Lists!$D$2:$D$11,MATCH(R31,Lists!$B$2:$B$11,0)))</f>
        <v>Yes</v>
      </c>
      <c r="U31" s="38" t="str">
        <f>IF(OR(R31="",I31=""),"",IF(INDEX(Lists!$N$2:$N$5,MATCH(I31,Lists!$M$2:$M$5,0))&gt;=INDEX(Lists!$E$2:$E$11,MATCH(R31,Lists!$B$2:$B$11,0)),"Data ready","Data gap"))</f>
        <v>Data ready</v>
      </c>
      <c r="V31" s="39" t="str">
        <f>IF(R31="","",IF(S31&lt;=IF('1. AI Position'!$C$30="",5,INDEX(Lists!$AI$2:$AI$5,'1. AI Position'!$C$30)),"Within current position","Beyond current position"))</f>
        <v>Within current position</v>
      </c>
      <c r="W31" s="40" t="str">
        <f>IF(B31="","",IF(OR(COUNTA(F31:N31)&lt;9,Q31=""),"Complete inputs",IF(H31="No - varies by person / team","Redesign / standardise first",IF(T31="No","Automate - AI not needed",IF(U31="Data gap","AI later - close data gap first",IF(V31="Beyond current position","Stretch - partner or later stage","AI fit now"))))))</f>
        <v>AI fit now</v>
      </c>
      <c r="X31" s="41">
        <f>IF(OR(W31="",W31="Complete inputs"),"",ROUND(0.3*INDEX(Lists!$N$8:$N$10,MATCH(F31,Lists!$M$8:$M$10,0))+0.25*IF(G31&lt;20,1,IF(G31&lt;80,2,IF(G31&lt;160,3,IF(G31&lt;480,4,5))))+0.25*J31+0.2*K31,2))</f>
        <v>2.65</v>
      </c>
      <c r="Y31" s="41">
        <f>IF(X31="","",ROUND(0.3*IF(U31="Data ready",5,IF(INDEX(Lists!$N$2:$N$5,MATCH(I31,Lists!$M$2:$M$5,0))=INDEX(Lists!$E$2:$E$11,MATCH(R31,Lists!$B$2:$B$11,0))-1,3,1))+0.25*INDEX(Lists!$N$13:$N$15,MATCH(H31,Lists!$M$13:$M$15,0))+0.25*(6-S31)+0.2*IF(V31="Within current position",5,2),2))</f>
        <v>3.75</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Low</v>
      </c>
      <c r="AA31" s="38" t="str">
        <f>IF(X31="","",IF(AND(X31&gt;=$C$4,Y31&gt;=$C$4),"Quick win",IF(X31&gt;=$C$4,"Strategic bet",IF(Y31&gt;=$C$4,"Fill-in","Deprioritise"))))</f>
        <v>Fill-in</v>
      </c>
      <c r="AB31" s="41">
        <f>IF(X31="","",ROUND(X31*Y31*IF(Z31="High",0.85,1)*IF(W31="Redesign / standardise first",0.8,1),2))</f>
        <v>9.94</v>
      </c>
      <c r="AC31" s="42">
        <f>IF(AB31="","",RANK(AB31,$AB$8:$AB$57)+COUNTIF($AB$7:AB30,AB31))</f>
        <v>23</v>
      </c>
      <c r="AD31" s="39" t="str">
        <f>IF(AH31="","",INDEX(Lists!$AV$2:$AV$5,AH31))</f>
        <v>H1 - Now (0-6 months)</v>
      </c>
      <c r="AE31" s="43">
        <f>IF(AB31="","",ROUND(G31*12*INDEX(Lists!$F$2:$F$11,MATCH(R31,Lists!$B$2:$B$11,0)),0))</f>
        <v>360</v>
      </c>
      <c r="AF31" s="44" t="str">
        <f>IF(OR(B31="",R31=""),"",IF(O31="Custom",INDEX(Lists!$I$2:$I$11,MATCH(R31,Lists!$B$2:$B$11,0)),INDEX('2. Use-Case Library'!$H$5:$H$244,MATCH($O31,'2. Use-Case Library'!$A$5:$A$244,0))))</f>
        <v>Knowledge assistant monitoring regulator publications (e.g., CBB, NBR, PDPL guidance) and summarising impacts for compliance review.</v>
      </c>
      <c r="AG31" s="44" t="str">
        <f>IF(OR(B31="",O31="Custom"),"",INDEX('2. Use-Case Library'!$K$5:$K$244,MATCH($O31,'2. Use-Case Library'!$A$5:$A$244,0)))</f>
        <v>Summaries verified by Compliance against source text.</v>
      </c>
      <c r="AH31" s="38">
        <f>IF(AB31="","",IF(AA31="Deprioritise",4,IF(W31="AI later - close data gap first",3,IF(OR(W31="Redesign / standardise first",W31="Stretch - partner or later stage",AA31="Strategic bet",Z31="High",S31=5),2,1))))</f>
        <v>1</v>
      </c>
      <c r="AI31" s="38">
        <f>IF(AC31="","",AH31*100+AC31)</f>
        <v>123</v>
      </c>
      <c r="AJ31" s="38" t="str">
        <f>IF(B31="","",IF(O31="Custom",B31,INDEX('2. Use-Case Library'!$D$5:$D$244,MATCH($O31,'2. Use-Case Library'!$A$5:$A$244,0))))</f>
        <v>Regulatory change monitoring</v>
      </c>
    </row>
    <row r="32" ht="52" customHeight="1">
      <c r="A32" s="14" t="n">
        <v>25</v>
      </c>
      <c r="B32" s="37" t="inlineStr">
        <is>
          <t>XI-54 | Meeting minutes &amp; action tracking</t>
        </is>
      </c>
      <c r="C32" s="37" t="n"/>
      <c r="D32" s="37" t="n"/>
      <c r="E32" s="37" t="n"/>
      <c r="F32" s="37" t="inlineStr">
        <is>
          <t>Medium (100 - 1,000 a month)</t>
        </is>
      </c>
      <c r="G32" s="37" t="n">
        <v>150</v>
      </c>
      <c r="H32" s="37" t="inlineStr">
        <is>
          <t>Yes - documented and consistent</t>
        </is>
      </c>
      <c r="I32" s="37" t="inlineStr">
        <is>
          <t>Partial or paper-based</t>
        </is>
      </c>
      <c r="J32" s="37" t="n">
        <v>3</v>
      </c>
      <c r="K32" s="37" t="n">
        <v>2</v>
      </c>
      <c r="L32" s="37" t="inlineStr">
        <is>
          <t>No</t>
        </is>
      </c>
      <c r="M32" s="37" t="inlineStr">
        <is>
          <t>No</t>
        </is>
      </c>
      <c r="N32" s="37" t="inlineStr">
        <is>
          <t>Assist - AI suggests, a person does the work</t>
        </is>
      </c>
      <c r="O32" s="38" t="str">
        <f>IF(B32="","",IFERROR(INDEX('2. Use-Case Library'!$A$5:$A$244,MATCH(B32,'2. Use-Case Library'!$M$5:$M$244,0)),"Custom"))</f>
        <v>XI-54</v>
      </c>
      <c r="P32" s="39" t="str">
        <f>IF(B32="","",IF(O32="Custom",IF(E32="","(select function in E)",E32),INDEX('2. Use-Case Library'!$C$5:$C$244,MATCH($O32,'2. Use-Case Library'!$A$5:$A$244,0))))</f>
        <v>Strategy, management &amp; reporting</v>
      </c>
      <c r="Q32" s="39" t="str">
        <f>IF(B32="","",IF(D32&lt;&gt;"",D32,IF(O32="Custom","",INDEX('2. Use-Case Library'!$F$5:$F$244,MATCH($O32,'2. Use-Case Library'!$A$5:$A$244,0)))))</f>
        <v>Draft, summarise, translate or review text</v>
      </c>
      <c r="R32" s="39" t="str">
        <f>IF(Q32="","",INDEX(Lists!$B$2:$B$11,MATCH(Q32,Lists!$A$2:$A$11,0)))</f>
        <v>Generative AI assistant (off-the-shelf)</v>
      </c>
      <c r="S32" s="38">
        <f>IF(R32="","",INDEX(Lists!$C$2:$C$11,MATCH(R32,Lists!$B$2:$B$11,0)))</f>
        <v>3</v>
      </c>
      <c r="T32" s="38" t="str">
        <f>IF(R32="","",INDEX(Lists!$D$2:$D$11,MATCH(R32,Lists!$B$2:$B$11,0)))</f>
        <v>Yes</v>
      </c>
      <c r="U32" s="38" t="str">
        <f>IF(OR(R32="",I32=""),"",IF(INDEX(Lists!$N$2:$N$5,MATCH(I32,Lists!$M$2:$M$5,0))&gt;=INDEX(Lists!$E$2:$E$11,MATCH(R32,Lists!$B$2:$B$11,0)),"Data ready","Data gap"))</f>
        <v>Data ready</v>
      </c>
      <c r="V32" s="39" t="str">
        <f>IF(R32="","",IF(S32&lt;=IF('1. AI Position'!$C$30="",5,INDEX(Lists!$AI$2:$AI$5,'1. AI Position'!$C$30)),"Within current position","Beyond current position"))</f>
        <v>Within current position</v>
      </c>
      <c r="W32" s="40" t="str">
        <f>IF(B32="","",IF(OR(COUNTA(F32:N32)&lt;9,Q32=""),"Complete inputs",IF(H32="No - varies by person / team","Redesign / standardise first",IF(T32="No","Automate - AI not needed",IF(U32="Data gap","AI later - close data gap first",IF(V32="Beyond current position","Stretch - partner or later stage","AI fit now"))))))</f>
        <v>AI fit now</v>
      </c>
      <c r="X32" s="41">
        <f>IF(OR(W32="",W32="Complete inputs"),"",ROUND(0.3*INDEX(Lists!$N$8:$N$10,MATCH(F32,Lists!$M$8:$M$10,0))+0.25*IF(G32&lt;20,1,IF(G32&lt;80,2,IF(G32&lt;160,3,IF(G32&lt;480,4,5))))+0.25*J32+0.2*K32,2))</f>
        <v>2.8</v>
      </c>
      <c r="Y32" s="41">
        <f>IF(X32="","",ROUND(0.3*IF(U32="Data ready",5,IF(INDEX(Lists!$N$2:$N$5,MATCH(I32,Lists!$M$2:$M$5,0))=INDEX(Lists!$E$2:$E$11,MATCH(R32,Lists!$B$2:$B$11,0))-1,3,1))+0.25*INDEX(Lists!$N$13:$N$15,MATCH(H32,Lists!$M$13:$M$15,0))+0.25*(6-S32)+0.2*IF(V32="Within current position",5,2),2))</f>
        <v>4.5</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Low</v>
      </c>
      <c r="AA32" s="38" t="str">
        <f>IF(X32="","",IF(AND(X32&gt;=$C$4,Y32&gt;=$C$4),"Quick win",IF(X32&gt;=$C$4,"Strategic bet",IF(Y32&gt;=$C$4,"Fill-in","Deprioritise"))))</f>
        <v>Fill-in</v>
      </c>
      <c r="AB32" s="41">
        <f>IF(X32="","",ROUND(X32*Y32*IF(Z32="High",0.85,1)*IF(W32="Redesign / standardise first",0.8,1),2))</f>
        <v>12.6</v>
      </c>
      <c r="AC32" s="42">
        <f>IF(AB32="","",RANK(AB32,$AB$8:$AB$57)+COUNTIF($AB$7:AB31,AB32))</f>
        <v>18</v>
      </c>
      <c r="AD32" s="39" t="str">
        <f>IF(AH32="","",INDEX(Lists!$AV$2:$AV$5,AH32))</f>
        <v>H1 - Now (0-6 months)</v>
      </c>
      <c r="AE32" s="43">
        <f>IF(AB32="","",ROUND(G32*12*INDEX(Lists!$F$2:$F$11,MATCH(R32,Lists!$B$2:$B$11,0)),0))</f>
        <v>540</v>
      </c>
      <c r="AF32" s="44" t="str">
        <f>IF(OR(B32="",R32=""),"",IF(O32="Custom",INDEX(Lists!$I$2:$I$11,MATCH(R32,Lists!$B$2:$B$11,0)),INDEX('2. Use-Case Library'!$H$5:$H$244,MATCH($O32,'2. Use-Case Library'!$A$5:$A$244,0))))</f>
        <v>Enterprise meeting assistant for transcripts, summaries and action tracking (with participant notice).</v>
      </c>
      <c r="AG32" s="44" t="str">
        <f>IF(OR(B32="",O32="Custom"),"",INDEX('2. Use-Case Library'!$K$5:$K$244,MATCH($O32,'2. Use-Case Library'!$A$5:$A$244,0)))</f>
        <v>Participant consent; confidential meetings excluded.</v>
      </c>
      <c r="AH32" s="38">
        <f>IF(AB32="","",IF(AA32="Deprioritise",4,IF(W32="AI later - close data gap first",3,IF(OR(W32="Redesign / standardise first",W32="Stretch - partner or later stage",AA32="Strategic bet",Z32="High",S32=5),2,1))))</f>
        <v>1</v>
      </c>
      <c r="AI32" s="38">
        <f>IF(AC32="","",AH32*100+AC32)</f>
        <v>118</v>
      </c>
      <c r="AJ32" s="38" t="str">
        <f>IF(B32="","",IF(O32="Custom",B32,INDEX('2. Use-Case Library'!$D$5:$D$244,MATCH($O32,'2. Use-Case Library'!$A$5:$A$244,0))))</f>
        <v>Meeting minutes &amp; action tracking</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Illustrative Bahrain retail bank</v>
      </c>
      <c r="D5" s="15" t="n"/>
      <c r="E5" s="15" t="n"/>
      <c r="F5" s="15" t="n"/>
      <c r="G5" s="15" t="n"/>
      <c r="H5" s="15" t="n"/>
      <c r="I5" s="15" t="n"/>
      <c r="J5" s="15" t="n"/>
      <c r="K5" s="15" t="n"/>
    </row>
    <row r="6" ht="18" customHeight="1">
      <c r="A6" s="4" t="inlineStr">
        <is>
          <t>Sector</t>
        </is>
      </c>
      <c r="B6" s="28" t="n"/>
      <c r="C6" s="5" t="str">
        <f>'1. AI Position'!$C$5&amp;""</f>
        <v>Banking &amp; payments</v>
      </c>
      <c r="D6" s="15" t="n"/>
      <c r="E6" s="15" t="n"/>
      <c r="F6" s="15" t="n"/>
      <c r="G6" s="15" t="n"/>
      <c r="H6" s="15" t="n"/>
      <c r="I6" s="15" t="n"/>
      <c r="J6" s="15" t="n"/>
      <c r="K6" s="15" t="n"/>
    </row>
    <row r="7" ht="18" customHeight="1">
      <c r="A7" s="4" t="inlineStr">
        <is>
          <t>AI position (archetype)</t>
        </is>
      </c>
      <c r="B7" s="28" t="n"/>
      <c r="C7" s="19" t="str">
        <f>'1. AI Position'!$C$31</f>
        <v>Build and scale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61%  /  78%</v>
      </c>
      <c r="D8" s="15" t="n"/>
      <c r="E8" s="15" t="n"/>
      <c r="F8" s="15" t="n"/>
      <c r="G8" s="15" t="n"/>
      <c r="H8" s="15" t="n"/>
      <c r="I8" s="15" t="n"/>
      <c r="J8" s="15" t="n"/>
      <c r="K8" s="15" t="n"/>
    </row>
    <row r="9" ht="30" customHeight="1">
      <c r="A9" s="4" t="inlineStr">
        <is>
          <t>What it means</t>
        </is>
      </c>
      <c r="B9" s="28" t="n"/>
      <c r="C9" s="5" t="str">
        <f>'1. AI Position'!C33</f>
        <v>Data and scale support custom AI: build a portfolio, including advanced analytics and governed agentic AI.</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19</v>
      </c>
      <c r="D14" s="48">
        <f>IF(SUM($C$14:$C$18)=0,"",C14/SUM($C$14:$C$18))</f>
        <v>0.76</v>
      </c>
      <c r="E14" s="49">
        <f>SUMIF('3. AI Fit Diagnostic'!$W$8:$W$57,B14,'3. AI Fit Diagnostic'!$AE$8:$AE$57)</f>
        <v>25536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2</v>
      </c>
      <c r="D15" s="48">
        <f>IF(SUM($C$14:$C$18)=0,"",C15/SUM($C$14:$C$18))</f>
        <v>0.08</v>
      </c>
      <c r="E15" s="49">
        <f>SUMIF('3. AI Fit Diagnostic'!$W$8:$W$57,B15,'3. AI Fit Diagnostic'!$AE$8:$AE$57)</f>
        <v>2400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3</v>
      </c>
      <c r="D16" s="48">
        <f>IF(SUM($C$14:$C$18)=0,"",C16/SUM($C$14:$C$18))</f>
        <v>0.12</v>
      </c>
      <c r="E16" s="49">
        <f>SUMIF('3. AI Fit Diagnostic'!$W$8:$W$57,B16,'3. AI Fit Diagnostic'!$AE$8:$AE$57)</f>
        <v>2880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f>IF(SUM($C$14:$C$18)=0,"",C17/SUM($C$14:$C$18))</f>
        <v>0</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25</v>
      </c>
      <c r="D19" s="6" t="inlineStr"/>
      <c r="E19" s="54">
        <f>SUM(E14:E18)</f>
        <v>31536</v>
      </c>
    </row>
    <row r="20" ht="30" customHeight="1">
      <c r="B20" s="55" t="str">
        <f>IF(C19=0,"",TEXT((C14+C17)/C19,"0%")&amp;" of assessed processes are AI opportunities (now or with a partner); "&amp;TEXT(C15/C19,"0%")&amp;" are better served by automation without AI; "&amp;TEXT((C16+C18)/C19,"0%")&amp;" need data or process foundations first.")</f>
        <v>76% of assessed processes are AI opportunities (now or with a partner); 8% are better served by automation without AI; 16%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7</v>
      </c>
      <c r="D24" s="21">
        <f>COUNTIFS('3. AI Fit Diagnostic'!$P$8:$P$57,$B24,'3. AI Fit Diagnostic'!$W$8:$W$57,"Stretch - partner or later stage")</f>
        <v>0</v>
      </c>
      <c r="E24" s="21">
        <f>COUNTIFS('3. AI Fit Diagnostic'!$P$8:$P$57,$B24,'3. AI Fit Diagnostic'!$W$8:$W$57,"AI later - close data gap first")</f>
        <v>1</v>
      </c>
      <c r="F24" s="21">
        <f>COUNTIFS('3. AI Fit Diagnostic'!$P$8:$P$57,$B24,'3. AI Fit Diagnostic'!$W$8:$W$57,"Automate - AI not needed")</f>
        <v>1</v>
      </c>
      <c r="G24" s="21">
        <f>COUNTIFS('3. AI Fit Diagnostic'!$P$8:$P$57,$B24,'3. AI Fit Diagnostic'!$W$8:$W$57,"Redesign / standardise first")</f>
        <v>0</v>
      </c>
      <c r="H24" s="57">
        <f>SUM(C24:G24)</f>
        <v>9</v>
      </c>
      <c r="I24" s="49">
        <f>SUMIF('3. AI Fit Diagnostic'!$P$8:$P$57,$B24,'3. AI Fit Diagnostic'!$AE$8:$AE$57)</f>
        <v>12180</v>
      </c>
      <c r="J24" s="21">
        <f>COUNTIFS('3. AI Fit Diagnostic'!$P$8:$P$57,$B24,'3. AI Fit Diagnostic'!$Z$8:$Z$57,"High")</f>
        <v>4</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1</v>
      </c>
      <c r="D25" s="21">
        <f>COUNTIFS('3. AI Fit Diagnostic'!$P$8:$P$57,$B25,'3. AI Fit Diagnostic'!$W$8:$W$57,"Stretch - partner or later stage")</f>
        <v>0</v>
      </c>
      <c r="E25" s="21">
        <f>COUNTIFS('3. AI Fit Diagnostic'!$P$8:$P$57,$B25,'3. AI Fit Diagnostic'!$W$8:$W$57,"AI later - close data gap first")</f>
        <v>1</v>
      </c>
      <c r="F25" s="21">
        <f>COUNTIFS('3. AI Fit Diagnostic'!$P$8:$P$57,$B25,'3. AI Fit Diagnostic'!$W$8:$W$57,"Automate - AI not needed")</f>
        <v>0</v>
      </c>
      <c r="G25" s="21">
        <f>COUNTIFS('3. AI Fit Diagnostic'!$P$8:$P$57,$B25,'3. AI Fit Diagnostic'!$W$8:$W$57,"Redesign / standardise first")</f>
        <v>1</v>
      </c>
      <c r="H25" s="57">
        <f>SUM(C25:G25)</f>
        <v>3</v>
      </c>
      <c r="I25" s="49">
        <f>SUMIF('3. AI Fit Diagnostic'!$P$8:$P$57,$B25,'3. AI Fit Diagnostic'!$AE$8:$AE$57)</f>
        <v>5400</v>
      </c>
      <c r="J25" s="21">
        <f>COUNTIFS('3. AI Fit Diagnostic'!$P$8:$P$57,$B25,'3. AI Fit Diagnostic'!$Z$8:$Z$57,"High")</f>
        <v>1</v>
      </c>
      <c r="K25" s="42" t="str">
        <f>IF(H25=0,"",IF(C25+D25&gt;=MAX(E25,F25,G25),"AI opportunity",IF(F25&gt;=MAX(E25,G25),"Automation is enough",IF(E25&gt;=G25,"Fix data first","Redesign first"))))</f>
        <v>AI opportunity</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1</v>
      </c>
      <c r="I27" s="49">
        <f>SUMIF('3. AI Fit Diagnostic'!$P$8:$P$57,$B27,'3. AI Fit Diagnostic'!$AE$8:$AE$57)</f>
        <v>900</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1</v>
      </c>
      <c r="I28" s="49">
        <f>SUMIF('3. AI Fit Diagnostic'!$P$8:$P$57,$B28,'3. AI Fit Diagnostic'!$AE$8:$AE$57)</f>
        <v>288</v>
      </c>
      <c r="J28" s="21">
        <f>COUNTIFS('3. AI Fit Diagnostic'!$P$8:$P$57,$B28,'3. AI Fit Diagnostic'!$Z$8:$Z$57,"High")</f>
        <v>0</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5</v>
      </c>
      <c r="D30" s="21">
        <f>COUNTIFS('3. AI Fit Diagnostic'!$P$8:$P$57,$B30,'3. AI Fit Diagnostic'!$W$8:$W$57,"Stretch - partner or later stage")</f>
        <v>0</v>
      </c>
      <c r="E30" s="21">
        <f>COUNTIFS('3. AI Fit Diagnostic'!$P$8:$P$57,$B30,'3. AI Fit Diagnostic'!$W$8:$W$57,"AI later - close data gap first")</f>
        <v>1</v>
      </c>
      <c r="F30" s="21">
        <f>COUNTIFS('3. AI Fit Diagnostic'!$P$8:$P$57,$B30,'3. AI Fit Diagnostic'!$W$8:$W$57,"Automate - AI not needed")</f>
        <v>1</v>
      </c>
      <c r="G30" s="21">
        <f>COUNTIFS('3. AI Fit Diagnostic'!$P$8:$P$57,$B30,'3. AI Fit Diagnostic'!$W$8:$W$57,"Redesign / standardise first")</f>
        <v>0</v>
      </c>
      <c r="H30" s="57">
        <f>SUM(C30:G30)</f>
        <v>7</v>
      </c>
      <c r="I30" s="49">
        <f>SUMIF('3. AI Fit Diagnostic'!$P$8:$P$57,$B30,'3. AI Fit Diagnostic'!$AE$8:$AE$57)</f>
        <v>9036</v>
      </c>
      <c r="J30" s="21">
        <f>COUNTIFS('3. AI Fit Diagnostic'!$P$8:$P$57,$B30,'3. AI Fit Diagnostic'!$Z$8:$Z$57,"High")</f>
        <v>1</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2</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2</v>
      </c>
      <c r="I31" s="49">
        <f>SUMIF('3. AI Fit Diagnostic'!$P$8:$P$57,$B31,'3. AI Fit Diagnostic'!$AE$8:$AE$57)</f>
        <v>3000</v>
      </c>
      <c r="J31" s="21">
        <f>COUNTIFS('3. AI Fit Diagnostic'!$P$8:$P$57,$B31,'3. AI Fit Diagnostic'!$Z$8:$Z$57,"High")</f>
        <v>0</v>
      </c>
      <c r="K31" s="42" t="str">
        <f>IF(H31=0,"",IF(C31+D31&gt;=MAX(E31,F31,G31),"AI opportunity",IF(F31&gt;=MAX(E31,G31),"Automation is enough",IF(E31&gt;=G31,"Fix data first","Redesign first"))))</f>
        <v>AI opportunity</v>
      </c>
    </row>
    <row r="32">
      <c r="B32" s="56" t="inlineStr">
        <is>
          <t>Assets, facilities &amp; maintenance</t>
        </is>
      </c>
      <c r="C32" s="21">
        <f>COUNTIFS('3. AI Fit Diagnostic'!$P$8:$P$57,$B32,'3. AI Fit Diagnostic'!$W$8:$W$57,"AI fit now")</f>
        <v>1</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1</v>
      </c>
      <c r="I32" s="49">
        <f>SUMIF('3. AI Fit Diagnostic'!$P$8:$P$57,$B32,'3. AI Fit Diagnostic'!$AE$8:$AE$57)</f>
        <v>192</v>
      </c>
      <c r="J32" s="21">
        <f>COUNTIFS('3. AI Fit Diagnostic'!$P$8:$P$57,$B32,'3. AI Fit Diagnostic'!$Z$8:$Z$57,"High")</f>
        <v>0</v>
      </c>
      <c r="K32" s="42" t="str">
        <f>IF(H32=0,"",IF(C32+D32&gt;=MAX(E32,F32,G32),"AI opportunity",IF(F32&gt;=MAX(E32,G32),"Automation is enough",IF(E32&gt;=G32,"Fix data first","Redesign first"))))</f>
        <v>AI opportunity</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1</v>
      </c>
      <c r="I33" s="49">
        <f>SUMIF('3. AI Fit Diagnostic'!$P$8:$P$57,$B33,'3. AI Fit Diagnostic'!$AE$8:$AE$57)</f>
        <v>540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19</v>
      </c>
      <c r="D35" s="11">
        <f>SUM(D24:D34)</f>
        <v>0</v>
      </c>
      <c r="E35" s="11">
        <f>SUM(E24:E34)</f>
        <v>3</v>
      </c>
      <c r="F35" s="11">
        <f>SUM(F24:F34)</f>
        <v>2</v>
      </c>
      <c r="G35" s="11">
        <f>SUM(G24:G34)</f>
        <v>1</v>
      </c>
      <c r="H35" s="11">
        <f>SUM(H24:H34)</f>
        <v>25</v>
      </c>
      <c r="I35" s="54">
        <f>SUM(I24:I34)</f>
        <v>31536</v>
      </c>
      <c r="J35" s="11">
        <f>SUM(J24:J34)</f>
        <v>6</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Payment exceptions &amp; repairs</v>
      </c>
      <c r="C59" s="58" t="str">
        <f>IFERROR(INDEX('3. AI Fit Diagnostic'!$R$8:$R$57,MATCH(1,'3. AI Fit Diagnostic'!$AC$8:$AC$57,0)),"")</f>
        <v>Rules engine / workflow automation</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Rules-based auto-repair of common payment errors (IBAN, BIC, format) with exception queue.</v>
      </c>
      <c r="J59" s="15" t="n"/>
      <c r="K59" s="15" t="n"/>
    </row>
    <row r="60" ht="46" customHeight="1">
      <c r="A60" s="11" t="n">
        <v>2</v>
      </c>
      <c r="B60" s="26" t="str">
        <f>IFERROR(INDEX('3. AI Fit Diagnostic'!$AJ$8:$AJ$57,MATCH(2,'3. AI Fit Diagnostic'!$AC$8:$AC$57,0)),"")</f>
        <v>Sanctions &amp; PEP screening alert review</v>
      </c>
      <c r="C60" s="58" t="str">
        <f>IFERROR(INDEX('3. AI Fit Diagnostic'!$R$8:$R$57,MATCH(2,'3. AI Fit Diagnostic'!$AC$8:$AC$57,0)),"")</f>
        <v>Predictive analytics / machine learning</v>
      </c>
      <c r="D60" s="15" t="n"/>
      <c r="E60" s="59" t="str">
        <f>IFERROR(INDEX('3. AI Fit Diagnostic'!$W$8:$W$57,MATCH(2,'3. AI Fit Diagnostic'!$AC$8:$AC$57,0)),"")</f>
        <v>AI fit now</v>
      </c>
      <c r="F60" s="15" t="n"/>
      <c r="G60" s="38" t="str">
        <f>IFERROR(INDEX('3. AI Fit Diagnostic'!$Z$8:$Z$57,MATCH(2,'3. AI Fit Diagnostic'!$AC$8:$AC$57,0)),"")</f>
        <v>Medium</v>
      </c>
      <c r="H60" s="58" t="str">
        <f>IFERROR(INDEX('3. AI Fit Diagnostic'!$AD$8:$AD$57,MATCH(2,'3. AI Fit Diagnostic'!$AC$8:$AC$57,0)),"")</f>
        <v>H2 - Next (6-12 months)</v>
      </c>
      <c r="I60" s="60" t="str">
        <f>IFERROR(INDEX('3. AI Fit Diagnostic'!$AF$8:$AF$57,MATCH(2,'3. AI Fit Diagnostic'!$AC$8:$AC$57,0)),"")</f>
        <v>Tune name-matching, then ML / GenAI-assisted alert disposition with evidence summary; analyst decides.</v>
      </c>
      <c r="J60" s="15" t="n"/>
      <c r="K60" s="15" t="n"/>
    </row>
    <row r="61" ht="46" customHeight="1">
      <c r="A61" s="11" t="n">
        <v>3</v>
      </c>
      <c r="B61" s="26" t="str">
        <f>IFERROR(INDEX('3. AI Fit Diagnostic'!$AJ$8:$AJ$57,MATCH(3,'3. AI Fit Diagnostic'!$AC$8:$AC$57,0)),"")</f>
        <v>Retail customer onboarding (eKYC)</v>
      </c>
      <c r="C61" s="58" t="str">
        <f>IFERROR(INDEX('3. AI Fit Diagnostic'!$R$8:$R$57,MATCH(3,'3. AI Fit Diagnostic'!$AC$8:$AC$57,0)),"")</f>
        <v>Intelligent document processing (IDP)</v>
      </c>
      <c r="D61" s="15" t="n"/>
      <c r="E61" s="59" t="str">
        <f>IFERROR(INDEX('3. AI Fit Diagnostic'!$W$8:$W$57,MATCH(3,'3. AI Fit Diagnostic'!$AC$8:$AC$57,0)),"")</f>
        <v>AI fit now</v>
      </c>
      <c r="F61" s="15" t="n"/>
      <c r="G61" s="38" t="str">
        <f>IFERROR(INDEX('3. AI Fit Diagnostic'!$Z$8:$Z$57,MATCH(3,'3. AI Fit Diagnostic'!$AC$8:$AC$57,0)),"")</f>
        <v>High</v>
      </c>
      <c r="H61" s="58" t="str">
        <f>IFERROR(INDEX('3. AI Fit Diagnostic'!$AD$8:$AD$57,MATCH(3,'3. AI Fit Diagnostic'!$AC$8:$AC$57,0)),"")</f>
        <v>H2 - Next (6-12 months)</v>
      </c>
      <c r="I61" s="60" t="str">
        <f>IFERROR(INDEX('3. AI Fit Diagnostic'!$AF$8:$AF$57,MATCH(3,'3. AI Fit Diagnostic'!$AC$8:$AC$57,0)),"")</f>
        <v>Digital onboarding: ID capture (CPR / passport), liveness check, automated screening and risk rating; analyst reviews exceptions.</v>
      </c>
      <c r="J61" s="15" t="n"/>
      <c r="K61" s="15" t="n"/>
    </row>
    <row r="62" ht="46" customHeight="1">
      <c r="A62" s="11" t="n">
        <v>4</v>
      </c>
      <c r="B62" s="26" t="str">
        <f>IFERROR(INDEX('3. AI Fit Diagnostic'!$AJ$8:$AJ$57,MATCH(4,'3. AI Fit Diagnostic'!$AC$8:$AC$57,0)),"")</f>
        <v>Banking virtual assistant</v>
      </c>
      <c r="C62" s="58" t="str">
        <f>IFERROR(INDEX('3. AI Fit Diagnostic'!$R$8:$R$57,MATCH(4,'3. AI Fit Diagnostic'!$AC$8:$AC$57,0)),"")</f>
        <v>Conversational AI / virtual agent</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Authenticated bilingual virtual assistant for balances, card controls and FAQs; no financial advice; hand-off to agents.</v>
      </c>
      <c r="J62" s="15" t="n"/>
      <c r="K62" s="15" t="n"/>
    </row>
    <row r="63" ht="46" customHeight="1">
      <c r="A63" s="11" t="n">
        <v>5</v>
      </c>
      <c r="B63" s="26" t="str">
        <f>IFERROR(INDEX('3. AI Fit Diagnostic'!$AJ$8:$AJ$57,MATCH(5,'3. AI Fit Diagnostic'!$AC$8:$AC$57,0)),"")</f>
        <v>Retail credit decisioning</v>
      </c>
      <c r="C63" s="58" t="str">
        <f>IFERROR(INDEX('3. AI Fit Diagnostic'!$R$8:$R$57,MATCH(5,'3. AI Fit Diagnostic'!$AC$8:$AC$57,0)),"")</f>
        <v>Predictive analytics / machine learning</v>
      </c>
      <c r="D63" s="15" t="n"/>
      <c r="E63" s="59" t="str">
        <f>IFERROR(INDEX('3. AI Fit Diagnostic'!$W$8:$W$57,MATCH(5,'3. AI Fit Diagnostic'!$AC$8:$AC$57,0)),"")</f>
        <v>AI fit now</v>
      </c>
      <c r="F63" s="15" t="n"/>
      <c r="G63" s="38" t="str">
        <f>IFERROR(INDEX('3. AI Fit Diagnostic'!$Z$8:$Z$57,MATCH(5,'3. AI Fit Diagnostic'!$AC$8:$AC$57,0)),"")</f>
        <v>High</v>
      </c>
      <c r="H63" s="58" t="str">
        <f>IFERROR(INDEX('3. AI Fit Diagnostic'!$AD$8:$AD$57,MATCH(5,'3. AI Fit Diagnostic'!$AC$8:$AC$57,0)),"")</f>
        <v>H2 - Next (6-12 months)</v>
      </c>
      <c r="I63" s="60" t="str">
        <f>IFERROR(INDEX('3. AI Fit Diagnostic'!$AF$8:$AF$57,MATCH(5,'3. AI Fit Diagnostic'!$AC$8:$AC$57,0)),"")</f>
        <v>Explainable scorecard / ML credit model with policy rules, reason codes and human review of declines; bias and stability testing.</v>
      </c>
      <c r="J63" s="15" t="n"/>
      <c r="K63" s="15" t="n"/>
    </row>
    <row r="64" ht="46" customHeight="1">
      <c r="A64" s="11" t="n">
        <v>6</v>
      </c>
      <c r="B64" s="26" t="str">
        <f>IFERROR(INDEX('3. AI Fit Diagnostic'!$AJ$8:$AJ$57,MATCH(6,'3. AI Fit Diagnostic'!$AC$8:$AC$57,0)),"")</f>
        <v>Trade-finance document checking (LCs)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extracts LC and shipping-document data and checks discrepancies against UCP 600 / ISBP rules; checker confirms.</v>
      </c>
      <c r="J64" s="15" t="n"/>
      <c r="K64" s="15" t="n"/>
    </row>
    <row r="65" ht="46" customHeight="1">
      <c r="A65" s="11" t="n">
        <v>7</v>
      </c>
      <c r="B65" s="26" t="str">
        <f>IFERROR(INDEX('3. AI Fit Diagnostic'!$AJ$8:$AJ$57,MATCH(7,'3. AI Fit Diagnostic'!$AC$8:$AC$57,0)),"")</f>
        <v>IT service desk</v>
      </c>
      <c r="C65" s="58" t="str">
        <f>IFERROR(INDEX('3. AI Fit Diagnostic'!$R$8:$R$57,MATCH(7,'3. AI Fit Diagnostic'!$AC$8:$AC$57,0)),"")</f>
        <v>Conversational AI / virtual agent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Virtual agent with automated password resets and access requests via ITSM integration.</v>
      </c>
      <c r="J65" s="15" t="n"/>
      <c r="K65" s="15" t="n"/>
    </row>
    <row r="66" ht="46" customHeight="1">
      <c r="A66" s="11" t="n">
        <v>8</v>
      </c>
      <c r="B66" s="26" t="str">
        <f>IFERROR(INDEX('3. AI Fit Diagnostic'!$AJ$8:$AJ$57,MATCH(8,'3. AI Fit Diagnostic'!$AC$8:$AC$57,0)),"")</f>
        <v>Card &amp; payment fraud detection</v>
      </c>
      <c r="C66" s="58" t="str">
        <f>IFERROR(INDEX('3. AI Fit Diagnostic'!$R$8:$R$57,MATCH(8,'3. AI Fit Diagnostic'!$AC$8:$AC$57,0)),"")</f>
        <v>Predictive analytics / machine learning</v>
      </c>
      <c r="D66" s="15" t="n"/>
      <c r="E66" s="59" t="str">
        <f>IFERROR(INDEX('3. AI Fit Diagnostic'!$W$8:$W$57,MATCH(8,'3. AI Fit Diagnostic'!$AC$8:$AC$57,0)),"")</f>
        <v>AI fit now</v>
      </c>
      <c r="F66" s="15" t="n"/>
      <c r="G66" s="38" t="str">
        <f>IFERROR(INDEX('3. AI Fit Diagnostic'!$Z$8:$Z$57,MATCH(8,'3. AI Fit Diagnostic'!$AC$8:$AC$57,0)),"")</f>
        <v>High</v>
      </c>
      <c r="H66" s="58" t="str">
        <f>IFERROR(INDEX('3. AI Fit Diagnostic'!$AD$8:$AD$57,MATCH(8,'3. AI Fit Diagnostic'!$AC$8:$AC$57,0)),"")</f>
        <v>H2 - Next (6-12 months)</v>
      </c>
      <c r="I66" s="60" t="str">
        <f>IFERROR(INDEX('3. AI Fit Diagnostic'!$AF$8:$AF$57,MATCH(8,'3. AI Fit Diagnostic'!$AC$8:$AC$57,0)),"")</f>
        <v>Real-time ML fraud scoring with step-up authentication; continuous model monitoring for drift.</v>
      </c>
      <c r="J66" s="15" t="n"/>
      <c r="K66" s="15" t="n"/>
    </row>
    <row r="67" ht="46" customHeight="1">
      <c r="A67" s="11" t="n">
        <v>9</v>
      </c>
      <c r="B67" s="26" t="str">
        <f>IFERROR(INDEX('3. AI Fit Diagnostic'!$AJ$8:$AJ$57,MATCH(9,'3. AI Fit Diagnostic'!$AC$8:$AC$57,0)),"")</f>
        <v>Periodic KYC refresh</v>
      </c>
      <c r="C67" s="58" t="str">
        <f>IFERROR(INDEX('3. AI Fit Diagnostic'!$R$8:$R$57,MATCH(9,'3. AI Fit Diagnostic'!$AC$8:$AC$57,0)),"")</f>
        <v>Agentic AI (supervised agents)</v>
      </c>
      <c r="D67" s="15" t="n"/>
      <c r="E67" s="59" t="str">
        <f>IFERROR(INDEX('3. AI Fit Diagnostic'!$W$8:$W$57,MATCH(9,'3. AI Fit Diagnostic'!$AC$8:$AC$57,0)),"")</f>
        <v>AI fit now</v>
      </c>
      <c r="F67" s="15" t="n"/>
      <c r="G67" s="38" t="str">
        <f>IFERROR(INDEX('3. AI Fit Diagnostic'!$Z$8:$Z$57,MATCH(9,'3. AI Fit Diagnostic'!$AC$8:$AC$57,0)),"")</f>
        <v>Medium</v>
      </c>
      <c r="H67" s="58" t="str">
        <f>IFERROR(INDEX('3. AI Fit Diagnostic'!$AD$8:$AD$57,MATCH(9,'3. AI Fit Diagnostic'!$AC$8:$AC$57,0)),"")</f>
        <v>H2 - Next (6-12 months)</v>
      </c>
      <c r="I67" s="60" t="str">
        <f>IFERROR(INDEX('3. AI Fit Diagnostic'!$AF$8:$AF$57,MATCH(9,'3. AI Fit Diagnostic'!$AC$8:$AC$57,0)),"")</f>
        <v>Supervised agent collects updated data, pre-fills the review and flags changes in risk; analyst approves.</v>
      </c>
      <c r="J67" s="15" t="n"/>
      <c r="K67" s="15" t="n"/>
    </row>
    <row r="68" ht="46" customHeight="1">
      <c r="A68" s="11" t="n">
        <v>10</v>
      </c>
      <c r="B68" s="26" t="str">
        <f>IFERROR(INDEX('3. AI Fit Diagnostic'!$AJ$8:$AJ$57,MATCH(10,'3. AI Fit Diagnostic'!$AC$8:$AC$57,0)),"")</f>
        <v>Security alert triage (SOC)</v>
      </c>
      <c r="C68" s="58" t="str">
        <f>IFERROR(INDEX('3. AI Fit Diagnostic'!$R$8:$R$57,MATCH(10,'3. AI Fit Diagnostic'!$AC$8:$AC$57,0)),"")</f>
        <v>Agentic AI (supervised agents)</v>
      </c>
      <c r="D68" s="15" t="n"/>
      <c r="E68" s="59" t="str">
        <f>IFERROR(INDEX('3. AI Fit Diagnostic'!$W$8:$W$57,MATCH(10,'3. AI Fit Diagnostic'!$AC$8:$AC$57,0)),"")</f>
        <v>AI fit now</v>
      </c>
      <c r="F68" s="15" t="n"/>
      <c r="G68" s="38" t="str">
        <f>IFERROR(INDEX('3. AI Fit Diagnostic'!$Z$8:$Z$57,MATCH(10,'3. AI Fit Diagnostic'!$AC$8:$AC$57,0)),"")</f>
        <v>Medium</v>
      </c>
      <c r="H68" s="58" t="str">
        <f>IFERROR(INDEX('3. AI Fit Diagnostic'!$AD$8:$AD$57,MATCH(10,'3. AI Fit Diagnostic'!$AC$8:$AC$57,0)),"")</f>
        <v>H2 - Next (6-12 months)</v>
      </c>
      <c r="I68" s="60" t="str">
        <f>IFERROR(INDEX('3. AI Fit Diagnostic'!$AF$8:$AF$57,MATCH(10,'3. AI Fit Diagnostic'!$AC$8:$AC$57,0)),"")</f>
        <v>Security copilot for alert enrichment and triage; automated containment only for pre-approved playbooks with human approval for high-impact actions.</v>
      </c>
      <c r="J68" s="15" t="n"/>
      <c r="K68" s="15" t="n"/>
    </row>
    <row r="70" ht="22" customHeight="1">
      <c r="A70" s="3" t="inlineStr">
        <is>
          <t>E. SECTOR LENS</t>
        </is>
      </c>
    </row>
    <row r="71" ht="18" customHeight="1">
      <c r="A71" s="4" t="inlineStr">
        <is>
          <t>Value at stake by 2030</t>
        </is>
      </c>
      <c r="B71" s="28" t="n"/>
      <c r="C71" s="61" t="str">
        <f>IFERROR(INDEX('7. Sector Profiles'!$B$5:$B$18,MATCH('1. AI Position'!$C$5,'7. Sector Profiles'!$A$5:$A$18,0)),"Select a sector on sheet 1")</f>
        <v>$2.1T  |  10.0%</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Very 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Onboarding &amp; KYC, financial-crime alert triage, fraud, credit, customer service, regulatory reporting</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CBB Rulebook (e.g., FC financial crime, OM operational risk, BC business conduct); PDPL; FATF; EU AI Act Annex III 5(b) credit scoring; model risk (SR 11-7 principles)</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23</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Payment exceptions &amp; repairs</v>
      </c>
      <c r="C6" s="25" t="str">
        <f>IF($H6="","",INDEX('3. AI Fit Diagnostic'!$P$8:$P$57,MATCH($H6,'3. AI Fit Diagnostic'!$AI$8:$AI$57,0)))</f>
        <v>Core operations &amp; service delivery</v>
      </c>
      <c r="D6" s="25" t="str">
        <f>IF($H6="","",INDEX('3. AI Fit Diagnostic'!$R$8:$R$57,MATCH($H6,'3. AI Fit Diagnostic'!$AI$8:$AI$57,0)))</f>
        <v>Rules engine / workflow automation</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1500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4</v>
      </c>
      <c r="B7" s="26" t="str">
        <f>IF($H7="","",INDEX('3. AI Fit Diagnostic'!$AJ$8:$AJ$57,MATCH($H7,'3. AI Fit Diagnostic'!$AI$8:$AI$57,0)))</f>
        <v>Banking virtual assistant</v>
      </c>
      <c r="C7" s="25" t="str">
        <f>IF($H7="","",INDEX('3. AI Fit Diagnostic'!$P$8:$P$57,MATCH($H7,'3. AI Fit Diagnostic'!$AI$8:$AI$57,0)))</f>
        <v>Customer service</v>
      </c>
      <c r="D7" s="25" t="str">
        <f>IF($H7="","",INDEX('3. AI Fit Diagnostic'!$R$8:$R$57,MATCH($H7,'3. AI Fit Diagnostic'!$AI$8:$AI$57,0)))</f>
        <v>Conversational AI / virtual agent</v>
      </c>
      <c r="E7" s="25" t="str">
        <f>IF($H7="","",INDEX('3. AI Fit Diagnostic'!$W$8:$W$57,MATCH($H7,'3. AI Fit Diagnostic'!$AI$8:$AI$57,0)))</f>
        <v>AI fit now</v>
      </c>
      <c r="F7" s="38" t="str">
        <f>IF($H7="","",INDEX('3. AI Fit Diagnostic'!$Z$8:$Z$57,MATCH($H7,'3. AI Fit Diagnostic'!$AI$8:$AI$57,0)))</f>
        <v>Medium</v>
      </c>
      <c r="G7" s="43">
        <f>IF($H7="","",INDEX('3. AI Fit Diagnostic'!$AE$8:$AE$57,MATCH($H7,'3. AI Fit Diagnostic'!$AI$8:$AI$57,0)))</f>
        <v>3240</v>
      </c>
      <c r="H7">
        <f>IF(IFERROR(SMALL('3. AI Fit Diagnostic'!$AI$8:$AI$57,COUNTIF('3. AI Fit Diagnostic'!$AI$8:$AI$57,"&lt;"&amp;100)+2),"")="","",IF(IFERROR(SMALL('3. AI Fit Diagnostic'!$AI$8:$AI$57,COUNTIF('3. AI Fit Diagnostic'!$AI$8:$AI$57,"&lt;"&amp;100)+2),"")&lt;200,IFERROR(SMALL('3. AI Fit Diagnostic'!$AI$8:$AI$57,COUNTIF('3. AI Fit Diagnostic'!$AI$8:$AI$57,"&lt;"&amp;100)+2),""),""))</f>
        <v>104</v>
      </c>
    </row>
    <row r="8" ht="26" customHeight="1">
      <c r="A8" s="42">
        <f>IF($H8="","",INDEX('3. AI Fit Diagnostic'!$AC$8:$AC$57,MATCH($H8,'3. AI Fit Diagnostic'!$AI$8:$AI$57,0)))</f>
        <v>6</v>
      </c>
      <c r="B8" s="26" t="str">
        <f>IF($H8="","",INDEX('3. AI Fit Diagnostic'!$AJ$8:$AJ$57,MATCH($H8,'3. AI Fit Diagnostic'!$AI$8:$AI$57,0)))</f>
        <v>Trade-finance document checking (LCs)</v>
      </c>
      <c r="C8" s="25" t="str">
        <f>IF($H8="","",INDEX('3. AI Fit Diagnostic'!$P$8:$P$57,MATCH($H8,'3. AI Fit Diagnostic'!$AI$8:$AI$57,0)))</f>
        <v>Core operations &amp; service delivery</v>
      </c>
      <c r="D8" s="25" t="str">
        <f>IF($H8="","",INDEX('3. AI Fit Diagnostic'!$R$8:$R$57,MATCH($H8,'3. AI Fit Diagnostic'!$AI$8:$AI$57,0)))</f>
        <v>Intelligent document processing (IDP)</v>
      </c>
      <c r="E8" s="25" t="str">
        <f>IF($H8="","",INDEX('3. AI Fit Diagnostic'!$W$8:$W$57,MATCH($H8,'3. AI Fit Diagnostic'!$AI$8:$AI$57,0)))</f>
        <v>AI fit now</v>
      </c>
      <c r="F8" s="38" t="str">
        <f>IF($H8="","",INDEX('3. AI Fit Diagnostic'!$Z$8:$Z$57,MATCH($H8,'3. AI Fit Diagnostic'!$AI$8:$AI$57,0)))</f>
        <v>Medium</v>
      </c>
      <c r="G8" s="43">
        <f>IF($H8="","",INDEX('3. AI Fit Diagnostic'!$AE$8:$AE$57,MATCH($H8,'3. AI Fit Diagnostic'!$AI$8:$AI$57,0)))</f>
        <v>2100</v>
      </c>
      <c r="H8">
        <f>IF(IFERROR(SMALL('3. AI Fit Diagnostic'!$AI$8:$AI$57,COUNTIF('3. AI Fit Diagnostic'!$AI$8:$AI$57,"&lt;"&amp;100)+3),"")="","",IF(IFERROR(SMALL('3. AI Fit Diagnostic'!$AI$8:$AI$57,COUNTIF('3. AI Fit Diagnostic'!$AI$8:$AI$57,"&lt;"&amp;100)+3),"")&lt;200,IFERROR(SMALL('3. AI Fit Diagnostic'!$AI$8:$AI$57,COUNTIF('3. AI Fit Diagnostic'!$AI$8:$AI$57,"&lt;"&amp;100)+3),""),""))</f>
        <v>106</v>
      </c>
    </row>
    <row r="9" ht="26" customHeight="1">
      <c r="A9" s="42">
        <f>IF($H9="","",INDEX('3. AI Fit Diagnostic'!$AC$8:$AC$57,MATCH($H9,'3. AI Fit Diagnostic'!$AI$8:$AI$57,0)))</f>
        <v>7</v>
      </c>
      <c r="B9" s="26" t="str">
        <f>IF($H9="","",INDEX('3. AI Fit Diagnostic'!$AJ$8:$AJ$57,MATCH($H9,'3. AI Fit Diagnostic'!$AI$8:$AI$57,0)))</f>
        <v>IT service desk</v>
      </c>
      <c r="C9" s="25" t="str">
        <f>IF($H9="","",INDEX('3. AI Fit Diagnostic'!$P$8:$P$57,MATCH($H9,'3. AI Fit Diagnostic'!$AI$8:$AI$57,0)))</f>
        <v>IT &amp; cybersecurity</v>
      </c>
      <c r="D9" s="25" t="str">
        <f>IF($H9="","",INDEX('3. AI Fit Diagnostic'!$R$8:$R$57,MATCH($H9,'3. AI Fit Diagnostic'!$AI$8:$AI$57,0)))</f>
        <v>Conversational AI / virtual agent</v>
      </c>
      <c r="E9" s="25" t="str">
        <f>IF($H9="","",INDEX('3. AI Fit Diagnostic'!$W$8:$W$57,MATCH($H9,'3. AI Fit Diagnostic'!$AI$8:$AI$57,0)))</f>
        <v>AI fit now</v>
      </c>
      <c r="F9" s="38" t="str">
        <f>IF($H9="","",INDEX('3. AI Fit Diagnostic'!$Z$8:$Z$57,MATCH($H9,'3. AI Fit Diagnostic'!$AI$8:$AI$57,0)))</f>
        <v>Low</v>
      </c>
      <c r="G9" s="43">
        <f>IF($H9="","",INDEX('3. AI Fit Diagnostic'!$AE$8:$AE$57,MATCH($H9,'3. AI Fit Diagnostic'!$AI$8:$AI$57,0)))</f>
        <v>1080</v>
      </c>
      <c r="H9">
        <f>IF(IFERROR(SMALL('3. AI Fit Diagnostic'!$AI$8:$AI$57,COUNTIF('3. AI Fit Diagnostic'!$AI$8:$AI$57,"&lt;"&amp;100)+4),"")="","",IF(IFERROR(SMALL('3. AI Fit Diagnostic'!$AI$8:$AI$57,COUNTIF('3. AI Fit Diagnostic'!$AI$8:$AI$57,"&lt;"&amp;100)+4),"")&lt;200,IFERROR(SMALL('3. AI Fit Diagnostic'!$AI$8:$AI$57,COUNTIF('3. AI Fit Diagnostic'!$AI$8:$AI$57,"&lt;"&amp;100)+4),""),""))</f>
        <v>107</v>
      </c>
    </row>
    <row r="10" ht="26" customHeight="1">
      <c r="A10" s="42">
        <f>IF($H10="","",INDEX('3. AI Fit Diagnostic'!$AC$8:$AC$57,MATCH($H10,'3. AI Fit Diagnostic'!$AI$8:$AI$57,0)))</f>
        <v>12</v>
      </c>
      <c r="B10" s="26" t="str">
        <f>IF($H10="","",INDEX('3. AI Fit Diagnostic'!$AJ$8:$AJ$57,MATCH($H10,'3. AI Fit Diagnostic'!$AI$8:$AI$57,0)))</f>
        <v>Suspicious transaction report (STR) narratives</v>
      </c>
      <c r="C10" s="25" t="str">
        <f>IF($H10="","",INDEX('3. AI Fit Diagnostic'!$P$8:$P$57,MATCH($H10,'3. AI Fit Diagnostic'!$AI$8:$AI$57,0)))</f>
        <v>Risk, compliance &amp; legal</v>
      </c>
      <c r="D10" s="25" t="str">
        <f>IF($H10="","",INDEX('3. AI Fit Diagnostic'!$R$8:$R$57,MATCH($H10,'3. AI Fit Diagnostic'!$AI$8:$AI$57,0)))</f>
        <v>Generative AI assistant (off-the-shelf)</v>
      </c>
      <c r="E10" s="25" t="str">
        <f>IF($H10="","",INDEX('3. AI Fit Diagnostic'!$W$8:$W$57,MATCH($H10,'3. AI Fit Diagnostic'!$AI$8:$AI$57,0)))</f>
        <v>AI fit now</v>
      </c>
      <c r="F10" s="38" t="str">
        <f>IF($H10="","",INDEX('3. AI Fit Diagnostic'!$Z$8:$Z$57,MATCH($H10,'3. AI Fit Diagnostic'!$AI$8:$AI$57,0)))</f>
        <v>Medium</v>
      </c>
      <c r="G10" s="43">
        <f>IF($H10="","",INDEX('3. AI Fit Diagnostic'!$AE$8:$AE$57,MATCH($H10,'3. AI Fit Diagnostic'!$AI$8:$AI$57,0)))</f>
        <v>576</v>
      </c>
      <c r="H10">
        <f>IF(IFERROR(SMALL('3. AI Fit Diagnostic'!$AI$8:$AI$57,COUNTIF('3. AI Fit Diagnostic'!$AI$8:$AI$57,"&lt;"&amp;100)+5),"")="","",IF(IFERROR(SMALL('3. AI Fit Diagnostic'!$AI$8:$AI$57,COUNTIF('3. AI Fit Diagnostic'!$AI$8:$AI$57,"&lt;"&amp;100)+5),"")&lt;200,IFERROR(SMALL('3. AI Fit Diagnostic'!$AI$8:$AI$57,COUNTIF('3. AI Fit Diagnostic'!$AI$8:$AI$57,"&lt;"&amp;100)+5),""),""))</f>
        <v>112</v>
      </c>
    </row>
    <row r="11" ht="26" customHeight="1">
      <c r="A11" s="42">
        <f>IF($H11="","",INDEX('3. AI Fit Diagnostic'!$AC$8:$AC$57,MATCH($H11,'3. AI Fit Diagnostic'!$AI$8:$AI$57,0)))</f>
        <v>13</v>
      </c>
      <c r="B11" s="26" t="str">
        <f>IF($H11="","",INDEX('3. AI Fit Diagnostic'!$AJ$8:$AJ$57,MATCH($H11,'3. AI Fit Diagnostic'!$AI$8:$AI$57,0)))</f>
        <v>SME credit memo drafting</v>
      </c>
      <c r="C11" s="25" t="str">
        <f>IF($H11="","",INDEX('3. AI Fit Diagnostic'!$P$8:$P$57,MATCH($H11,'3. AI Fit Diagnostic'!$AI$8:$AI$57,0)))</f>
        <v>Core operations &amp; service delivery</v>
      </c>
      <c r="D11" s="25" t="str">
        <f>IF($H11="","",INDEX('3. AI Fit Diagnostic'!$R$8:$R$57,MATCH($H11,'3. AI Fit Diagnostic'!$AI$8:$AI$57,0)))</f>
        <v>Generative AI assistant (off-the-shelf)</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1080</v>
      </c>
      <c r="H11">
        <f>IF(IFERROR(SMALL('3. AI Fit Diagnostic'!$AI$8:$AI$57,COUNTIF('3. AI Fit Diagnostic'!$AI$8:$AI$57,"&lt;"&amp;100)+6),"")="","",IF(IFERROR(SMALL('3. AI Fit Diagnostic'!$AI$8:$AI$57,COUNTIF('3. AI Fit Diagnostic'!$AI$8:$AI$57,"&lt;"&amp;100)+6),"")&lt;200,IFERROR(SMALL('3. AI Fit Diagnostic'!$AI$8:$AI$57,COUNTIF('3. AI Fit Diagnostic'!$AI$8:$AI$57,"&lt;"&amp;100)+6),""),""))</f>
        <v>113</v>
      </c>
    </row>
    <row r="12" ht="26" customHeight="1">
      <c r="A12" s="42">
        <f>IF($H12="","",INDEX('3. AI Fit Diagnostic'!$AC$8:$AC$57,MATCH($H12,'3. AI Fit Diagnostic'!$AI$8:$AI$57,0)))</f>
        <v>14</v>
      </c>
      <c r="B12" s="26" t="str">
        <f>IF($H12="","",INDEX('3. AI Fit Diagnostic'!$AJ$8:$AJ$57,MATCH($H12,'3. AI Fit Diagnostic'!$AI$8:$AI$57,0)))</f>
        <v>Corporate onboarding (KYB)</v>
      </c>
      <c r="C12" s="25" t="str">
        <f>IF($H12="","",INDEX('3. AI Fit Diagnostic'!$P$8:$P$57,MATCH($H12,'3. AI Fit Diagnostic'!$AI$8:$AI$57,0)))</f>
        <v>Core operations &amp; service delivery</v>
      </c>
      <c r="D12" s="25" t="str">
        <f>IF($H12="","",INDEX('3. AI Fit Diagnostic'!$R$8:$R$57,MATCH($H12,'3. AI Fit Diagnostic'!$AI$8:$AI$57,0)))</f>
        <v>Intelligent document processing (IDP)</v>
      </c>
      <c r="E12" s="25" t="str">
        <f>IF($H12="","",INDEX('3. AI Fit Diagnostic'!$W$8:$W$57,MATCH($H12,'3. AI Fit Diagnostic'!$AI$8:$AI$57,0)))</f>
        <v>AI fit now</v>
      </c>
      <c r="F12" s="38" t="str">
        <f>IF($H12="","",INDEX('3. AI Fit Diagnostic'!$Z$8:$Z$57,MATCH($H12,'3. AI Fit Diagnostic'!$AI$8:$AI$57,0)))</f>
        <v>Medium</v>
      </c>
      <c r="G12" s="43">
        <f>IF($H12="","",INDEX('3. AI Fit Diagnostic'!$AE$8:$AE$57,MATCH($H12,'3. AI Fit Diagnostic'!$AI$8:$AI$57,0)))</f>
        <v>1500</v>
      </c>
      <c r="H12">
        <f>IF(IFERROR(SMALL('3. AI Fit Diagnostic'!$AI$8:$AI$57,COUNTIF('3. AI Fit Diagnostic'!$AI$8:$AI$57,"&lt;"&amp;100)+7),"")="","",IF(IFERROR(SMALL('3. AI Fit Diagnostic'!$AI$8:$AI$57,COUNTIF('3. AI Fit Diagnostic'!$AI$8:$AI$57,"&lt;"&amp;100)+7),"")&lt;200,IFERROR(SMALL('3. AI Fit Diagnostic'!$AI$8:$AI$57,COUNTIF('3. AI Fit Diagnostic'!$AI$8:$AI$57,"&lt;"&amp;100)+7),""),""))</f>
        <v>114</v>
      </c>
    </row>
    <row r="13" ht="26" customHeight="1">
      <c r="A13" s="42">
        <f>IF($H13="","",INDEX('3. AI Fit Diagnostic'!$AC$8:$AC$57,MATCH($H13,'3. AI Fit Diagnostic'!$AI$8:$AI$57,0)))</f>
        <v>15</v>
      </c>
      <c r="B13" s="26" t="str">
        <f>IF($H13="","",INDEX('3. AI Fit Diagnostic'!$AJ$8:$AJ$57,MATCH($H13,'3. AI Fit Diagnostic'!$AI$8:$AI$57,0)))</f>
        <v>Mortgage document verification</v>
      </c>
      <c r="C13" s="25" t="str">
        <f>IF($H13="","",INDEX('3. AI Fit Diagnostic'!$P$8:$P$57,MATCH($H13,'3. AI Fit Diagnostic'!$AI$8:$AI$57,0)))</f>
        <v>Core operations &amp; service delivery</v>
      </c>
      <c r="D13" s="25" t="str">
        <f>IF($H13="","",INDEX('3. AI Fit Diagnostic'!$R$8:$R$57,MATCH($H13,'3. AI Fit Diagnostic'!$AI$8:$AI$57,0)))</f>
        <v>Intelligent document processing (IDP)</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720</v>
      </c>
      <c r="H13">
        <f>IF(IFERROR(SMALL('3. AI Fit Diagnostic'!$AI$8:$AI$57,COUNTIF('3. AI Fit Diagnostic'!$AI$8:$AI$57,"&lt;"&amp;100)+8),"")="","",IF(IFERROR(SMALL('3. AI Fit Diagnostic'!$AI$8:$AI$57,COUNTIF('3. AI Fit Diagnostic'!$AI$8:$AI$57,"&lt;"&amp;100)+8),"")&lt;200,IFERROR(SMALL('3. AI Fit Diagnostic'!$AI$8:$AI$57,COUNTIF('3. AI Fit Diagnostic'!$AI$8:$AI$57,"&lt;"&amp;100)+8),""),""))</f>
        <v>115</v>
      </c>
    </row>
    <row r="14" ht="26" customHeight="1">
      <c r="A14" s="42">
        <f>IF($H14="","",INDEX('3. AI Fit Diagnostic'!$AC$8:$AC$57,MATCH($H14,'3. AI Fit Diagnostic'!$AI$8:$AI$57,0)))</f>
        <v>17</v>
      </c>
      <c r="B14" s="26" t="str">
        <f>IF($H14="","",INDEX('3. AI Fit Diagnostic'!$AJ$8:$AJ$57,MATCH($H14,'3. AI Fit Diagnostic'!$AI$8:$AI$57,0)))</f>
        <v>Regulatory reporting (CBB returns)</v>
      </c>
      <c r="C14" s="25" t="str">
        <f>IF($H14="","",INDEX('3. AI Fit Diagnostic'!$P$8:$P$57,MATCH($H14,'3. AI Fit Diagnostic'!$AI$8:$AI$57,0)))</f>
        <v>Risk, compliance &amp; legal</v>
      </c>
      <c r="D14" s="25" t="str">
        <f>IF($H14="","",INDEX('3. AI Fit Diagnostic'!$R$8:$R$57,MATCH($H14,'3. AI Fit Diagnostic'!$AI$8:$AI$57,0)))</f>
        <v>BI, dashboards &amp; reconciliation automation</v>
      </c>
      <c r="E14" s="25" t="str">
        <f>IF($H14="","",INDEX('3. AI Fit Diagnostic'!$W$8:$W$57,MATCH($H14,'3. AI Fit Diagnostic'!$AI$8:$AI$57,0)))</f>
        <v>Automate - AI not needed</v>
      </c>
      <c r="F14" s="38" t="str">
        <f>IF($H14="","",INDEX('3. AI Fit Diagnostic'!$Z$8:$Z$57,MATCH($H14,'3. AI Fit Diagnostic'!$AI$8:$AI$57,0)))</f>
        <v>Low</v>
      </c>
      <c r="G14" s="43">
        <f>IF($H14="","",INDEX('3. AI Fit Diagnostic'!$AE$8:$AE$57,MATCH($H14,'3. AI Fit Diagnostic'!$AI$8:$AI$57,0)))</f>
        <v>900</v>
      </c>
      <c r="H14">
        <f>IF(IFERROR(SMALL('3. AI Fit Diagnostic'!$AI$8:$AI$57,COUNTIF('3. AI Fit Diagnostic'!$AI$8:$AI$57,"&lt;"&amp;100)+9),"")="","",IF(IFERROR(SMALL('3. AI Fit Diagnostic'!$AI$8:$AI$57,COUNTIF('3. AI Fit Diagnostic'!$AI$8:$AI$57,"&lt;"&amp;100)+9),"")&lt;200,IFERROR(SMALL('3. AI Fit Diagnostic'!$AI$8:$AI$57,COUNTIF('3. AI Fit Diagnostic'!$AI$8:$AI$57,"&lt;"&amp;100)+9),""),""))</f>
        <v>117</v>
      </c>
    </row>
    <row r="15" ht="26" customHeight="1">
      <c r="A15" s="42">
        <f>IF($H15="","",INDEX('3. AI Fit Diagnostic'!$AC$8:$AC$57,MATCH($H15,'3. AI Fit Diagnostic'!$AI$8:$AI$57,0)))</f>
        <v>18</v>
      </c>
      <c r="B15" s="26" t="str">
        <f>IF($H15="","",INDEX('3. AI Fit Diagnostic'!$AJ$8:$AJ$57,MATCH($H15,'3. AI Fit Diagnostic'!$AI$8:$AI$57,0)))</f>
        <v>Meeting minutes &amp; action tracking</v>
      </c>
      <c r="C15" s="25" t="str">
        <f>IF($H15="","",INDEX('3. AI Fit Diagnostic'!$P$8:$P$57,MATCH($H15,'3. AI Fit Diagnostic'!$AI$8:$AI$57,0)))</f>
        <v>Strategy, management &amp; reporting</v>
      </c>
      <c r="D15" s="25" t="str">
        <f>IF($H15="","",INDEX('3. AI Fit Diagnostic'!$R$8:$R$57,MATCH($H15,'3. AI Fit Diagnostic'!$AI$8:$AI$57,0)))</f>
        <v>Generative AI assistant (off-the-shelf)</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540</v>
      </c>
      <c r="H15">
        <f>IF(IFERROR(SMALL('3. AI Fit Diagnostic'!$AI$8:$AI$57,COUNTIF('3. AI Fit Diagnostic'!$AI$8:$AI$57,"&lt;"&amp;100)+10),"")="","",IF(IFERROR(SMALL('3. AI Fit Diagnostic'!$AI$8:$AI$57,COUNTIF('3. AI Fit Diagnostic'!$AI$8:$AI$57,"&lt;"&amp;100)+10),"")&lt;200,IFERROR(SMALL('3. AI Fit Diagnostic'!$AI$8:$AI$57,COUNTIF('3. AI Fit Diagnostic'!$AI$8:$AI$57,"&lt;"&amp;100)+10),""),""))</f>
        <v>118</v>
      </c>
    </row>
    <row r="16" ht="26" customHeight="1">
      <c r="A16" s="42">
        <f>IF($H16="","",INDEX('3. AI Fit Diagnostic'!$AC$8:$AC$57,MATCH($H16,'3. AI Fit Diagnostic'!$AI$8:$AI$57,0)))</f>
        <v>20</v>
      </c>
      <c r="B16" s="26" t="str">
        <f>IF($H16="","",INDEX('3. AI Fit Diagnostic'!$AJ$8:$AJ$57,MATCH($H16,'3. AI Fit Diagnostic'!$AI$8:$AI$57,0)))</f>
        <v>Employee HR queries (leave, policies, payslips)</v>
      </c>
      <c r="C16" s="25" t="str">
        <f>IF($H16="","",INDEX('3. AI Fit Diagnostic'!$P$8:$P$57,MATCH($H16,'3. AI Fit Diagnostic'!$AI$8:$AI$57,0)))</f>
        <v>HR &amp; people</v>
      </c>
      <c r="D16" s="25" t="str">
        <f>IF($H16="","",INDEX('3. AI Fit Diagnostic'!$R$8:$R$57,MATCH($H16,'3. AI Fit Diagnostic'!$AI$8:$AI$57,0)))</f>
        <v>Conversational AI / virtual agent</v>
      </c>
      <c r="E16" s="25" t="str">
        <f>IF($H16="","",INDEX('3. AI Fit Diagnostic'!$W$8:$W$57,MATCH($H16,'3. AI Fit Diagnostic'!$AI$8:$AI$57,0)))</f>
        <v>AI fit now</v>
      </c>
      <c r="F16" s="38" t="str">
        <f>IF($H16="","",INDEX('3. AI Fit Diagnostic'!$Z$8:$Z$57,MATCH($H16,'3. AI Fit Diagnostic'!$AI$8:$AI$57,0)))</f>
        <v>Low</v>
      </c>
      <c r="G16" s="43">
        <f>IF($H16="","",INDEX('3. AI Fit Diagnostic'!$AE$8:$AE$57,MATCH($H16,'3. AI Fit Diagnostic'!$AI$8:$AI$57,0)))</f>
        <v>288</v>
      </c>
      <c r="H16">
        <f>IF(IFERROR(SMALL('3. AI Fit Diagnostic'!$AI$8:$AI$57,COUNTIF('3. AI Fit Diagnostic'!$AI$8:$AI$57,"&lt;"&amp;100)+11),"")="","",IF(IFERROR(SMALL('3. AI Fit Diagnostic'!$AI$8:$AI$57,COUNTIF('3. AI Fit Diagnostic'!$AI$8:$AI$57,"&lt;"&amp;100)+11),"")&lt;200,IFERROR(SMALL('3. AI Fit Diagnostic'!$AI$8:$AI$57,COUNTIF('3. AI Fit Diagnostic'!$AI$8:$AI$57,"&lt;"&amp;100)+11),""),""))</f>
        <v>120</v>
      </c>
    </row>
    <row r="17" ht="26" customHeight="1">
      <c r="A17" s="42">
        <f>IF($H17="","",INDEX('3. AI Fit Diagnostic'!$AC$8:$AC$57,MATCH($H17,'3. AI Fit Diagnostic'!$AI$8:$AI$57,0)))</f>
        <v>21</v>
      </c>
      <c r="B17" s="26" t="str">
        <f>IF($H17="","",INDEX('3. AI Fit Diagnostic'!$AJ$8:$AJ$57,MATCH($H17,'3. AI Fit Diagnostic'!$AI$8:$AI$57,0)))</f>
        <v>Supplier invoice capture &amp; posting</v>
      </c>
      <c r="C17" s="25" t="str">
        <f>IF($H17="","",INDEX('3. AI Fit Diagnostic'!$P$8:$P$57,MATCH($H17,'3. AI Fit Diagnostic'!$AI$8:$AI$57,0)))</f>
        <v>Finance &amp; accounting</v>
      </c>
      <c r="D17" s="25" t="str">
        <f>IF($H17="","",INDEX('3. AI Fit Diagnostic'!$R$8:$R$57,MATCH($H17,'3. AI Fit Diagnostic'!$AI$8:$AI$57,0)))</f>
        <v>Intelligent document processing (IDP)</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900</v>
      </c>
      <c r="H17">
        <f>IF(IFERROR(SMALL('3. AI Fit Diagnostic'!$AI$8:$AI$57,COUNTIF('3. AI Fit Diagnostic'!$AI$8:$AI$57,"&lt;"&amp;100)+12),"")="","",IF(IFERROR(SMALL('3. AI Fit Diagnostic'!$AI$8:$AI$57,COUNTIF('3. AI Fit Diagnostic'!$AI$8:$AI$57,"&lt;"&amp;100)+12),"")&lt;200,IFERROR(SMALL('3. AI Fit Diagnostic'!$AI$8:$AI$57,COUNTIF('3. AI Fit Diagnostic'!$AI$8:$AI$57,"&lt;"&amp;100)+12),""),""))</f>
        <v>121</v>
      </c>
    </row>
    <row r="18" ht="26" customHeight="1">
      <c r="A18" s="42">
        <f>IF($H18="","",INDEX('3. AI Fit Diagnostic'!$AC$8:$AC$57,MATCH($H18,'3. AI Fit Diagnostic'!$AI$8:$AI$57,0)))</f>
        <v>23</v>
      </c>
      <c r="B18" s="26" t="str">
        <f>IF($H18="","",INDEX('3. AI Fit Diagnostic'!$AJ$8:$AJ$57,MATCH($H18,'3. AI Fit Diagnostic'!$AI$8:$AI$57,0)))</f>
        <v>Regulatory change monitoring</v>
      </c>
      <c r="C18" s="25" t="str">
        <f>IF($H18="","",INDEX('3. AI Fit Diagnostic'!$P$8:$P$57,MATCH($H18,'3. AI Fit Diagnostic'!$AI$8:$AI$57,0)))</f>
        <v>Risk, compliance &amp; legal</v>
      </c>
      <c r="D18" s="25" t="str">
        <f>IF($H18="","",INDEX('3. AI Fit Diagnostic'!$R$8:$R$57,MATCH($H18,'3. AI Fit Diagnostic'!$AI$8:$AI$57,0)))</f>
        <v>GenAI knowledge assistant (RAG on own content)</v>
      </c>
      <c r="E18" s="25" t="str">
        <f>IF($H18="","",INDEX('3. AI Fit Diagnostic'!$W$8:$W$57,MATCH($H18,'3. AI Fit Diagnostic'!$AI$8:$AI$57,0)))</f>
        <v>AI fit now</v>
      </c>
      <c r="F18" s="38" t="str">
        <f>IF($H18="","",INDEX('3. AI Fit Diagnostic'!$Z$8:$Z$57,MATCH($H18,'3. AI Fit Diagnostic'!$AI$8:$AI$57,0)))</f>
        <v>Low</v>
      </c>
      <c r="G18" s="43">
        <f>IF($H18="","",INDEX('3. AI Fit Diagnostic'!$AE$8:$AE$57,MATCH($H18,'3. AI Fit Diagnostic'!$AI$8:$AI$57,0)))</f>
        <v>360</v>
      </c>
      <c r="H18">
        <f>IF(IFERROR(SMALL('3. AI Fit Diagnostic'!$AI$8:$AI$57,COUNTIF('3. AI Fit Diagnostic'!$AI$8:$AI$57,"&lt;"&amp;100)+13),"")="","",IF(IFERROR(SMALL('3. AI Fit Diagnostic'!$AI$8:$AI$57,COUNTIF('3. AI Fit Diagnostic'!$AI$8:$AI$57,"&lt;"&amp;100)+13),"")&lt;200,IFERROR(SMALL('3. AI Fit Diagnostic'!$AI$8:$AI$57,COUNTIF('3. AI Fit Diagnostic'!$AI$8:$AI$57,"&lt;"&amp;100)+13),""),""))</f>
        <v>123</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2</v>
      </c>
      <c r="B29" s="26" t="str">
        <f>IF($H29="","",INDEX('3. AI Fit Diagnostic'!$AJ$8:$AJ$57,MATCH($H29,'3. AI Fit Diagnostic'!$AI$8:$AI$57,0)))</f>
        <v>Sanctions &amp; PEP screening alert review</v>
      </c>
      <c r="C29" s="25" t="str">
        <f>IF($H29="","",INDEX('3. AI Fit Diagnostic'!$P$8:$P$57,MATCH($H29,'3. AI Fit Diagnostic'!$AI$8:$AI$57,0)))</f>
        <v>Risk, compliance &amp; legal</v>
      </c>
      <c r="D29" s="25" t="str">
        <f>IF($H29="","",INDEX('3. AI Fit Diagnostic'!$R$8:$R$57,MATCH($H29,'3. AI Fit Diagnostic'!$AI$8:$AI$57,0)))</f>
        <v>Predictive analytics / machine learning</v>
      </c>
      <c r="E29" s="25" t="str">
        <f>IF($H29="","",INDEX('3. AI Fit Diagnostic'!$W$8:$W$57,MATCH($H29,'3. AI Fit Diagnostic'!$AI$8:$AI$57,0)))</f>
        <v>AI fit now</v>
      </c>
      <c r="F29" s="38" t="str">
        <f>IF($H29="","",INDEX('3. AI Fit Diagnostic'!$Z$8:$Z$57,MATCH($H29,'3. AI Fit Diagnostic'!$AI$8:$AI$57,0)))</f>
        <v>Medium</v>
      </c>
      <c r="G29" s="43">
        <f>IF($H29="","",INDEX('3. AI Fit Diagnostic'!$AE$8:$AE$57,MATCH($H29,'3. AI Fit Diagnostic'!$AI$8:$AI$57,0)))</f>
        <v>1440</v>
      </c>
      <c r="H29">
        <f>IF(IFERROR(SMALL('3. AI Fit Diagnostic'!$AI$8:$AI$57,COUNTIF('3. AI Fit Diagnostic'!$AI$8:$AI$57,"&lt;"&amp;200)+1),"")="","",IF(IFERROR(SMALL('3. AI Fit Diagnostic'!$AI$8:$AI$57,COUNTIF('3. AI Fit Diagnostic'!$AI$8:$AI$57,"&lt;"&amp;200)+1),"")&lt;300,IFERROR(SMALL('3. AI Fit Diagnostic'!$AI$8:$AI$57,COUNTIF('3. AI Fit Diagnostic'!$AI$8:$AI$57,"&lt;"&amp;200)+1),""),""))</f>
        <v>202</v>
      </c>
    </row>
    <row r="30" ht="26" customHeight="1">
      <c r="A30" s="42">
        <f>IF($H30="","",INDEX('3. AI Fit Diagnostic'!$AC$8:$AC$57,MATCH($H30,'3. AI Fit Diagnostic'!$AI$8:$AI$57,0)))</f>
        <v>3</v>
      </c>
      <c r="B30" s="26" t="str">
        <f>IF($H30="","",INDEX('3. AI Fit Diagnostic'!$AJ$8:$AJ$57,MATCH($H30,'3. AI Fit Diagnostic'!$AI$8:$AI$57,0)))</f>
        <v>Retail customer onboarding (eKYC)</v>
      </c>
      <c r="C30" s="25" t="str">
        <f>IF($H30="","",INDEX('3. AI Fit Diagnostic'!$P$8:$P$57,MATCH($H30,'3. AI Fit Diagnostic'!$AI$8:$AI$57,0)))</f>
        <v>Core operations &amp; service delivery</v>
      </c>
      <c r="D30" s="25" t="str">
        <f>IF($H30="","",INDEX('3. AI Fit Diagnostic'!$R$8:$R$57,MATCH($H30,'3. AI Fit Diagnostic'!$AI$8:$AI$57,0)))</f>
        <v>Intelligent document processing (IDP)</v>
      </c>
      <c r="E30" s="25" t="str">
        <f>IF($H30="","",INDEX('3. AI Fit Diagnostic'!$W$8:$W$57,MATCH($H30,'3. AI Fit Diagnostic'!$AI$8:$AI$57,0)))</f>
        <v>AI fit now</v>
      </c>
      <c r="F30" s="38" t="str">
        <f>IF($H30="","",INDEX('3. AI Fit Diagnostic'!$Z$8:$Z$57,MATCH($H30,'3. AI Fit Diagnostic'!$AI$8:$AI$57,0)))</f>
        <v>High</v>
      </c>
      <c r="G30" s="43">
        <f>IF($H30="","",INDEX('3. AI Fit Diagnostic'!$AE$8:$AE$57,MATCH($H30,'3. AI Fit Diagnostic'!$AI$8:$AI$57,0)))</f>
        <v>2400</v>
      </c>
      <c r="H30">
        <f>IF(IFERROR(SMALL('3. AI Fit Diagnostic'!$AI$8:$AI$57,COUNTIF('3. AI Fit Diagnostic'!$AI$8:$AI$57,"&lt;"&amp;200)+2),"")="","",IF(IFERROR(SMALL('3. AI Fit Diagnostic'!$AI$8:$AI$57,COUNTIF('3. AI Fit Diagnostic'!$AI$8:$AI$57,"&lt;"&amp;200)+2),"")&lt;300,IFERROR(SMALL('3. AI Fit Diagnostic'!$AI$8:$AI$57,COUNTIF('3. AI Fit Diagnostic'!$AI$8:$AI$57,"&lt;"&amp;200)+2),""),""))</f>
        <v>203</v>
      </c>
    </row>
    <row r="31" ht="26" customHeight="1">
      <c r="A31" s="42">
        <f>IF($H31="","",INDEX('3. AI Fit Diagnostic'!$AC$8:$AC$57,MATCH($H31,'3. AI Fit Diagnostic'!$AI$8:$AI$57,0)))</f>
        <v>5</v>
      </c>
      <c r="B31" s="26" t="str">
        <f>IF($H31="","",INDEX('3. AI Fit Diagnostic'!$AJ$8:$AJ$57,MATCH($H31,'3. AI Fit Diagnostic'!$AI$8:$AI$57,0)))</f>
        <v>Retail credit decisioning</v>
      </c>
      <c r="C31" s="25" t="str">
        <f>IF($H31="","",INDEX('3. AI Fit Diagnostic'!$P$8:$P$57,MATCH($H31,'3. AI Fit Diagnostic'!$AI$8:$AI$57,0)))</f>
        <v>Core operations &amp; service delivery</v>
      </c>
      <c r="D31" s="25" t="str">
        <f>IF($H31="","",INDEX('3. AI Fit Diagnostic'!$R$8:$R$57,MATCH($H31,'3. AI Fit Diagnostic'!$AI$8:$AI$57,0)))</f>
        <v>Predictive analytics / machine learning</v>
      </c>
      <c r="E31" s="25" t="str">
        <f>IF($H31="","",INDEX('3. AI Fit Diagnostic'!$W$8:$W$57,MATCH($H31,'3. AI Fit Diagnostic'!$AI$8:$AI$57,0)))</f>
        <v>AI fit now</v>
      </c>
      <c r="F31" s="38" t="str">
        <f>IF($H31="","",INDEX('3. AI Fit Diagnostic'!$Z$8:$Z$57,MATCH($H31,'3. AI Fit Diagnostic'!$AI$8:$AI$57,0)))</f>
        <v>High</v>
      </c>
      <c r="G31" s="43">
        <f>IF($H31="","",INDEX('3. AI Fit Diagnostic'!$AE$8:$AE$57,MATCH($H31,'3. AI Fit Diagnostic'!$AI$8:$AI$57,0)))</f>
        <v>1200</v>
      </c>
      <c r="H31">
        <f>IF(IFERROR(SMALL('3. AI Fit Diagnostic'!$AI$8:$AI$57,COUNTIF('3. AI Fit Diagnostic'!$AI$8:$AI$57,"&lt;"&amp;200)+3),"")="","",IF(IFERROR(SMALL('3. AI Fit Diagnostic'!$AI$8:$AI$57,COUNTIF('3. AI Fit Diagnostic'!$AI$8:$AI$57,"&lt;"&amp;200)+3),"")&lt;300,IFERROR(SMALL('3. AI Fit Diagnostic'!$AI$8:$AI$57,COUNTIF('3. AI Fit Diagnostic'!$AI$8:$AI$57,"&lt;"&amp;200)+3),""),""))</f>
        <v>205</v>
      </c>
    </row>
    <row r="32" ht="26" customHeight="1">
      <c r="A32" s="42">
        <f>IF($H32="","",INDEX('3. AI Fit Diagnostic'!$AC$8:$AC$57,MATCH($H32,'3. AI Fit Diagnostic'!$AI$8:$AI$57,0)))</f>
        <v>8</v>
      </c>
      <c r="B32" s="26" t="str">
        <f>IF($H32="","",INDEX('3. AI Fit Diagnostic'!$AJ$8:$AJ$57,MATCH($H32,'3. AI Fit Diagnostic'!$AI$8:$AI$57,0)))</f>
        <v>Card &amp; payment fraud detection</v>
      </c>
      <c r="C32" s="25" t="str">
        <f>IF($H32="","",INDEX('3. AI Fit Diagnostic'!$P$8:$P$57,MATCH($H32,'3. AI Fit Diagnostic'!$AI$8:$AI$57,0)))</f>
        <v>Core operations &amp; service delivery</v>
      </c>
      <c r="D32" s="25" t="str">
        <f>IF($H32="","",INDEX('3. AI Fit Diagnostic'!$R$8:$R$57,MATCH($H32,'3. AI Fit Diagnostic'!$AI$8:$AI$57,0)))</f>
        <v>Predictive analytics / machine learning</v>
      </c>
      <c r="E32" s="25" t="str">
        <f>IF($H32="","",INDEX('3. AI Fit Diagnostic'!$W$8:$W$57,MATCH($H32,'3. AI Fit Diagnostic'!$AI$8:$AI$57,0)))</f>
        <v>AI fit now</v>
      </c>
      <c r="F32" s="38" t="str">
        <f>IF($H32="","",INDEX('3. AI Fit Diagnostic'!$Z$8:$Z$57,MATCH($H32,'3. AI Fit Diagnostic'!$AI$8:$AI$57,0)))</f>
        <v>High</v>
      </c>
      <c r="G32" s="43">
        <f>IF($H32="","",INDEX('3. AI Fit Diagnostic'!$AE$8:$AE$57,MATCH($H32,'3. AI Fit Diagnostic'!$AI$8:$AI$57,0)))</f>
        <v>720</v>
      </c>
      <c r="H32">
        <f>IF(IFERROR(SMALL('3. AI Fit Diagnostic'!$AI$8:$AI$57,COUNTIF('3. AI Fit Diagnostic'!$AI$8:$AI$57,"&lt;"&amp;200)+4),"")="","",IF(IFERROR(SMALL('3. AI Fit Diagnostic'!$AI$8:$AI$57,COUNTIF('3. AI Fit Diagnostic'!$AI$8:$AI$57,"&lt;"&amp;200)+4),"")&lt;300,IFERROR(SMALL('3. AI Fit Diagnostic'!$AI$8:$AI$57,COUNTIF('3. AI Fit Diagnostic'!$AI$8:$AI$57,"&lt;"&amp;200)+4),""),""))</f>
        <v>208</v>
      </c>
    </row>
    <row r="33" ht="26" customHeight="1">
      <c r="A33" s="42">
        <f>IF($H33="","",INDEX('3. AI Fit Diagnostic'!$AC$8:$AC$57,MATCH($H33,'3. AI Fit Diagnostic'!$AI$8:$AI$57,0)))</f>
        <v>9</v>
      </c>
      <c r="B33" s="26" t="str">
        <f>IF($H33="","",INDEX('3. AI Fit Diagnostic'!$AJ$8:$AJ$57,MATCH($H33,'3. AI Fit Diagnostic'!$AI$8:$AI$57,0)))</f>
        <v>Periodic KYC refresh</v>
      </c>
      <c r="C33" s="25" t="str">
        <f>IF($H33="","",INDEX('3. AI Fit Diagnostic'!$P$8:$P$57,MATCH($H33,'3. AI Fit Diagnostic'!$AI$8:$AI$57,0)))</f>
        <v>Risk, compliance &amp; legal</v>
      </c>
      <c r="D33" s="25" t="str">
        <f>IF($H33="","",INDEX('3. AI Fit Diagnostic'!$R$8:$R$57,MATCH($H33,'3. AI Fit Diagnostic'!$AI$8:$AI$57,0)))</f>
        <v>Agentic AI (supervised agents)</v>
      </c>
      <c r="E33" s="25" t="str">
        <f>IF($H33="","",INDEX('3. AI Fit Diagnostic'!$W$8:$W$57,MATCH($H33,'3. AI Fit Diagnostic'!$AI$8:$AI$57,0)))</f>
        <v>AI fit now</v>
      </c>
      <c r="F33" s="38" t="str">
        <f>IF($H33="","",INDEX('3. AI Fit Diagnostic'!$Z$8:$Z$57,MATCH($H33,'3. AI Fit Diagnostic'!$AI$8:$AI$57,0)))</f>
        <v>Medium</v>
      </c>
      <c r="G33" s="43">
        <f>IF($H33="","",INDEX('3. AI Fit Diagnostic'!$AE$8:$AE$57,MATCH($H33,'3. AI Fit Diagnostic'!$AI$8:$AI$57,0)))</f>
        <v>2400</v>
      </c>
      <c r="H33">
        <f>IF(IFERROR(SMALL('3. AI Fit Diagnostic'!$AI$8:$AI$57,COUNTIF('3. AI Fit Diagnostic'!$AI$8:$AI$57,"&lt;"&amp;200)+5),"")="","",IF(IFERROR(SMALL('3. AI Fit Diagnostic'!$AI$8:$AI$57,COUNTIF('3. AI Fit Diagnostic'!$AI$8:$AI$57,"&lt;"&amp;200)+5),"")&lt;300,IFERROR(SMALL('3. AI Fit Diagnostic'!$AI$8:$AI$57,COUNTIF('3. AI Fit Diagnostic'!$AI$8:$AI$57,"&lt;"&amp;200)+5),""),""))</f>
        <v>209</v>
      </c>
    </row>
    <row r="34" ht="26" customHeight="1">
      <c r="A34" s="42">
        <f>IF($H34="","",INDEX('3. AI Fit Diagnostic'!$AC$8:$AC$57,MATCH($H34,'3. AI Fit Diagnostic'!$AI$8:$AI$57,0)))</f>
        <v>10</v>
      </c>
      <c r="B34" s="26" t="str">
        <f>IF($H34="","",INDEX('3. AI Fit Diagnostic'!$AJ$8:$AJ$57,MATCH($H34,'3. AI Fit Diagnostic'!$AI$8:$AI$57,0)))</f>
        <v>Security alert triage (SOC)</v>
      </c>
      <c r="C34" s="25" t="str">
        <f>IF($H34="","",INDEX('3. AI Fit Diagnostic'!$P$8:$P$57,MATCH($H34,'3. AI Fit Diagnostic'!$AI$8:$AI$57,0)))</f>
        <v>IT &amp; cybersecurity</v>
      </c>
      <c r="D34" s="25" t="str">
        <f>IF($H34="","",INDEX('3. AI Fit Diagnostic'!$R$8:$R$57,MATCH($H34,'3. AI Fit Diagnostic'!$AI$8:$AI$57,0)))</f>
        <v>Agentic AI (supervised agents)</v>
      </c>
      <c r="E34" s="25" t="str">
        <f>IF($H34="","",INDEX('3. AI Fit Diagnostic'!$W$8:$W$57,MATCH($H34,'3. AI Fit Diagnostic'!$AI$8:$AI$57,0)))</f>
        <v>AI fit now</v>
      </c>
      <c r="F34" s="38" t="str">
        <f>IF($H34="","",INDEX('3. AI Fit Diagnostic'!$Z$8:$Z$57,MATCH($H34,'3. AI Fit Diagnostic'!$AI$8:$AI$57,0)))</f>
        <v>Medium</v>
      </c>
      <c r="G34" s="43">
        <f>IF($H34="","",INDEX('3. AI Fit Diagnostic'!$AE$8:$AE$57,MATCH($H34,'3. AI Fit Diagnostic'!$AI$8:$AI$57,0)))</f>
        <v>1920</v>
      </c>
      <c r="H34">
        <f>IF(IFERROR(SMALL('3. AI Fit Diagnostic'!$AI$8:$AI$57,COUNTIF('3. AI Fit Diagnostic'!$AI$8:$AI$57,"&lt;"&amp;200)+6),"")="","",IF(IFERROR(SMALL('3. AI Fit Diagnostic'!$AI$8:$AI$57,COUNTIF('3. AI Fit Diagnostic'!$AI$8:$AI$57,"&lt;"&amp;200)+6),"")&lt;300,IFERROR(SMALL('3. AI Fit Diagnostic'!$AI$8:$AI$57,COUNTIF('3. AI Fit Diagnostic'!$AI$8:$AI$57,"&lt;"&amp;200)+6),""),""))</f>
        <v>210</v>
      </c>
    </row>
    <row r="35" ht="26" customHeight="1">
      <c r="A35" s="42">
        <f>IF($H35="","",INDEX('3. AI Fit Diagnostic'!$AC$8:$AC$57,MATCH($H35,'3. AI Fit Diagnostic'!$AI$8:$AI$57,0)))</f>
        <v>11</v>
      </c>
      <c r="B35" s="26" t="str">
        <f>IF($H35="","",INDEX('3. AI Fit Diagnostic'!$AJ$8:$AJ$57,MATCH($H35,'3. AI Fit Diagnostic'!$AI$8:$AI$57,0)))</f>
        <v>AML transaction-monitoring alert triage</v>
      </c>
      <c r="C35" s="25" t="str">
        <f>IF($H35="","",INDEX('3. AI Fit Diagnostic'!$P$8:$P$57,MATCH($H35,'3. AI Fit Diagnostic'!$AI$8:$AI$57,0)))</f>
        <v>Risk, compliance &amp; legal</v>
      </c>
      <c r="D35" s="25" t="str">
        <f>IF($H35="","",INDEX('3. AI Fit Diagnostic'!$R$8:$R$57,MATCH($H35,'3. AI Fit Diagnostic'!$AI$8:$AI$57,0)))</f>
        <v>Predictive analytics / machine learning</v>
      </c>
      <c r="E35" s="25" t="str">
        <f>IF($H35="","",INDEX('3. AI Fit Diagnostic'!$W$8:$W$57,MATCH($H35,'3. AI Fit Diagnostic'!$AI$8:$AI$57,0)))</f>
        <v>AI fit now</v>
      </c>
      <c r="F35" s="38" t="str">
        <f>IF($H35="","",INDEX('3. AI Fit Diagnostic'!$Z$8:$Z$57,MATCH($H35,'3. AI Fit Diagnostic'!$AI$8:$AI$57,0)))</f>
        <v>High</v>
      </c>
      <c r="G35" s="43">
        <f>IF($H35="","",INDEX('3. AI Fit Diagnostic'!$AE$8:$AE$57,MATCH($H35,'3. AI Fit Diagnostic'!$AI$8:$AI$57,0)))</f>
        <v>2880</v>
      </c>
      <c r="H35">
        <f>IF(IFERROR(SMALL('3. AI Fit Diagnostic'!$AI$8:$AI$57,COUNTIF('3. AI Fit Diagnostic'!$AI$8:$AI$57,"&lt;"&amp;200)+7),"")="","",IF(IFERROR(SMALL('3. AI Fit Diagnostic'!$AI$8:$AI$57,COUNTIF('3. AI Fit Diagnostic'!$AI$8:$AI$57,"&lt;"&amp;200)+7),"")&lt;300,IFERROR(SMALL('3. AI Fit Diagnostic'!$AI$8:$AI$57,COUNTIF('3. AI Fit Diagnostic'!$AI$8:$AI$57,"&lt;"&amp;200)+7),""),""))</f>
        <v>211</v>
      </c>
    </row>
    <row r="36" ht="26" customHeight="1">
      <c r="A36" s="42">
        <f>IF($H36="","",INDEX('3. AI Fit Diagnostic'!$AC$8:$AC$57,MATCH($H36,'3. AI Fit Diagnostic'!$AI$8:$AI$57,0)))</f>
        <v>19</v>
      </c>
      <c r="B36" s="26" t="str">
        <f>IF($H36="","",INDEX('3. AI Fit Diagnostic'!$AJ$8:$AJ$57,MATCH($H36,'3. AI Fit Diagnostic'!$AI$8:$AI$57,0)))</f>
        <v>ATM &amp; branch cash forecasting</v>
      </c>
      <c r="C36" s="25" t="str">
        <f>IF($H36="","",INDEX('3. AI Fit Diagnostic'!$P$8:$P$57,MATCH($H36,'3. AI Fit Diagnostic'!$AI$8:$AI$57,0)))</f>
        <v>Assets, facilities &amp; maintenance</v>
      </c>
      <c r="D36" s="25" t="str">
        <f>IF($H36="","",INDEX('3. AI Fit Diagnostic'!$R$8:$R$57,MATCH($H36,'3. AI Fit Diagnostic'!$AI$8:$AI$57,0)))</f>
        <v>Predictive analytics / machine learning</v>
      </c>
      <c r="E36" s="25" t="str">
        <f>IF($H36="","",INDEX('3. AI Fit Diagnostic'!$W$8:$W$57,MATCH($H36,'3. AI Fit Diagnostic'!$AI$8:$AI$57,0)))</f>
        <v>AI fit now</v>
      </c>
      <c r="F36" s="38" t="str">
        <f>IF($H36="","",INDEX('3. AI Fit Diagnostic'!$Z$8:$Z$57,MATCH($H36,'3. AI Fit Diagnostic'!$AI$8:$AI$57,0)))</f>
        <v>Low</v>
      </c>
      <c r="G36" s="43">
        <f>IF($H36="","",INDEX('3. AI Fit Diagnostic'!$AE$8:$AE$57,MATCH($H36,'3. AI Fit Diagnostic'!$AI$8:$AI$57,0)))</f>
        <v>192</v>
      </c>
      <c r="H36">
        <f>IF(IFERROR(SMALL('3. AI Fit Diagnostic'!$AI$8:$AI$57,COUNTIF('3. AI Fit Diagnostic'!$AI$8:$AI$57,"&lt;"&amp;200)+8),"")="","",IF(IFERROR(SMALL('3. AI Fit Diagnostic'!$AI$8:$AI$57,COUNTIF('3. AI Fit Diagnostic'!$AI$8:$AI$57,"&lt;"&amp;200)+8),"")&lt;300,IFERROR(SMALL('3. AI Fit Diagnostic'!$AI$8:$AI$57,COUNTIF('3. AI Fit Diagnostic'!$AI$8:$AI$57,"&lt;"&amp;200)+8),""),""))</f>
        <v>219</v>
      </c>
    </row>
    <row r="37" ht="26" customHeight="1">
      <c r="A37" s="42">
        <f>IF($H37="","",INDEX('3. AI Fit Diagnostic'!$AC$8:$AC$57,MATCH($H37,'3. AI Fit Diagnostic'!$AI$8:$AI$57,0)))</f>
        <v>24</v>
      </c>
      <c r="B37" s="26" t="str">
        <f>IF($H37="","",INDEX('3. AI Fit Diagnostic'!$AJ$8:$AJ$57,MATCH($H37,'3. AI Fit Diagnostic'!$AI$8:$AI$57,0)))</f>
        <v>Complaints handling (CBB timelines)</v>
      </c>
      <c r="C37" s="25" t="str">
        <f>IF($H37="","",INDEX('3. AI Fit Diagnostic'!$P$8:$P$57,MATCH($H37,'3. AI Fit Diagnostic'!$AI$8:$AI$57,0)))</f>
        <v>Customer service</v>
      </c>
      <c r="D37" s="25" t="str">
        <f>IF($H37="","",INDEX('3. AI Fit Diagnostic'!$R$8:$R$57,MATCH($H37,'3. AI Fit Diagnostic'!$AI$8:$AI$57,0)))</f>
        <v>Generative AI assistant (off-the-shelf)</v>
      </c>
      <c r="E37" s="25" t="str">
        <f>IF($H37="","",INDEX('3. AI Fit Diagnostic'!$W$8:$W$57,MATCH($H37,'3. AI Fit Diagnostic'!$AI$8:$AI$57,0)))</f>
        <v>Redesign / standardise first</v>
      </c>
      <c r="F37" s="38" t="str">
        <f>IF($H37="","",INDEX('3. AI Fit Diagnostic'!$Z$8:$Z$57,MATCH($H37,'3. AI Fit Diagnostic'!$AI$8:$AI$57,0)))</f>
        <v>High</v>
      </c>
      <c r="G37" s="43">
        <f>IF($H37="","",INDEX('3. AI Fit Diagnostic'!$AE$8:$AE$57,MATCH($H37,'3. AI Fit Diagnostic'!$AI$8:$AI$57,0)))</f>
        <v>720</v>
      </c>
      <c r="H37">
        <f>IF(IFERROR(SMALL('3. AI Fit Diagnostic'!$AI$8:$AI$57,COUNTIF('3. AI Fit Diagnostic'!$AI$8:$AI$57,"&lt;"&amp;200)+9),"")="","",IF(IFERROR(SMALL('3. AI Fit Diagnostic'!$AI$8:$AI$57,COUNTIF('3. AI Fit Diagnostic'!$AI$8:$AI$57,"&lt;"&amp;200)+9),"")&lt;300,IFERROR(SMALL('3. AI Fit Diagnostic'!$AI$8:$AI$57,COUNTIF('3. AI Fit Diagnostic'!$AI$8:$AI$57,"&lt;"&amp;200)+9),""),""))</f>
        <v>224</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16</v>
      </c>
      <c r="B44" s="26" t="str">
        <f>IF($H44="","",INDEX('3. AI Fit Diagnostic'!$AJ$8:$AJ$57,MATCH($H44,'3. AI Fit Diagnostic'!$AI$8:$AI$57,0)))</f>
        <v>Card dispute &amp; chargeback handling</v>
      </c>
      <c r="C44" s="25" t="str">
        <f>IF($H44="","",INDEX('3. AI Fit Diagnostic'!$P$8:$P$57,MATCH($H44,'3. AI Fit Diagnostic'!$AI$8:$AI$57,0)))</f>
        <v>Customer service</v>
      </c>
      <c r="D44" s="25" t="str">
        <f>IF($H44="","",INDEX('3. AI Fit Diagnostic'!$R$8:$R$57,MATCH($H44,'3. AI Fit Diagnostic'!$AI$8:$AI$57,0)))</f>
        <v>Agentic AI (supervised agents)</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1440</v>
      </c>
      <c r="H44">
        <f>IF(IFERROR(SMALL('3. AI Fit Diagnostic'!$AI$8:$AI$57,COUNTIF('3. AI Fit Diagnostic'!$AI$8:$AI$57,"&lt;"&amp;300)+1),"")="","",IF(IFERROR(SMALL('3. AI Fit Diagnostic'!$AI$8:$AI$57,COUNTIF('3. AI Fit Diagnostic'!$AI$8:$AI$57,"&lt;"&amp;300)+1),"")&lt;400,IFERROR(SMALL('3. AI Fit Diagnostic'!$AI$8:$AI$57,COUNTIF('3. AI Fit Diagnostic'!$AI$8:$AI$57,"&lt;"&amp;300)+1),""),""))</f>
        <v>316</v>
      </c>
    </row>
    <row r="45" ht="26" customHeight="1">
      <c r="A45" s="42">
        <f>IF($H45="","",INDEX('3. AI Fit Diagnostic'!$AC$8:$AC$57,MATCH($H45,'3. AI Fit Diagnostic'!$AI$8:$AI$57,0)))</f>
        <v>22</v>
      </c>
      <c r="B45" s="26" t="str">
        <f>IF($H45="","",INDEX('3. AI Fit Diagnostic'!$AJ$8:$AJ$57,MATCH($H45,'3. AI Fit Diagnostic'!$AI$8:$AI$57,0)))</f>
        <v>Collections prioritisation</v>
      </c>
      <c r="C45" s="25" t="str">
        <f>IF($H45="","",INDEX('3. AI Fit Diagnostic'!$P$8:$P$57,MATCH($H45,'3. AI Fit Diagnostic'!$AI$8:$AI$57,0)))</f>
        <v>Core operations &amp; service delivery</v>
      </c>
      <c r="D45" s="25" t="str">
        <f>IF($H45="","",INDEX('3. AI Fit Diagnostic'!$R$8:$R$57,MATCH($H45,'3. AI Fit Diagnostic'!$AI$8:$AI$57,0)))</f>
        <v>Predictive analytics / machine learning</v>
      </c>
      <c r="E45" s="25" t="str">
        <f>IF($H45="","",INDEX('3. AI Fit Diagnostic'!$W$8:$W$57,MATCH($H45,'3. AI Fit Diagnostic'!$AI$8:$AI$57,0)))</f>
        <v>AI later - close data gap first</v>
      </c>
      <c r="F45" s="38" t="str">
        <f>IF($H45="","",INDEX('3. AI Fit Diagnostic'!$Z$8:$Z$57,MATCH($H45,'3. AI Fit Diagnostic'!$AI$8:$AI$57,0)))</f>
        <v>High</v>
      </c>
      <c r="G45" s="43">
        <f>IF($H45="","",INDEX('3. AI Fit Diagnostic'!$AE$8:$AE$57,MATCH($H45,'3. AI Fit Diagnostic'!$AI$8:$AI$57,0)))</f>
        <v>960</v>
      </c>
      <c r="H45">
        <f>IF(IFERROR(SMALL('3. AI Fit Diagnostic'!$AI$8:$AI$57,COUNTIF('3. AI Fit Diagnostic'!$AI$8:$AI$57,"&lt;"&amp;300)+2),"")="","",IF(IFERROR(SMALL('3. AI Fit Diagnostic'!$AI$8:$AI$57,COUNTIF('3. AI Fit Diagnostic'!$AI$8:$AI$57,"&lt;"&amp;300)+2),"")&lt;400,IFERROR(SMALL('3. AI Fit Diagnostic'!$AI$8:$AI$57,COUNTIF('3. AI Fit Diagnostic'!$AI$8:$AI$57,"&lt;"&amp;300)+2),""),""))</f>
        <v>322</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25</v>
      </c>
      <c r="B57" s="26" t="str">
        <f>IF($H57="","",INDEX('3. AI Fit Diagnostic'!$AJ$8:$AJ$57,MATCH($H57,'3. AI Fit Diagnostic'!$AI$8:$AI$57,0)))</f>
        <v>IFRS 9 ECL staging &amp; overlays support</v>
      </c>
      <c r="C57" s="25" t="str">
        <f>IF($H57="","",INDEX('3. AI Fit Diagnostic'!$P$8:$P$57,MATCH($H57,'3. AI Fit Diagnostic'!$AI$8:$AI$57,0)))</f>
        <v>Risk, compliance &amp; legal</v>
      </c>
      <c r="D57" s="25" t="str">
        <f>IF($H57="","",INDEX('3. AI Fit Diagnostic'!$R$8:$R$57,MATCH($H57,'3. AI Fit Diagnostic'!$AI$8:$AI$57,0)))</f>
        <v>Predictive analytics / machine learning</v>
      </c>
      <c r="E57" s="25" t="str">
        <f>IF($H57="","",INDEX('3. AI Fit Diagnostic'!$W$8:$W$57,MATCH($H57,'3. AI Fit Diagnostic'!$AI$8:$AI$57,0)))</f>
        <v>AI later - close data gap first</v>
      </c>
      <c r="F57" s="38" t="str">
        <f>IF($H57="","",INDEX('3. AI Fit Diagnostic'!$Z$8:$Z$57,MATCH($H57,'3. AI Fit Diagnostic'!$AI$8:$AI$57,0)))</f>
        <v>Medium</v>
      </c>
      <c r="G57" s="43">
        <f>IF($H57="","",INDEX('3. AI Fit Diagnostic'!$AE$8:$AE$57,MATCH($H57,'3. AI Fit Diagnostic'!$AI$8:$AI$57,0)))</f>
        <v>480</v>
      </c>
      <c r="H57">
        <f>IF(IFERROR(SMALL('3. AI Fit Diagnostic'!$AI$8:$AI$57,COUNTIF('3. AI Fit Diagnostic'!$AI$8:$AI$57,"&lt;"&amp;400)+1),"")="","",IF(IFERROR(SMALL('3. AI Fit Diagnostic'!$AI$8:$AI$57,COUNTIF('3. AI Fit Diagnostic'!$AI$8:$AI$57,"&lt;"&amp;400)+1),"")&lt;500,IFERROR(SMALL('3. AI Fit Diagnostic'!$AI$8:$AI$57,COUNTIF('3. AI Fit Diagnostic'!$AI$8:$AI$57,"&lt;"&amp;400)+1),""),""))</f>
        <v>425</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6 High-risk and 11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3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2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3</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Retail customer onboarding (eKYC)</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BNK-01 - Banking &amp; payments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Branch visits and manual document checks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Extract information from documents, forms or emails</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400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AI fit now</v>
      </c>
      <c r="C12" s="4" t="inlineStr">
        <is>
          <t>Solution family</t>
        </is>
      </c>
      <c r="D12" s="69" t="str">
        <f>IFERROR(IF(INDEX('3. AI Fit Diagnostic'!$R$8:$R$57,MATCH($B$4,'3. AI Fit Diagnostic'!$A$8:$A$57,0))="","",INDEX('3. AI Fit Diagnostic'!$R$8:$R$57,MATCH($B$4,'3. AI Fit Diagnostic'!$A$8:$A$57,0))),"")</f>
        <v>Intelligent document processing (IDP)</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Within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4.50  (Quick win)</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Digital onboarding: ID capture (CPR / passport), liveness check, automated screening and risk rating; analyst reviews exceptions.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ID documents, selfie / liveness, customer data</v>
      </c>
      <c r="C16" s="15" t="n"/>
      <c r="D16" s="15" t="n"/>
    </row>
    <row r="17" ht="30" customHeight="1">
      <c r="A17" s="4" t="inlineStr">
        <is>
          <t>Typical solutions</t>
        </is>
      </c>
      <c r="B17" s="69" t="str">
        <f>IFERROR(INDEX(Lists!$G$2:$G$11,MATCH(INDEX('3. AI Fit Diagnostic'!$R$8:$R$57,MATCH($B$4,'3. AI Fit Diagnostic'!$A$8:$A$57,0)),Lists!$B$2:$B$11,0)),"")</f>
        <v>Azure AI Document Intelligence, AWS Textract, ABBYY, Rossum; OCR + validation rules</v>
      </c>
      <c r="C17" s="15" t="n"/>
      <c r="D17" s="15" t="n"/>
    </row>
    <row r="18" ht="44" customHeight="1">
      <c r="A18" s="4" t="inlineStr">
        <is>
          <t>Design notes</t>
        </is>
      </c>
      <c r="B18" s="69" t="str">
        <f>IFERROR(INDEX(Lists!$I$2:$I$11,MATCH(INDEX('3. AI Fit Diagnostic'!$R$8:$R$57,MATCH($B$4,'3. AI Fit Diagnostic'!$A$8:$A$57,0)),Lists!$B$2:$B$11,0)),"")</f>
        <v>Needs digital or scanned documents and a validation step. Arabic / bilingual accuracy to be tested.</v>
      </c>
      <c r="C18" s="15" t="n"/>
      <c r="D18" s="15" t="n"/>
    </row>
    <row r="19" ht="30" customHeight="1">
      <c r="A19" s="4" t="inlineStr">
        <is>
          <t>What this verdict means</t>
        </is>
      </c>
      <c r="B19" s="69" t="str">
        <f>IFERROR(INDEX(Lists!$AS$2:$AS$6,MATCH(B12,Lists!$AR$2:$AR$6,0)),"")</f>
        <v>AI is the right tool, the data exists and it is within the organisation's current position.</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CBB Rulebook FC (financial crime) KYC; biometric data - treat as sensitive (PDPL); liveness-vendor assurance.</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RCM v2.1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Onboarding time; drop-off rate; KYC exceptions</v>
      </c>
      <c r="C25" s="15" t="n"/>
      <c r="D25" s="15" t="n"/>
    </row>
    <row r="26">
      <c r="A26" s="4" t="inlineStr">
        <is>
          <t>Indicative hours released / yr</t>
        </is>
      </c>
      <c r="B26" s="49">
        <f>IFERROR(IF(INDEX('3. AI Fit Diagnostic'!$AE$8:$AE$57,MATCH($B$4,'3. AI Fit Diagnostic'!$A$8:$A$57,0))="","",INDEX('3. AI Fit Diagnostic'!$AE$8:$AE$57,MATCH($B$4,'3. AI Fit Diagnostic'!$A$8:$A$57,0))),"")</f>
        <v>2400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Shape the use case (canvas), run the GT AI risk assessment for its tier, select a tool and pilot within 3 months with KPIs.</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Value at stake: QuantumBlack &amp; PwC analysis - predictions for 2030 (as presented in GT Bahrain 'Introduction to Artificial Intelligence', 2026); insurance and capital markets share the financial-services figure; hospitality shares retail &amp; consumer. '-' = no sector figure in that analysis.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2026-10-04T05:39:31Z</dcterms:created>
  <dcterms:modified xmlns:dcterms="http://purl.org/dc/terms/" xmlns:xsi="http://www.w3.org/2001/XMLSchema-instance" xsi:type="dcterms:W3CDTF">2026-10-04T05:39:32Z</dcterms:modified>
</cp:coreProperties>
</file>