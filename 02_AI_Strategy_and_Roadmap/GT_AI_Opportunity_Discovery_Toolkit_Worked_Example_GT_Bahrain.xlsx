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4" autoFilterDateGrouping="1"/>
  </bookViews>
  <sheets>
    <sheet xmlns:r="http://schemas.openxmlformats.org/officeDocument/2006/relationships" name="Guide" sheetId="1" state="visible" r:id="rId1"/>
    <sheet xmlns:r="http://schemas.openxmlformats.org/officeDocument/2006/relationships" name="1. AI Position" sheetId="2" state="visible" r:id="rId2"/>
    <sheet xmlns:r="http://schemas.openxmlformats.org/officeDocument/2006/relationships" name="2. Use-Case Library" sheetId="3" state="visible" r:id="rId3"/>
    <sheet xmlns:r="http://schemas.openxmlformats.org/officeDocument/2006/relationships" name="3. AI Fit Diagnostic" sheetId="4" state="visible" r:id="rId4"/>
    <sheet xmlns:r="http://schemas.openxmlformats.org/officeDocument/2006/relationships" name="4. Opportunity Report" sheetId="5" state="visible" r:id="rId5"/>
    <sheet xmlns:r="http://schemas.openxmlformats.org/officeDocument/2006/relationships" name="5. Roadmap" sheetId="6" state="visible" r:id="rId6"/>
    <sheet xmlns:r="http://schemas.openxmlformats.org/officeDocument/2006/relationships" name="6. Use-Case Canvas" sheetId="7" state="visible" r:id="rId7"/>
    <sheet xmlns:r="http://schemas.openxmlformats.org/officeDocument/2006/relationships" name="7. Sector Profiles" sheetId="8" state="visible" r:id="rId8"/>
    <sheet xmlns:r="http://schemas.openxmlformats.org/officeDocument/2006/relationships" name="Reference" sheetId="9" state="visible" r:id="rId9"/>
    <sheet xmlns:r="http://schemas.openxmlformats.org/officeDocument/2006/relationships" name="Lists" sheetId="10" state="hidden" r:id="rId10"/>
  </sheets>
  <definedNames>
    <definedName name="_xlnm.Print_Area" localSheetId="0">'Guide'!$A$1:$C$30</definedName>
    <definedName name="_xlnm.Print_Area" localSheetId="1">'1. AI Position'!$A$1:$E$40</definedName>
    <definedName name="_xlnm._FilterDatabase" localSheetId="2" hidden="1">'2. Use-Case Library'!$A$4:$L$244</definedName>
    <definedName name="_xlnm.Print_Titles" localSheetId="2">'2. Use-Case Library'!$4:$4</definedName>
    <definedName name="_xlnm.Print_Area" localSheetId="2">'2. Use-Case Library'!$A$1:$L$244</definedName>
    <definedName name="_xlnm.Print_Titles" localSheetId="3">'3. AI Fit Diagnostic'!$6:$7</definedName>
    <definedName name="_xlnm.Print_Area" localSheetId="3">'3. AI Fit Diagnostic'!$A$1:$AG$57</definedName>
    <definedName name="_xlnm.Print_Area" localSheetId="4">'4. Opportunity Report'!$A$1:$K$77</definedName>
    <definedName name="_xlnm.Print_Area" localSheetId="5">'5. Roadmap'!$A$1:$G$73</definedName>
    <definedName name="_xlnm.Print_Area" localSheetId="6">'6. Use-Case Canvas'!$A$1:$D$31</definedName>
    <definedName name="_xlnm.Print_Area" localSheetId="7">'7. Sector Profiles'!$A$1:$G$22</definedName>
    <definedName name="_xlnm.Print_Area" localSheetId="8">'Reference'!$A$1:$F$76</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b val="1"/>
      <color rgb="00FFFFFF"/>
      <sz val="16"/>
    </font>
    <font>
      <i val="1"/>
      <color rgb="004F2D7F"/>
      <sz val="9.5"/>
    </font>
    <font>
      <b val="1"/>
      <color rgb="00FFFFFF"/>
      <sz val="10.5"/>
    </font>
    <font>
      <b val="1"/>
      <color rgb="00000000"/>
      <sz val="9.5"/>
    </font>
    <font>
      <color rgb="00000000"/>
      <sz val="9.5"/>
    </font>
    <font>
      <b val="1"/>
      <color rgb="00FFFFFF"/>
      <sz val="9.5"/>
    </font>
    <font>
      <color rgb="00595959"/>
      <sz val="8.5"/>
    </font>
    <font>
      <b val="1"/>
      <color rgb="00000000"/>
      <sz val="11"/>
    </font>
    <font>
      <b val="1"/>
      <color rgb="00FFFFFF"/>
      <sz val="9"/>
    </font>
    <font>
      <b val="1"/>
      <color rgb="00000000"/>
      <sz val="8.5"/>
    </font>
    <font>
      <color rgb="00000000"/>
      <sz val="8.5"/>
    </font>
    <font>
      <i val="1"/>
      <color rgb="00000000"/>
      <sz val="9.5"/>
    </font>
    <font>
      <b val="1"/>
      <color rgb="00FFFFFF"/>
      <sz val="8.5"/>
    </font>
    <font>
      <color rgb="00000000"/>
      <sz val="8"/>
    </font>
    <font>
      <b val="1"/>
      <color rgb="00000000"/>
      <sz val="9"/>
    </font>
    <font>
      <color rgb="00000000"/>
      <sz val="9"/>
    </font>
    <font>
      <i val="1"/>
      <color rgb="00595959"/>
      <sz val="8"/>
    </font>
    <font>
      <b val="1"/>
      <i val="1"/>
      <color rgb="004F2D7F"/>
      <sz val="9.5"/>
    </font>
    <font>
      <b val="1"/>
      <color rgb="00000000"/>
      <sz val="8"/>
    </font>
    <font>
      <color rgb="00000000"/>
      <sz val="7.5"/>
    </font>
    <font>
      <b val="1"/>
      <color rgb="00000000"/>
      <sz val="12"/>
    </font>
  </fonts>
  <fills count="17">
    <fill>
      <patternFill/>
    </fill>
    <fill>
      <patternFill patternType="gray125"/>
    </fill>
    <fill>
      <patternFill patternType="solid">
        <fgColor rgb="004F2D7F"/>
      </patternFill>
    </fill>
    <fill>
      <patternFill patternType="solid">
        <fgColor rgb="00EDE7F6"/>
      </patternFill>
    </fill>
    <fill>
      <patternFill patternType="solid">
        <fgColor rgb="00FFF9E6"/>
      </patternFill>
    </fill>
    <fill>
      <patternFill patternType="solid">
        <fgColor rgb="007B5BA6"/>
      </patternFill>
    </fill>
    <fill>
      <patternFill patternType="solid">
        <fgColor rgb="00D9CCEB"/>
      </patternFill>
    </fill>
    <fill>
      <patternFill patternType="solid">
        <fgColor rgb="00F2F2F2"/>
      </patternFill>
    </fill>
    <fill>
      <patternFill patternType="solid">
        <fgColor rgb="003B2160"/>
      </patternFill>
    </fill>
    <fill>
      <patternFill patternType="solid">
        <fgColor rgb="00A9D08E"/>
      </patternFill>
    </fill>
    <fill>
      <patternFill patternType="solid">
        <fgColor rgb="009BC2E6"/>
      </patternFill>
    </fill>
    <fill>
      <patternFill patternType="solid">
        <fgColor rgb="00FFE699"/>
      </patternFill>
    </fill>
    <fill>
      <patternFill patternType="solid">
        <fgColor rgb="00F4B183"/>
      </patternFill>
    </fill>
    <fill>
      <patternFill patternType="solid">
        <fgColor rgb="00D9D9D9"/>
      </patternFill>
    </fill>
    <fill>
      <patternFill patternType="solid">
        <fgColor rgb="0000A7B5"/>
      </patternFill>
    </fill>
    <fill>
      <patternFill patternType="solid">
        <fgColor rgb="007F7F7F"/>
      </patternFill>
    </fill>
    <fill>
      <patternFill patternType="solid">
        <fgColor rgb="00C6E0B4"/>
      </patternFill>
    </fill>
  </fills>
  <borders count="6">
    <border>
      <left/>
      <right/>
      <top/>
      <bottom/>
      <diagonal/>
    </border>
    <border>
      <left style="thin">
        <color rgb="00C9C9C9"/>
      </left>
      <right style="thin">
        <color rgb="00C9C9C9"/>
      </right>
      <top style="thin">
        <color rgb="00C9C9C9"/>
      </top>
      <bottom style="thin">
        <color rgb="00C9C9C9"/>
      </bottom>
    </border>
    <border>
      <left/>
      <right/>
      <top style="thin">
        <color rgb="00C9C9C9"/>
      </top>
      <bottom/>
      <diagonal/>
    </border>
    <border>
      <left/>
      <right style="thin">
        <color rgb="00C9C9C9"/>
      </right>
      <top style="thin">
        <color rgb="00C9C9C9"/>
      </top>
      <bottom/>
      <diagonal/>
    </border>
    <border>
      <left/>
      <right/>
      <top style="thin">
        <color rgb="00C9C9C9"/>
      </top>
      <bottom style="thin">
        <color rgb="00C9C9C9"/>
      </bottom>
      <diagonal/>
    </border>
    <border>
      <left/>
      <right style="thin">
        <color rgb="00C9C9C9"/>
      </right>
      <top style="thin">
        <color rgb="00C9C9C9"/>
      </top>
      <bottom style="thin">
        <color rgb="00C9C9C9"/>
      </bottom>
      <diagonal/>
    </border>
  </borders>
  <cellStyleXfs count="1">
    <xf numFmtId="0" fontId="0" fillId="0" borderId="0"/>
  </cellStyleXfs>
  <cellXfs count="76">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xf>
    <xf numFmtId="0" fontId="3" fillId="2" borderId="0" applyAlignment="1" pivotButton="0" quotePrefix="0" xfId="0">
      <alignment vertical="center" indent="1"/>
    </xf>
    <xf numFmtId="0" fontId="4" fillId="3"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0" fillId="4" borderId="1" pivotButton="0" quotePrefix="0" xfId="0"/>
    <xf numFmtId="0" fontId="6" fillId="2" borderId="1" applyAlignment="1" pivotButton="0" quotePrefix="0" xfId="0">
      <alignment horizontal="center" vertical="center" wrapText="1"/>
    </xf>
    <xf numFmtId="0" fontId="3" fillId="5" borderId="0" applyAlignment="1" pivotButton="0" quotePrefix="0" xfId="0">
      <alignment vertical="center" indent="1"/>
    </xf>
    <xf numFmtId="0" fontId="4" fillId="3" borderId="1" applyAlignment="1" pivotButton="0" quotePrefix="0" xfId="0">
      <alignment horizontal="center" vertical="center" wrapText="1"/>
    </xf>
    <xf numFmtId="0" fontId="5" fillId="4" borderId="1" applyAlignment="1" pivotButton="0" quotePrefix="0" xfId="0">
      <alignment vertical="top" wrapText="1"/>
    </xf>
    <xf numFmtId="0" fontId="7" fillId="0" borderId="1" applyAlignment="1" pivotButton="0" quotePrefix="0" xfId="0">
      <alignment vertical="top" wrapText="1"/>
    </xf>
    <xf numFmtId="0" fontId="5" fillId="3" borderId="1" applyAlignment="1" pivotButton="0" quotePrefix="0" xfId="0">
      <alignment horizontal="center" vertical="center" wrapText="1"/>
    </xf>
    <xf numFmtId="0" fontId="0" fillId="0" borderId="1" pivotButton="0" quotePrefix="0" xfId="0"/>
    <xf numFmtId="9" fontId="4" fillId="0" borderId="1" applyAlignment="1" pivotButton="0" quotePrefix="0" xfId="0">
      <alignment vertical="top" wrapText="1"/>
    </xf>
    <xf numFmtId="0" fontId="8" fillId="6" borderId="1" applyAlignment="1" pivotButton="0" quotePrefix="0" xfId="0">
      <alignment vertical="top" wrapText="1"/>
    </xf>
    <xf numFmtId="0" fontId="0" fillId="6" borderId="1" pivotButton="0" quotePrefix="0" xfId="0"/>
    <xf numFmtId="0" fontId="4" fillId="6" borderId="1" applyAlignment="1" pivotButton="0" quotePrefix="0" xfId="0">
      <alignment vertical="top" wrapText="1"/>
    </xf>
    <xf numFmtId="0" fontId="4" fillId="7" borderId="1" applyAlignment="1" pivotButton="0" quotePrefix="0" xfId="0">
      <alignment horizontal="center" vertical="center" wrapText="1"/>
    </xf>
    <xf numFmtId="0" fontId="5" fillId="0"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vertical="top" wrapText="1"/>
    </xf>
    <xf numFmtId="0" fontId="11" fillId="3" borderId="1" applyAlignment="1" pivotButton="0" quotePrefix="0" xfId="0">
      <alignment vertical="top" wrapText="1"/>
    </xf>
    <xf numFmtId="0" fontId="11" fillId="0" borderId="1" applyAlignment="1" pivotButton="0" quotePrefix="0" xfId="0">
      <alignment vertical="top" wrapText="1"/>
    </xf>
    <xf numFmtId="0" fontId="10" fillId="0" borderId="1" applyAlignment="1" pivotButton="0" quotePrefix="0" xfId="0">
      <alignment vertical="top" wrapText="1"/>
    </xf>
    <xf numFmtId="0" fontId="4" fillId="6" borderId="1" applyAlignment="1" pivotButton="0" quotePrefix="0" xfId="0">
      <alignment vertical="center" wrapText="1"/>
    </xf>
    <xf numFmtId="0" fontId="0" fillId="3" borderId="1" pivotButton="0" quotePrefix="0" xfId="0"/>
    <xf numFmtId="0" fontId="4"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12" fillId="3" borderId="1" applyAlignment="1" pivotButton="0" quotePrefix="0" xfId="0">
      <alignment vertical="center" wrapText="1"/>
    </xf>
    <xf numFmtId="0" fontId="0" fillId="2" borderId="1" pivotButton="0" quotePrefix="0" xfId="0"/>
    <xf numFmtId="0" fontId="6" fillId="8" borderId="1" applyAlignment="1" pivotButton="0" quotePrefix="0" xfId="0">
      <alignment horizontal="center" vertical="center" wrapText="1"/>
    </xf>
    <xf numFmtId="0" fontId="0" fillId="8" borderId="1" pivotButton="0" quotePrefix="0" xfId="0"/>
    <xf numFmtId="0" fontId="13" fillId="2" borderId="1" applyAlignment="1" pivotButton="0" quotePrefix="0" xfId="0">
      <alignment horizontal="center" vertical="center" wrapText="1"/>
    </xf>
    <xf numFmtId="0" fontId="13" fillId="8" borderId="1" applyAlignment="1" pivotButton="0" quotePrefix="0" xfId="0">
      <alignment horizontal="center" vertical="center" wrapText="1"/>
    </xf>
    <xf numFmtId="0" fontId="11" fillId="4" borderId="1" applyAlignment="1" pivotButton="0" quotePrefix="0" xfId="0">
      <alignment vertical="top" wrapText="1"/>
    </xf>
    <xf numFmtId="0" fontId="11" fillId="0" borderId="1" applyAlignment="1" pivotButton="0" quotePrefix="0" xfId="0">
      <alignment horizontal="center" vertical="center" wrapText="1"/>
    </xf>
    <xf numFmtId="0" fontId="11" fillId="0" borderId="1" applyAlignment="1" pivotButton="0" quotePrefix="0" xfId="0">
      <alignment vertical="center" wrapText="1"/>
    </xf>
    <xf numFmtId="0" fontId="10" fillId="0" borderId="1" applyAlignment="1" pivotButton="0" quotePrefix="0" xfId="0">
      <alignment vertical="center" wrapText="1"/>
    </xf>
    <xf numFmtId="2" fontId="11" fillId="0" borderId="1" applyAlignment="1" pivotButton="0" quotePrefix="0" xfId="0">
      <alignment horizontal="center" vertical="center" wrapText="1"/>
    </xf>
    <xf numFmtId="0" fontId="10" fillId="0" borderId="1" applyAlignment="1" pivotButton="0" quotePrefix="0" xfId="0">
      <alignment horizontal="center" vertical="center" wrapText="1"/>
    </xf>
    <xf numFmtId="3" fontId="11" fillId="0" borderId="1" applyAlignment="1" pivotButton="0" quotePrefix="0" xfId="0">
      <alignment horizontal="center" vertical="center" wrapText="1"/>
    </xf>
    <xf numFmtId="0" fontId="14" fillId="0" borderId="1" applyAlignment="1" pivotButton="0" quotePrefix="0" xfId="0">
      <alignment vertical="center" wrapText="1"/>
    </xf>
    <xf numFmtId="0" fontId="0" fillId="0" borderId="4" pivotButton="0" quotePrefix="0" xfId="0"/>
    <xf numFmtId="0" fontId="0" fillId="0" borderId="5" pivotButton="0" quotePrefix="0" xfId="0"/>
    <xf numFmtId="0" fontId="4" fillId="9" borderId="1" applyAlignment="1" pivotButton="0" quotePrefix="0" xfId="0">
      <alignment vertical="center" wrapText="1"/>
    </xf>
    <xf numFmtId="9"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4" fillId="13" borderId="1" applyAlignment="1" pivotButton="0" quotePrefix="0" xfId="0">
      <alignment vertical="center" wrapText="1"/>
    </xf>
    <xf numFmtId="3" fontId="4" fillId="3" borderId="1" applyAlignment="1" pivotButton="0" quotePrefix="0" xfId="0">
      <alignment horizontal="center" vertical="center" wrapText="1"/>
    </xf>
    <xf numFmtId="0" fontId="18" fillId="0" borderId="1" applyAlignment="1" pivotButton="0" quotePrefix="0" xfId="0">
      <alignment vertical="top" wrapText="1"/>
    </xf>
    <xf numFmtId="0" fontId="10" fillId="3" borderId="1" applyAlignment="1" pivotButton="0" quotePrefix="0" xfId="0">
      <alignment vertical="center" wrapText="1"/>
    </xf>
    <xf numFmtId="0" fontId="4" fillId="0" borderId="1" applyAlignment="1" pivotButton="0" quotePrefix="0" xfId="0">
      <alignment horizontal="center" vertical="center" wrapText="1"/>
    </xf>
    <xf numFmtId="0" fontId="14" fillId="0" borderId="1" applyAlignment="1" pivotButton="0" quotePrefix="0" xfId="0">
      <alignment vertical="top" wrapText="1"/>
    </xf>
    <xf numFmtId="0" fontId="19" fillId="0" borderId="1" applyAlignment="1" pivotButton="0" quotePrefix="0" xfId="0">
      <alignment vertical="top" wrapText="1"/>
    </xf>
    <xf numFmtId="0" fontId="20" fillId="0" borderId="1" applyAlignment="1" pivotButton="0" quotePrefix="0" xfId="0">
      <alignment vertical="top" wrapText="1"/>
    </xf>
    <xf numFmtId="0" fontId="16" fillId="0" borderId="1" applyAlignment="1" pivotButton="0" quotePrefix="0" xfId="0">
      <alignment vertical="top" wrapText="1"/>
    </xf>
    <xf numFmtId="0" fontId="17" fillId="0" borderId="1" applyAlignment="1" pivotButton="0" quotePrefix="0" xfId="0">
      <alignment vertical="top" wrapText="1"/>
    </xf>
    <xf numFmtId="0" fontId="10" fillId="3" borderId="1" applyAlignment="1" pivotButton="0" quotePrefix="0" xfId="0">
      <alignment horizontal="center" vertical="center" wrapText="1"/>
    </xf>
    <xf numFmtId="0" fontId="3" fillId="14" borderId="0" applyAlignment="1" pivotButton="0" quotePrefix="0" xfId="0">
      <alignment vertical="center" indent="1"/>
    </xf>
    <xf numFmtId="0" fontId="3" fillId="15" borderId="0" applyAlignment="1" pivotButton="0" quotePrefix="0" xfId="0">
      <alignment vertical="center" indent="1"/>
    </xf>
    <xf numFmtId="0" fontId="3" fillId="8" borderId="0" applyAlignment="1" pivotButton="0" quotePrefix="0" xfId="0">
      <alignment vertical="center" indent="1"/>
    </xf>
    <xf numFmtId="0" fontId="21" fillId="4"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15" fillId="3" borderId="1" applyAlignment="1" pivotButton="0" quotePrefix="0" xfId="0">
      <alignment vertical="top" wrapText="1"/>
    </xf>
    <xf numFmtId="0" fontId="5" fillId="6"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16" borderId="1" applyAlignment="1" pivotButton="0" quotePrefix="0" xfId="0">
      <alignment vertical="center" wrapText="1"/>
    </xf>
  </cellXfs>
  <cellStyles count="1">
    <cellStyle name="Normal" xfId="0" builtinId="0" hidden="0"/>
  </cellStyles>
  <dxfs count="9">
    <dxf>
      <font>
        <b val="1"/>
      </font>
      <fill>
        <patternFill patternType="solid">
          <fgColor rgb="00A9D08E"/>
        </patternFill>
      </fill>
    </dxf>
    <dxf>
      <fill>
        <patternFill patternType="solid">
          <fgColor rgb="00C6E0B4"/>
        </patternFill>
      </fill>
    </dxf>
    <dxf>
      <fill>
        <patternFill patternType="solid">
          <fgColor rgb="00FFE699"/>
        </patternFill>
      </fill>
    </dxf>
    <dxf>
      <fill>
        <patternFill patternType="solid">
          <fgColor rgb="00F4B183"/>
        </patternFill>
      </fill>
    </dxf>
    <dxf>
      <fill>
        <patternFill patternType="solid">
          <fgColor rgb="00A9D08E"/>
        </patternFill>
      </fill>
    </dxf>
    <dxf>
      <fill>
        <patternFill patternType="solid">
          <fgColor rgb="009BC2E6"/>
        </patternFill>
      </fill>
    </dxf>
    <dxf>
      <fill>
        <patternFill patternType="solid">
          <fgColor rgb="00D9D9D9"/>
        </patternFill>
      </fill>
    </dxf>
    <dxf>
      <font>
        <b val="1"/>
        <color rgb="00C00000"/>
      </font>
    </dxf>
    <dxf>
      <font>
        <b val="1"/>
        <color rgb="00C55A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Processes by function and verdict</a:t>
            </a:r>
          </a:p>
        </rich>
      </tx>
    </title>
    <plotArea>
      <barChart>
        <barDir val="bar"/>
        <grouping val="stacked"/>
        <ser>
          <idx val="0"/>
          <order val="0"/>
          <tx>
            <strRef>
              <f>'4. Opportunity Report'!C23</f>
            </strRef>
          </tx>
          <spPr>
            <a:solidFill xmlns:a="http://schemas.openxmlformats.org/drawingml/2006/main">
              <a:srgbClr val="A9D08E"/>
            </a:solidFill>
            <a:ln xmlns:a="http://schemas.openxmlformats.org/drawingml/2006/main">
              <a:solidFill>
                <a:srgbClr val="A9D08E"/>
              </a:solidFill>
              <a:prstDash val="solid"/>
            </a:ln>
          </spPr>
          <cat>
            <numRef>
              <f>'4. Opportunity Report'!$B$24:$B$34</f>
            </numRef>
          </cat>
          <val>
            <numRef>
              <f>'4. Opportunity Report'!$C$24:$C$34</f>
            </numRef>
          </val>
        </ser>
        <ser>
          <idx val="1"/>
          <order val="1"/>
          <tx>
            <strRef>
              <f>'4. Opportunity Report'!D23</f>
            </strRef>
          </tx>
          <spPr>
            <a:solidFill xmlns:a="http://schemas.openxmlformats.org/drawingml/2006/main">
              <a:srgbClr val="F4B183"/>
            </a:solidFill>
            <a:ln xmlns:a="http://schemas.openxmlformats.org/drawingml/2006/main">
              <a:solidFill>
                <a:srgbClr val="F4B183"/>
              </a:solidFill>
              <a:prstDash val="solid"/>
            </a:ln>
          </spPr>
          <cat>
            <numRef>
              <f>'4. Opportunity Report'!$B$24:$B$34</f>
            </numRef>
          </cat>
          <val>
            <numRef>
              <f>'4. Opportunity Report'!$D$24:$D$34</f>
            </numRef>
          </val>
        </ser>
        <ser>
          <idx val="2"/>
          <order val="2"/>
          <tx>
            <strRef>
              <f>'4. Opportunity Report'!E23</f>
            </strRef>
          </tx>
          <spPr>
            <a:solidFill xmlns:a="http://schemas.openxmlformats.org/drawingml/2006/main">
              <a:srgbClr val="FFE699"/>
            </a:solidFill>
            <a:ln xmlns:a="http://schemas.openxmlformats.org/drawingml/2006/main">
              <a:solidFill>
                <a:srgbClr val="FFE699"/>
              </a:solidFill>
              <a:prstDash val="solid"/>
            </a:ln>
          </spPr>
          <cat>
            <numRef>
              <f>'4. Opportunity Report'!$B$24:$B$34</f>
            </numRef>
          </cat>
          <val>
            <numRef>
              <f>'4. Opportunity Report'!$E$24:$E$34</f>
            </numRef>
          </val>
        </ser>
        <ser>
          <idx val="3"/>
          <order val="3"/>
          <tx>
            <strRef>
              <f>'4. Opportunity Report'!F23</f>
            </strRef>
          </tx>
          <spPr>
            <a:solidFill xmlns:a="http://schemas.openxmlformats.org/drawingml/2006/main">
              <a:srgbClr val="9BC2E6"/>
            </a:solidFill>
            <a:ln xmlns:a="http://schemas.openxmlformats.org/drawingml/2006/main">
              <a:solidFill>
                <a:srgbClr val="9BC2E6"/>
              </a:solidFill>
              <a:prstDash val="solid"/>
            </a:ln>
          </spPr>
          <cat>
            <numRef>
              <f>'4. Opportunity Report'!$B$24:$B$34</f>
            </numRef>
          </cat>
          <val>
            <numRef>
              <f>'4. Opportunity Report'!$F$24:$F$34</f>
            </numRef>
          </val>
        </ser>
        <ser>
          <idx val="4"/>
          <order val="4"/>
          <tx>
            <strRef>
              <f>'4. Opportunity Report'!G23</f>
            </strRef>
          </tx>
          <spPr>
            <a:solidFill xmlns:a="http://schemas.openxmlformats.org/drawingml/2006/main">
              <a:srgbClr val="D9D9D9"/>
            </a:solidFill>
            <a:ln xmlns:a="http://schemas.openxmlformats.org/drawingml/2006/main">
              <a:solidFill>
                <a:srgbClr val="D9D9D9"/>
              </a:solidFill>
              <a:prstDash val="solid"/>
            </a:ln>
          </spPr>
          <cat>
            <numRef>
              <f>'4. Opportunity Report'!$B$24:$B$34</f>
            </numRef>
          </cat>
          <val>
            <numRef>
              <f>'4. Opportunity Report'!$G$24:$G$34</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36</row>
      <rowOff>0</rowOff>
    </from>
    <ext cx="90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C30"/>
  <sheetViews>
    <sheetView showGridLines="0" workbookViewId="0">
      <selection activeCell="A1" sqref="A1"/>
    </sheetView>
  </sheetViews>
  <sheetFormatPr baseColWidth="8" defaultRowHeight="15"/>
  <cols>
    <col width="3" customWidth="1" min="1" max="1"/>
    <col width="30" customWidth="1" min="2" max="2"/>
    <col width="108" customWidth="1" min="3" max="3"/>
  </cols>
  <sheetData>
    <row r="1" ht="32" customHeight="1">
      <c r="A1" s="1" t="inlineStr">
        <is>
          <t>GT AI Opportunity Discovery Toolkit</t>
        </is>
      </c>
    </row>
    <row r="2" ht="32" customHeight="1">
      <c r="A2" s="2" t="inlineStr">
        <is>
          <t>Where exactly does AI fit in this organisation - and where is automation enough? A facilitated workshop tool of the GT AI Strategy &amp; Roadmap service, built on a 240-entry, standards-based AI use-case library.</t>
        </is>
      </c>
    </row>
    <row r="4" ht="22" customHeight="1">
      <c r="B4" s="3" t="inlineStr">
        <is>
          <t>WHAT THIS TOOLKIT ANSWERS</t>
        </is>
      </c>
    </row>
    <row r="5" ht="44" customHeight="1">
      <c r="B5" s="4" t="inlineStr">
        <is>
          <t>1. Is the organisation positioned for AI?</t>
        </is>
      </c>
      <c r="C5" s="5" t="inlineStr">
        <is>
          <t>Do you have the DATA (digital, joined-up, reliable, with history and outcomes) and the SCALE / CAPACITY (volumes, people, budget, technology team) for AI - or is automation enough for now? Result: one of four archetypes and a ceiling on solution complexity.</t>
        </is>
      </c>
    </row>
    <row r="6" ht="44" customHeight="1">
      <c r="B6" s="4" t="inlineStr">
        <is>
          <t>2. Where exactly does AI fit?</t>
        </is>
      </c>
      <c r="C6" s="5" t="inlineStr">
        <is>
          <t>Process by process, selected from the GT AI Use-Case Library for the client's sector: which solution family fits (automate, off-the-shelf AI, configured AI, custom / agentic AI), is the data there, what is the risk tier - and what exactly GT recommends.</t>
        </is>
      </c>
    </row>
    <row r="7" ht="44" customHeight="1">
      <c r="B7" s="4" t="inlineStr">
        <is>
          <t>3. What should be done first?</t>
        </is>
      </c>
      <c r="C7" s="5" t="inlineStr">
        <is>
          <t>Value x feasibility, risk-adjusted priority, horizon (H1 / H2 / H3), opportunity report, roadmap lanes and one-page use-case canvases.</t>
        </is>
      </c>
    </row>
    <row r="8" ht="44" customHeight="1">
      <c r="B8" s="4" t="inlineStr">
        <is>
          <t>Not a readiness test</t>
        </is>
      </c>
      <c r="C8" s="5" t="inlineStr">
        <is>
          <t>Governance and capability maturity are measured by the GT AI Readiness &amp; Risk Assessment (AI Ready7-based). This toolkit locates the opportunities and the right type of solution for each.</t>
        </is>
      </c>
    </row>
    <row r="10" ht="22" customHeight="1">
      <c r="B10" s="3" t="inlineStr">
        <is>
          <t>HOW TO USE IT (WORKSHOP SEQUENCE)</t>
        </is>
      </c>
    </row>
    <row r="11" ht="40" customHeight="1">
      <c r="B11" s="4" t="inlineStr">
        <is>
          <t>1. AI Position</t>
        </is>
      </c>
      <c r="C11" s="5" t="inlineStr">
        <is>
          <t>Select the sector, then answer 12 questions with leadership, IT and finance (about 30 minutes). Data Position and Scale &amp; Capacity scores place the organisation in an archetype.</t>
        </is>
      </c>
    </row>
    <row r="12" ht="40" customHeight="1">
      <c r="B12" s="4" t="inlineStr">
        <is>
          <t>2. Use-Case Library</t>
        </is>
      </c>
      <c r="C12" s="5" t="inlineStr">
        <is>
          <t>240 use cases: 60 cross-industry plus 180 sector-specific entries (banking, insurance, capital markets, healthcare, telecom, government, retail, hospitality, manufacturing, energy, logistics, real estate, education, professional services). Each entry carries the GT recommendation, data needed, KPIs, regulatory notes and a minimum risk tier.</t>
        </is>
      </c>
    </row>
    <row r="13" ht="40" customHeight="1">
      <c r="B13" s="4" t="inlineStr">
        <is>
          <t>3. AI Fit Diagnostic</t>
        </is>
      </c>
      <c r="C13" s="5" t="inlineStr">
        <is>
          <t>Select up to 50 use cases from the library (the list shows cross-industry + the selected sector) and answer 9 inputs each (yellow). Custom processes can be typed in - then select the task nature and function. Everything else calculates, including the library recommendation.</t>
        </is>
      </c>
    </row>
    <row r="14" ht="40" customHeight="1">
      <c r="B14" s="4" t="inlineStr">
        <is>
          <t>4. Opportunity Report</t>
        </is>
      </c>
      <c r="C14" s="5" t="inlineStr">
        <is>
          <t>The client-ready output: AI position, verdict mix, where AI fits by function, the top 10 opportunities with GT recommendations and the sector lens.</t>
        </is>
      </c>
    </row>
    <row r="15" ht="40" customHeight="1">
      <c r="B15" s="4" t="inlineStr">
        <is>
          <t>5. Roadmap</t>
        </is>
      </c>
      <c r="C15" s="5" t="inlineStr">
        <is>
          <t>Opportunities placed automatically in H1 / H2 / H3 lanes plus the enabling foundations they depend on.</t>
        </is>
      </c>
    </row>
    <row r="16" ht="40" customHeight="1">
      <c r="B16" s="4" t="inlineStr">
        <is>
          <t>6. Use-Case Canvas</t>
        </is>
      </c>
      <c r="C16" s="5" t="inlineStr">
        <is>
          <t>Pick an opportunity number; a one-page canvas is produced (recommendation, data, KPIs, risk tier, regulatory notes, minimum controls, next step).</t>
        </is>
      </c>
    </row>
    <row r="17" ht="40" customHeight="1">
      <c r="B17" s="4" t="inlineStr">
        <is>
          <t>7. Sector Profiles</t>
        </is>
      </c>
      <c r="C17" s="5" t="inlineStr">
        <is>
          <t>Value at stake, automation &amp; AI potential, value pools and key regulators for each sector.</t>
        </is>
      </c>
    </row>
    <row r="18" ht="40" customHeight="1">
      <c r="B18" s="4" t="inlineStr">
        <is>
          <t>Reference</t>
        </is>
      </c>
      <c r="C18" s="5" t="inlineStr">
        <is>
          <t>Solution families, archetypes, verdicts, minimum controls, function taxonomy (APQC) and the standards behind each step.</t>
        </is>
      </c>
    </row>
    <row r="19" ht="40" customHeight="1">
      <c r="B19" s="4" t="inlineStr">
        <is>
          <t>Colour legend</t>
        </is>
      </c>
      <c r="C19" s="5" t="inlineStr">
        <is>
          <t>Yellow = input  |  Purple / lavender = header or calculated  |  Verdict colours: green = AI fit now, blue = automate, yellow = data gap, orange = stretch, grey = redesign first</t>
        </is>
      </c>
    </row>
    <row r="21" ht="22" customHeight="1">
      <c r="B21" s="3" t="inlineStr">
        <is>
          <t>DECISION LOGIC (SUMMARY)</t>
        </is>
      </c>
    </row>
    <row r="22" ht="32" customHeight="1">
      <c r="B22" s="4" t="inlineStr">
        <is>
          <t>Solution family</t>
        </is>
      </c>
      <c r="C22" s="5" t="inlineStr">
        <is>
          <t>From the nature of the task (library default, or override). 10 families, ISO/IEC 22989 / OECD-based, each with a complexity level 1-5 and a minimum data requirement.</t>
        </is>
      </c>
    </row>
    <row r="23" ht="32" customHeight="1">
      <c r="B23" s="4" t="inlineStr">
        <is>
          <t>Data gate</t>
        </is>
      </c>
      <c r="C23" s="5" t="inlineStr">
        <is>
          <t>Data available for the process &gt;= the family's minimum requirement -&gt; 'Data ready', otherwise 'Data gap'.</t>
        </is>
      </c>
    </row>
    <row r="24" ht="32" customHeight="1">
      <c r="B24" s="4" t="inlineStr">
        <is>
          <t>Organisational fit</t>
        </is>
      </c>
      <c r="C24" s="5" t="inlineStr">
        <is>
          <t>Family level &lt;= the archetype's ceiling -&gt; 'Within current position', otherwise 'Beyond current position'.</t>
        </is>
      </c>
    </row>
    <row r="25" ht="32" customHeight="1">
      <c r="B25" s="4" t="inlineStr">
        <is>
          <t>Verdict (in order)</t>
        </is>
      </c>
      <c r="C25" s="5" t="inlineStr">
        <is>
          <t>Process not standardised -&gt; Redesign first;  family needs no AI -&gt; Automate;  data gap -&gt; AI later;  beyond position -&gt; Stretch;  otherwise -&gt; AI fit now.</t>
        </is>
      </c>
    </row>
    <row r="26" ht="32" customHeight="1">
      <c r="B26" s="4" t="inlineStr">
        <is>
          <t>Value (1-5)</t>
        </is>
      </c>
      <c r="C26" s="5" t="inlineStr">
        <is>
          <t>30% volume + 25% effort (hours / month) + 25% strategic importance + 20% customer / quality impact.</t>
        </is>
      </c>
    </row>
    <row r="27" ht="32" customHeight="1">
      <c r="B27" s="4" t="inlineStr">
        <is>
          <t>Feasibility (1-5)</t>
        </is>
      </c>
      <c r="C27" s="5" t="inlineStr">
        <is>
          <t>30% data fit + 25% process standardisation + 25% solution simplicity + 20% organisational fit.</t>
        </is>
      </c>
    </row>
    <row r="28" ht="32" customHeight="1">
      <c r="B28" s="4" t="inlineStr">
        <is>
          <t>Risk tier</t>
        </is>
      </c>
      <c r="C28" s="5" t="inlineStr">
        <is>
          <t>AIAF-style inherent risk: affects individuals' rights / access (+2), personal or confidential data (+1), autonomy (+0 to +2), impact of errors (+1 if 4, +2 if 5): 4+ High, 2-3 Medium, 0-1 Low; never below the library's minimum tier (EU AI Act Annex III / sector rules).</t>
        </is>
      </c>
    </row>
    <row r="29" ht="32" customHeight="1">
      <c r="B29" s="4" t="inlineStr">
        <is>
          <t>Priority</t>
        </is>
      </c>
      <c r="C29" s="5" t="inlineStr">
        <is>
          <t>Value x Feasibility, reduced 15% for High risk and 20% where the process must be redesigned first. Ranked 1..n.</t>
        </is>
      </c>
    </row>
    <row r="30" ht="32" customHeight="1">
      <c r="B30" s="4" t="inlineStr">
        <is>
          <t>Horizon</t>
        </is>
      </c>
      <c r="C30" s="5" t="inlineStr">
        <is>
          <t>H1: quick wins / fill-ins that fit now or need only automation.  H2: strategic bets, stretch items, redesigned processes - and any High-risk or agentic (level 5) use case, which waits for its impact assessment and controls.  H3: items blocked by data gaps.  Backlog: deprioritised.</t>
        </is>
      </c>
    </row>
  </sheetData>
  <mergeCells count="5">
    <mergeCell ref="B21:C21"/>
    <mergeCell ref="A1:C1"/>
    <mergeCell ref="B10:C10"/>
    <mergeCell ref="B4:C4"/>
    <mergeCell ref="A2:C2"/>
  </mergeCells>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40"/>
  <sheetViews>
    <sheetView showGridLines="0" workbookViewId="0">
      <selection activeCell="A1" sqref="A1"/>
    </sheetView>
  </sheetViews>
  <sheetFormatPr baseColWidth="8" defaultRowHeight="15"/>
  <cols>
    <col width="6" customWidth="1" min="1" max="1"/>
    <col width="46" customWidth="1" min="2" max="2"/>
    <col width="44" customWidth="1" min="3" max="3"/>
    <col width="34" customWidth="1" min="4" max="4"/>
    <col width="8" customWidth="1" min="5" max="5"/>
    <col width="4" customWidth="1" min="6" max="6"/>
  </cols>
  <sheetData>
    <row r="1" ht="32" customHeight="1">
      <c r="A1" s="1" t="inlineStr">
        <is>
          <t>1. Organisational AI Position</t>
        </is>
      </c>
    </row>
    <row r="2" ht="32" customHeight="1">
      <c r="A2" s="2" t="inlineStr">
        <is>
          <t>Does the organisation have the data and the scale / capacity for AI - or is automation enough for now? Select the sector and one answer per question (yellow). This screen does not measure governance maturity.</t>
        </is>
      </c>
    </row>
    <row r="4">
      <c r="A4" s="6" t="inlineStr"/>
      <c r="B4" s="4" t="inlineStr">
        <is>
          <t>Organisation</t>
        </is>
      </c>
      <c r="C4" s="7" t="inlineStr">
        <is>
          <t>Grant Thornton Bahrain (illustrative)</t>
        </is>
      </c>
      <c r="D4" s="8" t="n"/>
    </row>
    <row r="5">
      <c r="A5" s="6" t="inlineStr"/>
      <c r="B5" s="4" t="inlineStr">
        <is>
          <t>Sector (filters the use-case library)</t>
        </is>
      </c>
      <c r="C5" s="7" t="inlineStr">
        <is>
          <t>Professional services</t>
        </is>
      </c>
      <c r="D5" s="8" t="n"/>
    </row>
    <row r="6">
      <c r="A6" s="6" t="inlineStr"/>
      <c r="B6" s="4" t="inlineStr">
        <is>
          <t>Scope of discovery</t>
        </is>
      </c>
      <c r="C6" s="7" t="inlineStr">
        <is>
          <t>Whole firm - audit, tax, advisory and support functions</t>
        </is>
      </c>
      <c r="D6" s="8" t="n"/>
    </row>
    <row r="7">
      <c r="A7" s="6" t="inlineStr"/>
      <c r="B7" s="4" t="inlineStr">
        <is>
          <t>Assessment date</t>
        </is>
      </c>
      <c r="C7" s="7" t="inlineStr">
        <is>
          <t>04/10/2026</t>
        </is>
      </c>
      <c r="D7" s="8" t="n"/>
    </row>
    <row r="8">
      <c r="A8" s="6" t="inlineStr"/>
      <c r="B8" s="4" t="inlineStr">
        <is>
          <t>Facilitated by</t>
        </is>
      </c>
      <c r="C8" s="7" t="inlineStr">
        <is>
          <t>GT AI Service Line</t>
        </is>
      </c>
      <c r="D8" s="8" t="n"/>
    </row>
    <row r="10" ht="24" customHeight="1">
      <c r="A10" s="9" t="inlineStr">
        <is>
          <t>#</t>
        </is>
      </c>
      <c r="B10" s="9" t="inlineStr">
        <is>
          <t>Question</t>
        </is>
      </c>
      <c r="C10" s="9" t="inlineStr">
        <is>
          <t>Answer (select)</t>
        </is>
      </c>
      <c r="D10" s="9" t="inlineStr">
        <is>
          <t>Why it matters</t>
        </is>
      </c>
      <c r="E10" s="9" t="inlineStr">
        <is>
          <t>Points</t>
        </is>
      </c>
    </row>
    <row r="11" ht="22" customHeight="1">
      <c r="A11" s="10" t="inlineStr">
        <is>
          <t>A. DATA POSITION - is the data there for AI?</t>
        </is>
      </c>
    </row>
    <row r="12" ht="42" customHeight="1">
      <c r="A12" s="11" t="inlineStr">
        <is>
          <t>D1</t>
        </is>
      </c>
      <c r="B12" s="5" t="inlineStr">
        <is>
          <t>How are your core business processes run today?</t>
        </is>
      </c>
      <c r="C12" s="12" t="inlineStr">
        <is>
          <t>Core systems (e.g., ERP, CRM, core banking) for the main processes</t>
        </is>
      </c>
      <c r="D12" s="13" t="inlineStr">
        <is>
          <t>Think of the 3-5 processes that generate most of your revenue or workload.</t>
        </is>
      </c>
      <c r="E12" s="14">
        <f>IFERROR(MATCH(C12,Lists!$S$2:$S$5,0),"")</f>
        <v>3</v>
      </c>
    </row>
    <row r="13" ht="42" customHeight="1">
      <c r="A13" s="11" t="inlineStr">
        <is>
          <t>D2</t>
        </is>
      </c>
      <c r="B13" s="5" t="inlineStr">
        <is>
          <t>How much digital history do you keep for your core activities (transactions, customers, cases, operations)?</t>
        </is>
      </c>
      <c r="C13" s="12" t="inlineStr">
        <is>
          <t>3+ years in core systems</t>
        </is>
      </c>
      <c r="D13" s="13" t="inlineStr">
        <is>
          <t>AI that predicts, scores or detects patterns learns from history.</t>
        </is>
      </c>
      <c r="E13" s="14">
        <f>IFERROR(MATCH(C13,Lists!$T$2:$T$5,0),"")</f>
        <v>3</v>
      </c>
    </row>
    <row r="14" ht="42" customHeight="1">
      <c r="A14" s="11" t="inlineStr">
        <is>
          <t>D3</t>
        </is>
      </c>
      <c r="B14" s="5" t="inlineStr">
        <is>
          <t>How reliable is that data, and does it have owners?</t>
        </is>
      </c>
      <c r="C14" s="12" t="inlineStr">
        <is>
          <t>Some owners; known quality issues not tracked</t>
        </is>
      </c>
      <c r="D14" s="13" t="inlineStr">
        <is>
          <t>Data quality and ownership - ISO/IEC 5259 / ISO/IEC 42001 Annex A.7.</t>
        </is>
      </c>
      <c r="E14" s="14">
        <f>IFERROR(MATCH(C14,Lists!$U$2:$U$5,0),"")</f>
        <v>2</v>
      </c>
    </row>
    <row r="15" ht="42" customHeight="1">
      <c r="A15" s="11" t="inlineStr">
        <is>
          <t>D4</t>
        </is>
      </c>
      <c r="B15" s="5" t="inlineStr">
        <is>
          <t>Where do your documents and knowledge live (contracts, policies, reports, emails, manuals)?</t>
        </is>
      </c>
      <c r="C15" s="12" t="inlineStr">
        <is>
          <t>A document-management system or SharePoint with structure</t>
        </is>
      </c>
      <c r="D15" s="13" t="inlineStr">
        <is>
          <t>Generative AI and knowledge assistants work on documents rather than tables.</t>
        </is>
      </c>
      <c r="E15" s="14">
        <f>IFERROR(MATCH(C15,Lists!$V$2:$V$5,0),"")</f>
        <v>3</v>
      </c>
    </row>
    <row r="16" ht="42" customHeight="1">
      <c r="A16" s="11" t="inlineStr">
        <is>
          <t>D5</t>
        </is>
      </c>
      <c r="B16" s="5" t="inlineStr">
        <is>
          <t>Can data move between your systems?</t>
        </is>
      </c>
      <c r="C16" s="12" t="inlineStr">
        <is>
          <t>Some APIs or integrations between key systems</t>
        </is>
      </c>
      <c r="D16" s="13" t="inlineStr">
        <is>
          <t>Integration determines whether AI outputs can be used inside the workflow.</t>
        </is>
      </c>
      <c r="E16" s="14">
        <f>IFERROR(MATCH(C16,Lists!$W$2:$W$5,0),"")</f>
        <v>3</v>
      </c>
    </row>
    <row r="17" ht="42" customHeight="1">
      <c r="A17" s="11" t="inlineStr">
        <is>
          <t>D6</t>
        </is>
      </c>
      <c r="B17" s="5" t="inlineStr">
        <is>
          <t>Do you record outcomes against your data (e.g., fraud confirmed, claim paid, customer churned, invoice disputed)?</t>
        </is>
      </c>
      <c r="C17" s="12" t="inlineStr">
        <is>
          <t>Occasionally / informally</t>
        </is>
      </c>
      <c r="D17" s="13" t="inlineStr">
        <is>
          <t>Recorded outcomes ('labels') are what supervised machine learning needs.</t>
        </is>
      </c>
      <c r="E17" s="14">
        <f>IFERROR(MATCH(C17,Lists!$X$2:$X$5,0),"")</f>
        <v>2</v>
      </c>
    </row>
    <row r="18" ht="22" customHeight="1">
      <c r="A18" s="10" t="inlineStr">
        <is>
          <t>B. SCALE &amp; CAPACITY - is there enough volume and capacity to justify and run AI?</t>
        </is>
      </c>
    </row>
    <row r="19" ht="42" customHeight="1">
      <c r="A19" s="11" t="inlineStr">
        <is>
          <t>S1</t>
        </is>
      </c>
      <c r="B19" s="5" t="inlineStr">
        <is>
          <t>How many employees does the organisation have?</t>
        </is>
      </c>
      <c r="C19" s="12" t="inlineStr">
        <is>
          <t>50 - 249</t>
        </is>
      </c>
      <c r="D19" s="13" t="inlineStr">
        <is>
          <t>Scale drives the size of the prize and what can be sustained.</t>
        </is>
      </c>
      <c r="E19" s="14">
        <f>IFERROR(MATCH(C19,Lists!$Y$2:$Y$5,0),"")</f>
        <v>2</v>
      </c>
    </row>
    <row r="20" ht="42" customHeight="1">
      <c r="A20" s="11" t="inlineStr">
        <is>
          <t>S2</t>
        </is>
      </c>
      <c r="B20" s="5" t="inlineStr">
        <is>
          <t>How many repetitive transactions / cases does your largest process handle per month?</t>
        </is>
      </c>
      <c r="C20" s="12" t="inlineStr">
        <is>
          <t>500 - 5,000</t>
        </is>
      </c>
      <c r="D20" s="13" t="inlineStr">
        <is>
          <t>e.g., invoices, applications, claims, customer requests, bookings.</t>
        </is>
      </c>
      <c r="E20" s="14">
        <f>IFERROR(MATCH(C20,Lists!$Z$2:$Z$5,0),"")</f>
        <v>2</v>
      </c>
    </row>
    <row r="21" ht="42" customHeight="1">
      <c r="A21" s="11" t="inlineStr">
        <is>
          <t>S3</t>
        </is>
      </c>
      <c r="B21" s="5" t="inlineStr">
        <is>
          <t>What technology capability do you have in-house?</t>
        </is>
      </c>
      <c r="C21" s="12" t="inlineStr">
        <is>
          <t>Small IT team (support and vendor management)</t>
        </is>
      </c>
      <c r="D21" s="13" t="inlineStr">
        <is>
          <t>Who would configure, integrate and run a solution?</t>
        </is>
      </c>
      <c r="E21" s="14">
        <f>IFERROR(MATCH(C21,Lists!$AA$2:$AA$5,0),"")</f>
        <v>2</v>
      </c>
    </row>
    <row r="22" ht="42" customHeight="1">
      <c r="A22" s="11" t="inlineStr">
        <is>
          <t>S4</t>
        </is>
      </c>
      <c r="B22" s="5" t="inlineStr">
        <is>
          <t>What budget could be made available for digital / AI initiatives in the next 12 months?</t>
        </is>
      </c>
      <c r="C22" s="12" t="inlineStr">
        <is>
          <t>BHD 50,000 - 250,000</t>
        </is>
      </c>
      <c r="D22" s="13" t="inlineStr">
        <is>
          <t>Indicative only - used to size the type of solution that is realistic.</t>
        </is>
      </c>
      <c r="E22" s="14">
        <f>IFERROR(MATCH(C22,Lists!$AB$2:$AB$5,0),"")</f>
        <v>3</v>
      </c>
    </row>
    <row r="23" ht="42" customHeight="1">
      <c r="A23" s="11" t="inlineStr">
        <is>
          <t>S5</t>
        </is>
      </c>
      <c r="B23" s="5" t="inlineStr">
        <is>
          <t>How many customer / citizen interactions do you handle through digital channels?</t>
        </is>
      </c>
      <c r="C23" s="12" t="inlineStr">
        <is>
          <t>Moderate</t>
        </is>
      </c>
      <c r="D23" s="13" t="inlineStr">
        <is>
          <t>Web, app, email, WhatsApp, call centre.</t>
        </is>
      </c>
      <c r="E23" s="14">
        <f>IFERROR(MATCH(C23,Lists!$AC$2:$AC$5,0),"")</f>
        <v>2</v>
      </c>
    </row>
    <row r="24" ht="42" customHeight="1">
      <c r="A24" s="11" t="inlineStr">
        <is>
          <t>S6</t>
        </is>
      </c>
      <c r="B24" s="5" t="inlineStr">
        <is>
          <t>What capacity do you have to run change projects alongside day-to-day work?</t>
        </is>
      </c>
      <c r="C24" s="12" t="inlineStr">
        <is>
          <t>Several projects in parallel</t>
        </is>
      </c>
      <c r="D24" s="13" t="inlineStr">
        <is>
          <t>Leadership bandwidth, project management, change management.</t>
        </is>
      </c>
      <c r="E24" s="14">
        <f>IFERROR(MATCH(C24,Lists!$AD$2:$AD$5,0),"")</f>
        <v>3</v>
      </c>
    </row>
    <row r="26" ht="22" customHeight="1">
      <c r="A26" s="3" t="inlineStr">
        <is>
          <t>RESULT - AI POSITION</t>
        </is>
      </c>
    </row>
    <row r="27" ht="20" customHeight="1">
      <c r="B27" s="4" t="inlineStr">
        <is>
          <t>Answered</t>
        </is>
      </c>
      <c r="C27" s="5" t="str">
        <f>COUNT(E12,E13,E14,E15,E16,E17)+COUNT(E19,E20,E21,E22,E23,E24)&amp;" of 12"</f>
        <v>12 of 12</v>
      </c>
      <c r="D27" s="15" t="n"/>
      <c r="E27" s="15" t="n"/>
    </row>
    <row r="28" ht="20" customHeight="1">
      <c r="B28" s="4" t="inlineStr">
        <is>
          <t>Data Position score</t>
        </is>
      </c>
      <c r="C28" s="16">
        <f>IF(COUNT(E12,E13,E14,E15,E16,E17)=6,(N(E12)+N(E13)+N(E14)+N(E15)+N(E16)+N(E17)-6)/18,"")</f>
        <v>0.555555555555556</v>
      </c>
      <c r="D28" s="15" t="n"/>
      <c r="E28" s="15" t="n"/>
    </row>
    <row r="29" ht="20" customHeight="1">
      <c r="B29" s="4" t="inlineStr">
        <is>
          <t>Scale &amp; Capacity score</t>
        </is>
      </c>
      <c r="C29" s="16">
        <f>IF(COUNT(E19,E20,E21,E22,E23,E24)=6,(N(E19)+N(E20)+N(E21)+N(E22)+N(E23)+N(E24)-6)/18,"")</f>
        <v>0.444444444444444</v>
      </c>
      <c r="D29" s="15" t="n"/>
      <c r="E29" s="15" t="n"/>
    </row>
    <row r="30" ht="20" customHeight="1">
      <c r="B30" s="4" t="inlineStr">
        <is>
          <t>Archetype</t>
        </is>
      </c>
      <c r="C30" s="5">
        <f>IF(OR(C28="",C29=""),"",IF(C28&lt;0.5,IF(C29&lt;0.5,1,2),IF(C29&lt;0.5,3,4)))</f>
        <v>3</v>
      </c>
      <c r="D30" s="15" t="n"/>
      <c r="E30" s="15" t="n"/>
    </row>
    <row r="31" ht="20" customHeight="1">
      <c r="B31" s="4" t="inlineStr">
        <is>
          <t>AI position</t>
        </is>
      </c>
      <c r="C31" s="17" t="str">
        <f>IF(C30="","Complete all 12 questions",INDEX(Lists!$AH$2:$AH$5,C30))</f>
        <v>Buy and configure AI</v>
      </c>
      <c r="D31" s="18" t="n"/>
      <c r="E31" s="18" t="n"/>
    </row>
    <row r="32" ht="20" customHeight="1">
      <c r="B32" s="4" t="inlineStr">
        <is>
          <t>Solution ceiling today</t>
        </is>
      </c>
      <c r="C32" s="19" t="str">
        <f>IF(C30="","",INDEX(Lists!$AI$2:$AI$5,C30)&amp;" - "&amp;INDEX(Lists!$AM$2:$AM$6,INDEX(Lists!$AI$2:$AI$5,C30)))</f>
        <v>4 - Configured AI on own data</v>
      </c>
      <c r="D32" s="18" t="n"/>
      <c r="E32" s="18" t="n"/>
    </row>
    <row r="33" ht="44" customHeight="1">
      <c r="B33" s="4" t="inlineStr">
        <is>
          <t>What it means</t>
        </is>
      </c>
      <c r="C33" s="5" t="str">
        <f>IF(C30="","",INDEX(Lists!$AJ$2:$AJ$5,C30))</f>
        <v>Good data, limited scale / capacity: adopt and configure proven AI products rather than build.</v>
      </c>
      <c r="D33" s="15" t="n"/>
      <c r="E33" s="15" t="n"/>
    </row>
    <row r="34" ht="58" customHeight="1">
      <c r="B34" s="4" t="inlineStr">
        <is>
          <t>Detail</t>
        </is>
      </c>
      <c r="C34" s="5" t="str">
        <f>IF(C30="","",INDEX(Lists!$AK$2:$AK$5,C30))</f>
        <v>The data supports AI, but in-house capacity and scale favour buying. Configure AI products on your own data (knowledge assistants, intelligent document processing, conversational AI, vendor ML modules). Custom models and autonomous agents only through partners and pilots.</v>
      </c>
      <c r="D34" s="15" t="n"/>
      <c r="E34" s="15" t="n"/>
    </row>
    <row r="35" ht="44" customHeight="1">
      <c r="B35" s="4" t="inlineStr">
        <is>
          <t>Foundation flag</t>
        </is>
      </c>
      <c r="C35" s="5" t="str">
        <f>IF(E12=1,"Core processes are largely manual / paper-based: digitise them first - AI and automation need digital inputs.",IF(AND(N(E13)&gt;0,N(E13)&lt;=2,N(E17)&lt;=1),"Little digital history and no recorded outcomes: predictive / ML use cases will fail the data gate until data is captured.","No foundation red flags from the position screen."))</f>
        <v>No foundation red flags from the position screen.</v>
      </c>
      <c r="D35" s="15" t="n"/>
      <c r="E35" s="15" t="n"/>
    </row>
    <row r="37" ht="22" customHeight="1">
      <c r="A37" s="3" t="inlineStr">
        <is>
          <t>POSITION MATRIX - the highlighted box is where the organisation sits</t>
        </is>
      </c>
    </row>
    <row r="38" ht="66" customHeight="1">
      <c r="B38" s="20" t="inlineStr">
        <is>
          <t>Data Position HIGH  (&gt;= 50%)</t>
        </is>
      </c>
      <c r="C38" s="21" t="inlineStr">
        <is>
          <t>C. Buy and configure AI
Good data, limited scale / capacity: adopt and configure proven AI products rather than build.</t>
        </is>
      </c>
      <c r="D38" s="21" t="inlineStr">
        <is>
          <t>D. Build and scale AI
Data and scale support custom AI: build a portfolio, including advanced analytics and governed agentic AI.</t>
        </is>
      </c>
    </row>
    <row r="39" ht="66" customHeight="1">
      <c r="B39" s="20" t="inlineStr">
        <is>
          <t>Data Position LOW  (&lt; 50%)</t>
        </is>
      </c>
      <c r="C39" s="21" t="inlineStr">
        <is>
          <t>A. Automation is enough - for now
Digitise and automate first; use AI that is already built into everyday tools.</t>
        </is>
      </c>
      <c r="D39" s="21" t="inlineStr">
        <is>
          <t>B. Data foundations first
Scale is there but the data is not: fix data foundations while automating and adopting off-the-shelf AI.</t>
        </is>
      </c>
    </row>
    <row r="40" ht="22" customHeight="1">
      <c r="C40" s="20" t="inlineStr">
        <is>
          <t>Scale &amp; Capacity LOW  (&lt; 50%)</t>
        </is>
      </c>
      <c r="D40" s="20" t="inlineStr">
        <is>
          <t>Scale &amp; Capacity HIGH  (&gt;= 50%)</t>
        </is>
      </c>
    </row>
  </sheetData>
  <mergeCells count="20">
    <mergeCell ref="C6:D6"/>
    <mergeCell ref="C31:E31"/>
    <mergeCell ref="C5:D5"/>
    <mergeCell ref="A11:E11"/>
    <mergeCell ref="C4:D4"/>
    <mergeCell ref="A2:F2"/>
    <mergeCell ref="C27:E27"/>
    <mergeCell ref="A37:E37"/>
    <mergeCell ref="A18:E18"/>
    <mergeCell ref="C32:E32"/>
    <mergeCell ref="C28:E28"/>
    <mergeCell ref="A26:E26"/>
    <mergeCell ref="C30:E30"/>
    <mergeCell ref="C34:E34"/>
    <mergeCell ref="C8:D8"/>
    <mergeCell ref="C33:E33"/>
    <mergeCell ref="C7:D7"/>
    <mergeCell ref="A1:F1"/>
    <mergeCell ref="C29:E29"/>
    <mergeCell ref="C35:E35"/>
  </mergeCells>
  <conditionalFormatting sqref="C38">
    <cfRule type="expression" priority="1" dxfId="0">
      <formula>'1. AI Position'!$C$30=3</formula>
    </cfRule>
  </conditionalFormatting>
  <conditionalFormatting sqref="D38">
    <cfRule type="expression" priority="2" dxfId="0">
      <formula>'1. AI Position'!$C$30=4</formula>
    </cfRule>
  </conditionalFormatting>
  <conditionalFormatting sqref="C39">
    <cfRule type="expression" priority="3" dxfId="0">
      <formula>'1. AI Position'!$C$30=1</formula>
    </cfRule>
  </conditionalFormatting>
  <conditionalFormatting sqref="D39">
    <cfRule type="expression" priority="4" dxfId="0">
      <formula>'1. AI Position'!$C$30=2</formula>
    </cfRule>
  </conditionalFormatting>
  <dataValidations count="13">
    <dataValidation sqref="C5" showDropDown="0" showInputMessage="0" showErrorMessage="1" allowBlank="1" type="list">
      <formula1>=Lists!$Q$2:$Q$16</formula1>
    </dataValidation>
    <dataValidation sqref="C12" showDropDown="0" showInputMessage="0" showErrorMessage="1" allowBlank="1" type="list">
      <formula1>=Lists!$S$2:$S$5</formula1>
    </dataValidation>
    <dataValidation sqref="C13" showDropDown="0" showInputMessage="0" showErrorMessage="1" allowBlank="1" type="list">
      <formula1>=Lists!$T$2:$T$5</formula1>
    </dataValidation>
    <dataValidation sqref="C14" showDropDown="0" showInputMessage="0" showErrorMessage="1" allowBlank="1" type="list">
      <formula1>=Lists!$U$2:$U$5</formula1>
    </dataValidation>
    <dataValidation sqref="C15" showDropDown="0" showInputMessage="0" showErrorMessage="1" allowBlank="1" type="list">
      <formula1>=Lists!$V$2:$V$5</formula1>
    </dataValidation>
    <dataValidation sqref="C16" showDropDown="0" showInputMessage="0" showErrorMessage="1" allowBlank="1" type="list">
      <formula1>=Lists!$W$2:$W$5</formula1>
    </dataValidation>
    <dataValidation sqref="C17" showDropDown="0" showInputMessage="0" showErrorMessage="1" allowBlank="1" type="list">
      <formula1>=Lists!$X$2:$X$5</formula1>
    </dataValidation>
    <dataValidation sqref="C19" showDropDown="0" showInputMessage="0" showErrorMessage="1" allowBlank="1" type="list">
      <formula1>=Lists!$Y$2:$Y$5</formula1>
    </dataValidation>
    <dataValidation sqref="C20" showDropDown="0" showInputMessage="0" showErrorMessage="1" allowBlank="1" type="list">
      <formula1>=Lists!$Z$2:$Z$5</formula1>
    </dataValidation>
    <dataValidation sqref="C21" showDropDown="0" showInputMessage="0" showErrorMessage="1" allowBlank="1" type="list">
      <formula1>=Lists!$AA$2:$AA$5</formula1>
    </dataValidation>
    <dataValidation sqref="C22" showDropDown="0" showInputMessage="0" showErrorMessage="1" allowBlank="1" type="list">
      <formula1>=Lists!$AB$2:$AB$5</formula1>
    </dataValidation>
    <dataValidation sqref="C23" showDropDown="0" showInputMessage="0" showErrorMessage="1" allowBlank="1" type="list">
      <formula1>=Lists!$AC$2:$AC$5</formula1>
    </dataValidation>
    <dataValidation sqref="C24" showDropDown="0" showInputMessage="0" showErrorMessage="1" allowBlank="1" type="list">
      <formula1>=Lists!$AD$2:$AD$5</formula1>
    </dataValidation>
  </dataValidations>
  <printOptions gridLines="0"/>
  <pageMargins left="0.5" right="0.5" top="0.75" bottom="0.75" header="0.25" footer="0.25"/>
  <pageSetup orientation="portrait" paperSize="9" fitToHeight="1" fitToWidth="1"/>
  <headerFooter>
    <oddHeader/>
    <oddFooter>&amp;L&amp;8 GT AI Opportunity Discovery Toolkit&amp;R&amp;8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24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0" customWidth="1" min="3" max="3"/>
    <col width="30" customWidth="1" min="4" max="4"/>
    <col width="28" customWidth="1" min="5" max="5"/>
    <col width="30" customWidth="1" min="6" max="6"/>
    <col width="22" customWidth="1" min="7" max="7"/>
    <col width="48" customWidth="1" min="8" max="8"/>
    <col width="26" customWidth="1" min="9" max="9"/>
    <col width="26" customWidth="1" min="10" max="10"/>
    <col width="40" customWidth="1" min="11" max="11"/>
    <col width="9" customWidth="1" min="12" max="12"/>
    <col hidden="1" width="13" customWidth="1" min="13" max="13"/>
    <col hidden="1" width="13" customWidth="1" min="14" max="14"/>
    <col hidden="1" width="13" customWidth="1" min="15" max="15"/>
  </cols>
  <sheetData>
    <row r="1" ht="32" customHeight="1">
      <c r="A1" s="1" t="inlineStr">
        <is>
          <t>2. GT AI Use-Case Library (240 entries)</t>
        </is>
      </c>
    </row>
    <row r="2" ht="32" customHeight="1">
      <c r="A2" s="2" t="inlineStr">
        <is>
          <t>Cross-industry (APQC functions) and sector-specific AI and automation use cases with GT recommendations, data needs, KPIs, regulatory notes and a minimum risk tier. Select entries in the AI Fit Diagnostic; the dropdown there shows cross-industry + the sector chosen on sheet 1.</t>
        </is>
      </c>
    </row>
    <row r="4">
      <c r="A4" s="22" t="inlineStr">
        <is>
          <t>ID</t>
        </is>
      </c>
      <c r="B4" s="22" t="inlineStr">
        <is>
          <t>Sector</t>
        </is>
      </c>
      <c r="C4" s="22" t="inlineStr">
        <is>
          <t>Function (APQC)</t>
        </is>
      </c>
      <c r="D4" s="22" t="inlineStr">
        <is>
          <t>Process / use case</t>
        </is>
      </c>
      <c r="E4" s="22" t="inlineStr">
        <is>
          <t>Typical pain point</t>
        </is>
      </c>
      <c r="F4" s="22" t="inlineStr">
        <is>
          <t>Nature of the task</t>
        </is>
      </c>
      <c r="G4" s="22" t="inlineStr">
        <is>
          <t>Solution family</t>
        </is>
      </c>
      <c r="H4" s="22" t="inlineStr">
        <is>
          <t>GT recommendation</t>
        </is>
      </c>
      <c r="I4" s="22" t="inlineStr">
        <is>
          <t>Data needed</t>
        </is>
      </c>
      <c r="J4" s="22" t="inlineStr">
        <is>
          <t>KPIs</t>
        </is>
      </c>
      <c r="K4" s="22" t="inlineStr">
        <is>
          <t>Regulatory &amp; risk notes</t>
        </is>
      </c>
      <c r="L4" s="22" t="inlineStr">
        <is>
          <t>Min. risk</t>
        </is>
      </c>
    </row>
    <row r="5" ht="46" customHeight="1">
      <c r="A5" s="23" t="inlineStr">
        <is>
          <t>XI-01</t>
        </is>
      </c>
      <c r="B5" s="24" t="inlineStr">
        <is>
          <t>Cross-industry</t>
        </is>
      </c>
      <c r="C5" s="25" t="inlineStr">
        <is>
          <t>Finance &amp; accounting</t>
        </is>
      </c>
      <c r="D5" s="26" t="inlineStr">
        <is>
          <t>Supplier invoice capture &amp; posting</t>
        </is>
      </c>
      <c r="E5" s="25" t="inlineStr">
        <is>
          <t>Invoices keyed manually from PDF / email into the ERP</t>
        </is>
      </c>
      <c r="F5" s="25" t="inlineStr">
        <is>
          <t>Extract information from documents, forms or emails</t>
        </is>
      </c>
      <c r="G5" s="25" t="inlineStr">
        <is>
          <t>Intelligent document processing (IDP)</t>
        </is>
      </c>
      <c r="H5" s="25" t="inlineStr">
        <is>
          <t>Capture invoices with intelligent document processing, validate against PO and vendor master, post automatically; route exceptions to AP.</t>
        </is>
      </c>
      <c r="I5" s="25" t="inlineStr">
        <is>
          <t>Invoice PDFs / scans, vendor master, purchase orders</t>
        </is>
      </c>
      <c r="J5" s="25" t="inlineStr">
        <is>
          <t>Touchless invoice rate; cost per invoice; posting cycle time</t>
        </is>
      </c>
      <c r="K5" s="25" t="inlineStr">
        <is>
          <t>Segregation of duties in approval; vendor bank-detail change controls (payment fraud).</t>
        </is>
      </c>
      <c r="L5" s="25" t="inlineStr">
        <is>
          <t>Low</t>
        </is>
      </c>
      <c r="M5" t="inlineStr">
        <is>
          <t>XI-01 | Supplier invoice capture &amp; posting</t>
        </is>
      </c>
      <c r="N5" t="b">
        <f>OR('1. AI Position'!$C$5="",'1. AI Position'!$C$5="Other",B5="Cross-industry",B5='1. AI Position'!$C$5)</f>
        <v>1</v>
      </c>
      <c r="O5">
        <f>IF(N5,COUNTIF($N$5:N5,TRUE),"")</f>
        <v>1</v>
      </c>
    </row>
    <row r="6" ht="46" customHeight="1">
      <c r="A6" s="23" t="inlineStr">
        <is>
          <t>XI-02</t>
        </is>
      </c>
      <c r="B6" s="24" t="inlineStr">
        <is>
          <t>Cross-industry</t>
        </is>
      </c>
      <c r="C6" s="25" t="inlineStr">
        <is>
          <t>Finance &amp; accounting</t>
        </is>
      </c>
      <c r="D6" s="26" t="inlineStr">
        <is>
          <t>Three-way match &amp; payment approval</t>
        </is>
      </c>
      <c r="E6" s="25" t="inlineStr">
        <is>
          <t>PO, goods receipt and invoice checked by hand</t>
        </is>
      </c>
      <c r="F6" s="25" t="inlineStr">
        <is>
          <t>Check or approve items against fixed criteria (rules, thresholds, checklists)</t>
        </is>
      </c>
      <c r="G6" s="25" t="inlineStr">
        <is>
          <t>Rules engine / workflow automation</t>
        </is>
      </c>
      <c r="H6" s="25" t="inlineStr">
        <is>
          <t>Configure tolerance-based three-way matching in the ERP workflow; auto-approve within tolerance and escalate exceptions.</t>
        </is>
      </c>
      <c r="I6" s="25" t="inlineStr">
        <is>
          <t>POs, goods receipts, invoices</t>
        </is>
      </c>
      <c r="J6" s="25" t="inlineStr">
        <is>
          <t>Auto-match rate; late-payment penalties; exceptions per 100 invoices</t>
        </is>
      </c>
      <c r="K6" s="25" t="inlineStr">
        <is>
          <t>Approval limits and SoD must be enforced in the workflow.</t>
        </is>
      </c>
      <c r="L6" s="25" t="inlineStr">
        <is>
          <t>Low</t>
        </is>
      </c>
      <c r="M6" t="inlineStr">
        <is>
          <t>XI-02 | Three-way match &amp; payment approval</t>
        </is>
      </c>
      <c r="N6" t="b">
        <f>OR('1. AI Position'!$C$5="",'1. AI Position'!$C$5="Other",B6="Cross-industry",B6='1. AI Position'!$C$5)</f>
        <v>1</v>
      </c>
      <c r="O6">
        <f>IF(N6,COUNTIF($N$5:N6,TRUE),"")</f>
        <v>2</v>
      </c>
    </row>
    <row r="7" ht="46" customHeight="1">
      <c r="A7" s="23" t="inlineStr">
        <is>
          <t>XI-03</t>
        </is>
      </c>
      <c r="B7" s="24" t="inlineStr">
        <is>
          <t>Cross-industry</t>
        </is>
      </c>
      <c r="C7" s="25" t="inlineStr">
        <is>
          <t>Finance &amp; accounting</t>
        </is>
      </c>
      <c r="D7" s="26" t="inlineStr">
        <is>
          <t>Bank reconciliations</t>
        </is>
      </c>
      <c r="E7" s="25" t="inlineStr">
        <is>
          <t>Spreadsheet matching every month</t>
        </is>
      </c>
      <c r="F7" s="25" t="inlineStr">
        <is>
          <t>Produce reports, dashboards or reconciliations from existing data</t>
        </is>
      </c>
      <c r="G7" s="25" t="inlineStr">
        <is>
          <t>BI, dashboards &amp; reconciliation automation</t>
        </is>
      </c>
      <c r="H7" s="25" t="inlineStr">
        <is>
          <t>Deploy a reconciliation tool with rule-based auto-matching; add ML-assisted fuzzy matching only once rules are exhausted.</t>
        </is>
      </c>
      <c r="I7" s="25" t="inlineStr">
        <is>
          <t>Bank statements (MT940 / CSV), GL cash entries</t>
        </is>
      </c>
      <c r="J7" s="25" t="inlineStr">
        <is>
          <t>Auto-match %; days to reconcile; unreconciled items ageing</t>
        </is>
      </c>
      <c r="K7" s="25" t="inlineStr">
        <is>
          <t>Reviewer sign-off retained; audit trail of matches.</t>
        </is>
      </c>
      <c r="L7" s="25" t="inlineStr">
        <is>
          <t>Low</t>
        </is>
      </c>
      <c r="M7" t="inlineStr">
        <is>
          <t>XI-03 | Bank reconciliations</t>
        </is>
      </c>
      <c r="N7" t="b">
        <f>OR('1. AI Position'!$C$5="",'1. AI Position'!$C$5="Other",B7="Cross-industry",B7='1. AI Position'!$C$5)</f>
        <v>1</v>
      </c>
      <c r="O7">
        <f>IF(N7,COUNTIF($N$5:N7,TRUE),"")</f>
        <v>3</v>
      </c>
    </row>
    <row r="8" ht="46" customHeight="1">
      <c r="A8" s="23" t="inlineStr">
        <is>
          <t>XI-04</t>
        </is>
      </c>
      <c r="B8" s="24" t="inlineStr">
        <is>
          <t>Cross-industry</t>
        </is>
      </c>
      <c r="C8" s="25" t="inlineStr">
        <is>
          <t>Finance &amp; accounting</t>
        </is>
      </c>
      <c r="D8" s="26" t="inlineStr">
        <is>
          <t>Intercompany reconciliation &amp; eliminations</t>
        </is>
      </c>
      <c r="E8" s="25" t="inlineStr">
        <is>
          <t>Late intercompany agreements delay the close</t>
        </is>
      </c>
      <c r="F8" s="25" t="inlineStr">
        <is>
          <t>Produce reports, dashboards or reconciliations from existing data</t>
        </is>
      </c>
      <c r="G8" s="25" t="inlineStr">
        <is>
          <t>BI, dashboards &amp; reconciliation automation</t>
        </is>
      </c>
      <c r="H8" s="25" t="inlineStr">
        <is>
          <t>Standardise intercompany coding, automate matching and elimination journals in the consolidation tool.</t>
        </is>
      </c>
      <c r="I8" s="25" t="inlineStr">
        <is>
          <t>Intercompany ledgers, entity mapping</t>
        </is>
      </c>
      <c r="J8" s="25" t="inlineStr">
        <is>
          <t>Intercompany differences at close; close days</t>
        </is>
      </c>
      <c r="K8" s="25" t="inlineStr">
        <is>
          <t>-</t>
        </is>
      </c>
      <c r="L8" s="25" t="inlineStr">
        <is>
          <t>Low</t>
        </is>
      </c>
      <c r="M8" t="inlineStr">
        <is>
          <t>XI-04 | Intercompany reconciliation &amp; eliminations</t>
        </is>
      </c>
      <c r="N8" t="b">
        <f>OR('1. AI Position'!$C$5="",'1. AI Position'!$C$5="Other",B8="Cross-industry",B8='1. AI Position'!$C$5)</f>
        <v>1</v>
      </c>
      <c r="O8">
        <f>IF(N8,COUNTIF($N$5:N8,TRUE),"")</f>
        <v>4</v>
      </c>
    </row>
    <row r="9" ht="46" customHeight="1">
      <c r="A9" s="23" t="inlineStr">
        <is>
          <t>XI-05</t>
        </is>
      </c>
      <c r="B9" s="24" t="inlineStr">
        <is>
          <t>Cross-industry</t>
        </is>
      </c>
      <c r="C9" s="25" t="inlineStr">
        <is>
          <t>Finance &amp; accounting</t>
        </is>
      </c>
      <c r="D9" s="26" t="inlineStr">
        <is>
          <t>Month-end close &amp; management packs</t>
        </is>
      </c>
      <c r="E9" s="25" t="inlineStr">
        <is>
          <t>Manual report packs delivered late</t>
        </is>
      </c>
      <c r="F9" s="25" t="inlineStr">
        <is>
          <t>Produce reports, dashboards or reconciliations from existing data</t>
        </is>
      </c>
      <c r="G9" s="25" t="inlineStr">
        <is>
          <t>BI, dashboards &amp; reconciliation automation</t>
        </is>
      </c>
      <c r="H9" s="25" t="inlineStr">
        <is>
          <t>Close-checklist workflow plus automated report packs (e.g., Power BI); GenAI drafts variance commentary for finance review.</t>
        </is>
      </c>
      <c r="I9" s="25" t="inlineStr">
        <is>
          <t>GL, budgets, KPI definitions</t>
        </is>
      </c>
      <c r="J9" s="25" t="inlineStr">
        <is>
          <t>Close days; report delivery date; manual adjustments</t>
        </is>
      </c>
      <c r="K9" s="25" t="inlineStr">
        <is>
          <t>GenAI commentary reviewed before release; no confidential data in public tools.</t>
        </is>
      </c>
      <c r="L9" s="25" t="inlineStr">
        <is>
          <t>Low</t>
        </is>
      </c>
      <c r="M9" t="inlineStr">
        <is>
          <t>XI-05 | Month-end close &amp; management packs</t>
        </is>
      </c>
      <c r="N9" t="b">
        <f>OR('1. AI Position'!$C$5="",'1. AI Position'!$C$5="Other",B9="Cross-industry",B9='1. AI Position'!$C$5)</f>
        <v>1</v>
      </c>
      <c r="O9">
        <f>IF(N9,COUNTIF($N$5:N9,TRUE),"")</f>
        <v>5</v>
      </c>
    </row>
    <row r="10" ht="46" customHeight="1">
      <c r="A10" s="23" t="inlineStr">
        <is>
          <t>XI-06</t>
        </is>
      </c>
      <c r="B10" s="24" t="inlineStr">
        <is>
          <t>Cross-industry</t>
        </is>
      </c>
      <c r="C10" s="25" t="inlineStr">
        <is>
          <t>Finance &amp; accounting</t>
        </is>
      </c>
      <c r="D10" s="26" t="inlineStr">
        <is>
          <t>Cash-flow forecasting</t>
        </is>
      </c>
      <c r="E10" s="25" t="inlineStr">
        <is>
          <t>Spreadsheet forecasts with poor accuracy</t>
        </is>
      </c>
      <c r="F10" s="25" t="inlineStr">
        <is>
          <t>Forecast, score, classify or detect anomalies from historical data</t>
        </is>
      </c>
      <c r="G10" s="25" t="inlineStr">
        <is>
          <t>Predictive analytics / machine learning</t>
        </is>
      </c>
      <c r="H10" s="25" t="inlineStr">
        <is>
          <t>Driver-based ML forecast using AR / AP history and seasonality; run in parallel with the manual forecast for three cycles before relying on it.</t>
        </is>
      </c>
      <c r="I10" s="25" t="inlineStr">
        <is>
          <t>2-3 years of AR / AP, bank and payroll history</t>
        </is>
      </c>
      <c r="J10" s="25" t="inlineStr">
        <is>
          <t>Forecast accuracy (MAPE); idle cash; borrowing cost</t>
        </is>
      </c>
      <c r="K10" s="25" t="inlineStr">
        <is>
          <t>Model owner and back-testing documented.</t>
        </is>
      </c>
      <c r="L10" s="25" t="inlineStr">
        <is>
          <t>Low</t>
        </is>
      </c>
      <c r="M10" t="inlineStr">
        <is>
          <t>XI-06 | Cash-flow forecasting</t>
        </is>
      </c>
      <c r="N10" t="b">
        <f>OR('1. AI Position'!$C$5="",'1. AI Position'!$C$5="Other",B10="Cross-industry",B10='1. AI Position'!$C$5)</f>
        <v>1</v>
      </c>
      <c r="O10">
        <f>IF(N10,COUNTIF($N$5:N10,TRUE),"")</f>
        <v>6</v>
      </c>
    </row>
    <row r="11" ht="46" customHeight="1">
      <c r="A11" s="23" t="inlineStr">
        <is>
          <t>XI-07</t>
        </is>
      </c>
      <c r="B11" s="24" t="inlineStr">
        <is>
          <t>Cross-industry</t>
        </is>
      </c>
      <c r="C11" s="25" t="inlineStr">
        <is>
          <t>Finance &amp; accounting</t>
        </is>
      </c>
      <c r="D11" s="26" t="inlineStr">
        <is>
          <t>Collections &amp; dunning</t>
        </is>
      </c>
      <c r="E11" s="25" t="inlineStr">
        <is>
          <t>Overdue invoices chased manually</t>
        </is>
      </c>
      <c r="F11" s="25" t="inlineStr">
        <is>
          <t>Move or re-key data between systems following fixed rules</t>
        </is>
      </c>
      <c r="G11" s="25" t="inlineStr">
        <is>
          <t>Workflow automation / RPA</t>
        </is>
      </c>
      <c r="H11" s="25" t="inlineStr">
        <is>
          <t>Automated dunning workflow with reminders by email / WhatsApp and promise-to-pay tracking; add payment-propensity scoring once history allows.</t>
        </is>
      </c>
      <c r="I11" s="25" t="inlineStr">
        <is>
          <t>AR ledger, customer contacts, payment history</t>
        </is>
      </c>
      <c r="J11" s="25" t="inlineStr">
        <is>
          <t>DSO; overdue %; collector productivity</t>
        </is>
      </c>
      <c r="K11" s="25" t="inlineStr">
        <is>
          <t>Fair-treatment and contact-time rules; customer consent for WhatsApp.</t>
        </is>
      </c>
      <c r="L11" s="25" t="inlineStr">
        <is>
          <t>Low</t>
        </is>
      </c>
      <c r="M11" t="inlineStr">
        <is>
          <t>XI-07 | Collections &amp; dunning</t>
        </is>
      </c>
      <c r="N11" t="b">
        <f>OR('1. AI Position'!$C$5="",'1. AI Position'!$C$5="Other",B11="Cross-industry",B11='1. AI Position'!$C$5)</f>
        <v>1</v>
      </c>
      <c r="O11">
        <f>IF(N11,COUNTIF($N$5:N11,TRUE),"")</f>
        <v>7</v>
      </c>
    </row>
    <row r="12" ht="46" customHeight="1">
      <c r="A12" s="23" t="inlineStr">
        <is>
          <t>XI-08</t>
        </is>
      </c>
      <c r="B12" s="24" t="inlineStr">
        <is>
          <t>Cross-industry</t>
        </is>
      </c>
      <c r="C12" s="25" t="inlineStr">
        <is>
          <t>Finance &amp; accounting</t>
        </is>
      </c>
      <c r="D12" s="26" t="inlineStr">
        <is>
          <t>VAT return preparation</t>
        </is>
      </c>
      <c r="E12" s="25" t="inlineStr">
        <is>
          <t>Collating transactions and VAT codes by hand</t>
        </is>
      </c>
      <c r="F12" s="25" t="inlineStr">
        <is>
          <t>Move or re-key data between systems following fixed rules</t>
        </is>
      </c>
      <c r="G12" s="25" t="inlineStr">
        <is>
          <t>Workflow automation / RPA</t>
        </is>
      </c>
      <c r="H12" s="25" t="inlineStr">
        <is>
          <t>Automate extraction and validation of VAT-coded transactions and populate the NBR VAT return template; reviewer sign-off before filing.</t>
        </is>
      </c>
      <c r="I12" s="25" t="inlineStr">
        <is>
          <t>Sales / purchase ledgers, VAT codes</t>
        </is>
      </c>
      <c r="J12" s="25" t="inlineStr">
        <is>
          <t>Preparation hours; filing errors; penalties</t>
        </is>
      </c>
      <c r="K12" s="25" t="inlineStr">
        <is>
          <t>NBR VAT law compliance; maker-checker on filing.</t>
        </is>
      </c>
      <c r="L12" s="25" t="inlineStr">
        <is>
          <t>Low</t>
        </is>
      </c>
      <c r="M12" t="inlineStr">
        <is>
          <t>XI-08 | VAT return preparation</t>
        </is>
      </c>
      <c r="N12" t="b">
        <f>OR('1. AI Position'!$C$5="",'1. AI Position'!$C$5="Other",B12="Cross-industry",B12='1. AI Position'!$C$5)</f>
        <v>1</v>
      </c>
      <c r="O12">
        <f>IF(N12,COUNTIF($N$5:N12,TRUE),"")</f>
        <v>8</v>
      </c>
    </row>
    <row r="13" ht="46" customHeight="1">
      <c r="A13" s="23" t="inlineStr">
        <is>
          <t>XI-09</t>
        </is>
      </c>
      <c r="B13" s="24" t="inlineStr">
        <is>
          <t>Cross-industry</t>
        </is>
      </c>
      <c r="C13" s="25" t="inlineStr">
        <is>
          <t>Finance &amp; accounting</t>
        </is>
      </c>
      <c r="D13" s="26" t="inlineStr">
        <is>
          <t>Expense claims audit</t>
        </is>
      </c>
      <c r="E13" s="25" t="inlineStr">
        <is>
          <t>Receipts checked manually against policy</t>
        </is>
      </c>
      <c r="F13" s="25" t="inlineStr">
        <is>
          <t>Extract information from documents, forms or emails</t>
        </is>
      </c>
      <c r="G13" s="25" t="inlineStr">
        <is>
          <t>Intelligent document processing (IDP)</t>
        </is>
      </c>
      <c r="H13" s="25" t="inlineStr">
        <is>
          <t>Receipt capture with IDP, a rules engine for policy checks and duplicate / anomaly flags for review.</t>
        </is>
      </c>
      <c r="I13" s="25" t="inlineStr">
        <is>
          <t>Receipts, expense policy, card feeds</t>
        </is>
      </c>
      <c r="J13" s="25" t="inlineStr">
        <is>
          <t>Claims processed per FTE; policy breaches detected; reimbursement time</t>
        </is>
      </c>
      <c r="K13" s="25" t="inlineStr">
        <is>
          <t>Employee data - PDPL; transparent policy rules.</t>
        </is>
      </c>
      <c r="L13" s="25" t="inlineStr">
        <is>
          <t>Low</t>
        </is>
      </c>
      <c r="M13" t="inlineStr">
        <is>
          <t>XI-09 | Expense claims audit</t>
        </is>
      </c>
      <c r="N13" t="b">
        <f>OR('1. AI Position'!$C$5="",'1. AI Position'!$C$5="Other",B13="Cross-industry",B13='1. AI Position'!$C$5)</f>
        <v>1</v>
      </c>
      <c r="O13">
        <f>IF(N13,COUNTIF($N$5:N13,TRUE),"")</f>
        <v>9</v>
      </c>
    </row>
    <row r="14" ht="46" customHeight="1">
      <c r="A14" s="23" t="inlineStr">
        <is>
          <t>XI-10</t>
        </is>
      </c>
      <c r="B14" s="24" t="inlineStr">
        <is>
          <t>Cross-industry</t>
        </is>
      </c>
      <c r="C14" s="25" t="inlineStr">
        <is>
          <t>Finance &amp; accounting</t>
        </is>
      </c>
      <c r="D14" s="26" t="inlineStr">
        <is>
          <t>Financial statements &amp; disclosure drafting</t>
        </is>
      </c>
      <c r="E14" s="25" t="inlineStr">
        <is>
          <t>Mapping trial balances and drafting notes manually</t>
        </is>
      </c>
      <c r="F14" s="25" t="inlineStr">
        <is>
          <t>Draft, summarise, translate or review text</t>
        </is>
      </c>
      <c r="G14" s="25" t="inlineStr">
        <is>
          <t>Generative AI assistant (off-the-shelf)</t>
        </is>
      </c>
      <c r="H14" s="25" t="inlineStr">
        <is>
          <t>Rules-based TB-to-line mapping with AI suggestions; GenAI drafts notes from approved templates; qualified accountant review and sign-off.</t>
        </is>
      </c>
      <c r="I14" s="25" t="inlineStr">
        <is>
          <t>Trial balance, prior-year FS, IFRS disclosure checklist</t>
        </is>
      </c>
      <c r="J14" s="25" t="inlineStr">
        <is>
          <t>Preparation hours; review points; restatements</t>
        </is>
      </c>
      <c r="K14" s="25" t="inlineStr">
        <is>
          <t>IFRS compliance; professional review mandatory; IESBA independence where an auditor provides it (GT AI FS tool - in preparation).</t>
        </is>
      </c>
      <c r="L14" s="25" t="inlineStr">
        <is>
          <t>Medium</t>
        </is>
      </c>
      <c r="M14" t="inlineStr">
        <is>
          <t>XI-10 | Financial statements &amp; disclosure drafting</t>
        </is>
      </c>
      <c r="N14" t="b">
        <f>OR('1. AI Position'!$C$5="",'1. AI Position'!$C$5="Other",B14="Cross-industry",B14='1. AI Position'!$C$5)</f>
        <v>1</v>
      </c>
      <c r="O14">
        <f>IF(N14,COUNTIF($N$5:N14,TRUE),"")</f>
        <v>10</v>
      </c>
    </row>
    <row r="15" ht="46" customHeight="1">
      <c r="A15" s="23" t="inlineStr">
        <is>
          <t>XI-11</t>
        </is>
      </c>
      <c r="B15" s="24" t="inlineStr">
        <is>
          <t>Cross-industry</t>
        </is>
      </c>
      <c r="C15" s="25" t="inlineStr">
        <is>
          <t>Finance &amp; accounting</t>
        </is>
      </c>
      <c r="D15" s="26" t="inlineStr">
        <is>
          <t>Budget narratives &amp; variance commentary</t>
        </is>
      </c>
      <c r="E15" s="25" t="inlineStr">
        <is>
          <t>Commentary written from scratch each month</t>
        </is>
      </c>
      <c r="F15" s="25" t="inlineStr">
        <is>
          <t>Draft, summarise, translate or review text</t>
        </is>
      </c>
      <c r="G15" s="25" t="inlineStr">
        <is>
          <t>Generative AI assistant (off-the-shelf)</t>
        </is>
      </c>
      <c r="H15" s="25" t="inlineStr">
        <is>
          <t>GenAI drafts budget and variance commentary from approved KPI tables; finance edits and approves.</t>
        </is>
      </c>
      <c r="I15" s="25" t="inlineStr">
        <is>
          <t>Budget vs actuals, KPI definitions</t>
        </is>
      </c>
      <c r="J15" s="25" t="inlineStr">
        <is>
          <t>Hours per pack; timeliness</t>
        </is>
      </c>
      <c r="K15" s="25" t="inlineStr">
        <is>
          <t>Confidential financials only in approved enterprise tools.</t>
        </is>
      </c>
      <c r="L15" s="25" t="inlineStr">
        <is>
          <t>Low</t>
        </is>
      </c>
      <c r="M15" t="inlineStr">
        <is>
          <t>XI-11 | Budget narratives &amp; variance commentary</t>
        </is>
      </c>
      <c r="N15" t="b">
        <f>OR('1. AI Position'!$C$5="",'1. AI Position'!$C$5="Other",B15="Cross-industry",B15='1. AI Position'!$C$5)</f>
        <v>1</v>
      </c>
      <c r="O15">
        <f>IF(N15,COUNTIF($N$5:N15,TRUE),"")</f>
        <v>11</v>
      </c>
    </row>
    <row r="16" ht="46" customHeight="1">
      <c r="A16" s="23" t="inlineStr">
        <is>
          <t>XI-12</t>
        </is>
      </c>
      <c r="B16" s="24" t="inlineStr">
        <is>
          <t>Cross-industry</t>
        </is>
      </c>
      <c r="C16" s="25" t="inlineStr">
        <is>
          <t>Finance &amp; accounting</t>
        </is>
      </c>
      <c r="D16" s="26" t="inlineStr">
        <is>
          <t>Fixed-asset register &amp; depreciation</t>
        </is>
      </c>
      <c r="E16" s="25" t="inlineStr">
        <is>
          <t>Asset additions and disposals updated manually</t>
        </is>
      </c>
      <c r="F16" s="25" t="inlineStr">
        <is>
          <t>Move or re-key data between systems following fixed rules</t>
        </is>
      </c>
      <c r="G16" s="25" t="inlineStr">
        <is>
          <t>Workflow automation / RPA</t>
        </is>
      </c>
      <c r="H16" s="25" t="inlineStr">
        <is>
          <t>Automate asset creation from capex POs and depreciation runs; dashboard for physical-verification exceptions.</t>
        </is>
      </c>
      <c r="I16" s="25" t="inlineStr">
        <is>
          <t>Capex POs, asset register</t>
        </is>
      </c>
      <c r="J16" s="25" t="inlineStr">
        <is>
          <t>Register accuracy; close hours</t>
        </is>
      </c>
      <c r="K16" s="25" t="inlineStr">
        <is>
          <t>-</t>
        </is>
      </c>
      <c r="L16" s="25" t="inlineStr">
        <is>
          <t>Low</t>
        </is>
      </c>
      <c r="M16" t="inlineStr">
        <is>
          <t>XI-12 | Fixed-asset register &amp; depreciation</t>
        </is>
      </c>
      <c r="N16" t="b">
        <f>OR('1. AI Position'!$C$5="",'1. AI Position'!$C$5="Other",B16="Cross-industry",B16='1. AI Position'!$C$5)</f>
        <v>1</v>
      </c>
      <c r="O16">
        <f>IF(N16,COUNTIF($N$5:N16,TRUE),"")</f>
        <v>12</v>
      </c>
    </row>
    <row r="17" ht="46" customHeight="1">
      <c r="A17" s="23" t="inlineStr">
        <is>
          <t>XI-13</t>
        </is>
      </c>
      <c r="B17" s="24" t="inlineStr">
        <is>
          <t>Cross-industry</t>
        </is>
      </c>
      <c r="C17" s="25" t="inlineStr">
        <is>
          <t>HR &amp; people</t>
        </is>
      </c>
      <c r="D17" s="26" t="inlineStr">
        <is>
          <t>Payroll input validation</t>
        </is>
      </c>
      <c r="E17" s="25" t="inlineStr">
        <is>
          <t>Attendance and allowances collated by hand</t>
        </is>
      </c>
      <c r="F17" s="25" t="inlineStr">
        <is>
          <t>Check or approve items against fixed criteria (rules, thresholds, checklists)</t>
        </is>
      </c>
      <c r="G17" s="25" t="inlineStr">
        <is>
          <t>Rules engine / workflow automation</t>
        </is>
      </c>
      <c r="H17" s="25" t="inlineStr">
        <is>
          <t>Rules-based validation of payroll inputs (attendance, overtime, allowances) with exception reports before payroll run.</t>
        </is>
      </c>
      <c r="I17" s="25" t="inlineStr">
        <is>
          <t>Time &amp; attendance, HRIS, allowance rules</t>
        </is>
      </c>
      <c r="J17" s="25" t="inlineStr">
        <is>
          <t>Payroll errors; re-runs; hours per cycle</t>
        </is>
      </c>
      <c r="K17" s="25" t="inlineStr">
        <is>
          <t>Employee personal data - PDPL; LMRA / labour-law rules.</t>
        </is>
      </c>
      <c r="L17" s="25" t="inlineStr">
        <is>
          <t>Low</t>
        </is>
      </c>
      <c r="M17" t="inlineStr">
        <is>
          <t>XI-13 | Payroll input validation</t>
        </is>
      </c>
      <c r="N17" t="b">
        <f>OR('1. AI Position'!$C$5="",'1. AI Position'!$C$5="Other",B17="Cross-industry",B17='1. AI Position'!$C$5)</f>
        <v>1</v>
      </c>
      <c r="O17">
        <f>IF(N17,COUNTIF($N$5:N17,TRUE),"")</f>
        <v>13</v>
      </c>
    </row>
    <row r="18" ht="46" customHeight="1">
      <c r="A18" s="23" t="inlineStr">
        <is>
          <t>XI-14</t>
        </is>
      </c>
      <c r="B18" s="24" t="inlineStr">
        <is>
          <t>Cross-industry</t>
        </is>
      </c>
      <c r="C18" s="25" t="inlineStr">
        <is>
          <t>HR &amp; people</t>
        </is>
      </c>
      <c r="D18" s="26" t="inlineStr">
        <is>
          <t>CV screening &amp; shortlisting</t>
        </is>
      </c>
      <c r="E18" s="25" t="inlineStr">
        <is>
          <t>High application volumes, slow shortlisting</t>
        </is>
      </c>
      <c r="F18" s="25" t="inlineStr">
        <is>
          <t>Forecast, score, classify or detect anomalies from historical data</t>
        </is>
      </c>
      <c r="G18" s="25" t="inlineStr">
        <is>
          <t>Predictive analytics / machine learning</t>
        </is>
      </c>
      <c r="H18" s="25" t="inlineStr">
        <is>
          <t>Start with structured screening criteria (rules). If ML / GenAI ranking is used: bias testing, human decision on every candidate, candidate notice and records.</t>
        </is>
      </c>
      <c r="I18" s="25" t="inlineStr">
        <is>
          <t>Job criteria, past applications and hiring outcomes</t>
        </is>
      </c>
      <c r="J18" s="25" t="inlineStr">
        <is>
          <t>Time to shortlist; quality of hire; adverse-impact ratio</t>
        </is>
      </c>
      <c r="K18" s="25" t="inlineStr">
        <is>
          <t>HIGH-RISK under EU AI Act Annex III (4) - employment; emotion recognition at work prohibited (Art. 5); PDPL; non-discrimination.</t>
        </is>
      </c>
      <c r="L18" s="25" t="inlineStr">
        <is>
          <t>High</t>
        </is>
      </c>
      <c r="M18" t="inlineStr">
        <is>
          <t>XI-14 | CV screening &amp; shortlisting</t>
        </is>
      </c>
      <c r="N18" t="b">
        <f>OR('1. AI Position'!$C$5="",'1. AI Position'!$C$5="Other",B18="Cross-industry",B18='1. AI Position'!$C$5)</f>
        <v>1</v>
      </c>
      <c r="O18">
        <f>IF(N18,COUNTIF($N$5:N18,TRUE),"")</f>
        <v>14</v>
      </c>
    </row>
    <row r="19" ht="46" customHeight="1">
      <c r="A19" s="23" t="inlineStr">
        <is>
          <t>XI-15</t>
        </is>
      </c>
      <c r="B19" s="24" t="inlineStr">
        <is>
          <t>Cross-industry</t>
        </is>
      </c>
      <c r="C19" s="25" t="inlineStr">
        <is>
          <t>HR &amp; people</t>
        </is>
      </c>
      <c r="D19" s="26" t="inlineStr">
        <is>
          <t>Interview scheduling</t>
        </is>
      </c>
      <c r="E19" s="25" t="inlineStr">
        <is>
          <t>Back-and-forth emails to schedule interviews</t>
        </is>
      </c>
      <c r="F19" s="25" t="inlineStr">
        <is>
          <t>Move or re-key data between systems following fixed rules</t>
        </is>
      </c>
      <c r="G19" s="25" t="inlineStr">
        <is>
          <t>Workflow automation / RPA</t>
        </is>
      </c>
      <c r="H19" s="25" t="inlineStr">
        <is>
          <t>Calendar-integrated scheduling automation with candidate self-booking.</t>
        </is>
      </c>
      <c r="I19" s="25" t="inlineStr">
        <is>
          <t>Interviewer calendars, candidate contacts</t>
        </is>
      </c>
      <c r="J19" s="25" t="inlineStr">
        <is>
          <t>Time to schedule; no-shows</t>
        </is>
      </c>
      <c r="K19" s="25" t="inlineStr">
        <is>
          <t>-</t>
        </is>
      </c>
      <c r="L19" s="25" t="inlineStr">
        <is>
          <t>Low</t>
        </is>
      </c>
      <c r="M19" t="inlineStr">
        <is>
          <t>XI-15 | Interview scheduling</t>
        </is>
      </c>
      <c r="N19" t="b">
        <f>OR('1. AI Position'!$C$5="",'1. AI Position'!$C$5="Other",B19="Cross-industry",B19='1. AI Position'!$C$5)</f>
        <v>1</v>
      </c>
      <c r="O19">
        <f>IF(N19,COUNTIF($N$5:N19,TRUE),"")</f>
        <v>15</v>
      </c>
    </row>
    <row r="20" ht="46" customHeight="1">
      <c r="A20" s="23" t="inlineStr">
        <is>
          <t>XI-16</t>
        </is>
      </c>
      <c r="B20" s="24" t="inlineStr">
        <is>
          <t>Cross-industry</t>
        </is>
      </c>
      <c r="C20" s="25" t="inlineStr">
        <is>
          <t>HR &amp; people</t>
        </is>
      </c>
      <c r="D20" s="26" t="inlineStr">
        <is>
          <t>Employee HR queries (leave, policies, payslips)</t>
        </is>
      </c>
      <c r="E20" s="25" t="inlineStr">
        <is>
          <t>HR answers the same questions repeatedly</t>
        </is>
      </c>
      <c r="F20" s="25" t="inlineStr">
        <is>
          <t>Converse with customers, citizens or staff (chat, voice, WhatsApp)</t>
        </is>
      </c>
      <c r="G20" s="25" t="inlineStr">
        <is>
          <t>Conversational AI / virtual agent</t>
        </is>
      </c>
      <c r="H20" s="25" t="inlineStr">
        <is>
          <t>HR virtual agent grounded on HR policies plus self-service transactions via HRIS integration; hand-off to HR for sensitive cases.</t>
        </is>
      </c>
      <c r="I20" s="25" t="inlineStr">
        <is>
          <t>HR policies, HRIS APIs</t>
        </is>
      </c>
      <c r="J20" s="25" t="inlineStr">
        <is>
          <t>Query deflection; HR response time; employee satisfaction</t>
        </is>
      </c>
      <c r="K20" s="25" t="inlineStr">
        <is>
          <t>Disclose AI to users; access control on personal data.</t>
        </is>
      </c>
      <c r="L20" s="25" t="inlineStr">
        <is>
          <t>Low</t>
        </is>
      </c>
      <c r="M20" t="inlineStr">
        <is>
          <t>XI-16 | Employee HR queries (leave, policies, payslips)</t>
        </is>
      </c>
      <c r="N20" t="b">
        <f>OR('1. AI Position'!$C$5="",'1. AI Position'!$C$5="Other",B20="Cross-industry",B20='1. AI Position'!$C$5)</f>
        <v>1</v>
      </c>
      <c r="O20">
        <f>IF(N20,COUNTIF($N$5:N20,TRUE),"")</f>
        <v>16</v>
      </c>
    </row>
    <row r="21" ht="46" customHeight="1">
      <c r="A21" s="23" t="inlineStr">
        <is>
          <t>XI-17</t>
        </is>
      </c>
      <c r="B21" s="24" t="inlineStr">
        <is>
          <t>Cross-industry</t>
        </is>
      </c>
      <c r="C21" s="25" t="inlineStr">
        <is>
          <t>HR &amp; people</t>
        </is>
      </c>
      <c r="D21" s="26" t="inlineStr">
        <is>
          <t>Onboarding &amp; offboarding</t>
        </is>
      </c>
      <c r="E21" s="25" t="inlineStr">
        <is>
          <t>Many hand-offs across HR, IT and facilities</t>
        </is>
      </c>
      <c r="F21" s="25" t="inlineStr">
        <is>
          <t>Move or re-key data between systems following fixed rules</t>
        </is>
      </c>
      <c r="G21" s="25" t="inlineStr">
        <is>
          <t>Workflow automation / RPA</t>
        </is>
      </c>
      <c r="H21" s="25" t="inlineStr">
        <is>
          <t>Workflow orchestrating accounts, assets, payroll and training; automated timely access removal at exit.</t>
        </is>
      </c>
      <c r="I21" s="25" t="inlineStr">
        <is>
          <t>HRIS events, IT identity system</t>
        </is>
      </c>
      <c r="J21" s="25" t="inlineStr">
        <is>
          <t>Day-one readiness; orphan accounts; cycle time</t>
        </is>
      </c>
      <c r="K21" s="25" t="inlineStr">
        <is>
          <t>Access-removal is a key security control (ISO/IEC 27001 A.5.18).</t>
        </is>
      </c>
      <c r="L21" s="25" t="inlineStr">
        <is>
          <t>Low</t>
        </is>
      </c>
      <c r="M21" t="inlineStr">
        <is>
          <t>XI-17 | Onboarding &amp; offboarding</t>
        </is>
      </c>
      <c r="N21" t="b">
        <f>OR('1. AI Position'!$C$5="",'1. AI Position'!$C$5="Other",B21="Cross-industry",B21='1. AI Position'!$C$5)</f>
        <v>1</v>
      </c>
      <c r="O21">
        <f>IF(N21,COUNTIF($N$5:N21,TRUE),"")</f>
        <v>17</v>
      </c>
    </row>
    <row r="22" ht="46" customHeight="1">
      <c r="A22" s="23" t="inlineStr">
        <is>
          <t>XI-18</t>
        </is>
      </c>
      <c r="B22" s="24" t="inlineStr">
        <is>
          <t>Cross-industry</t>
        </is>
      </c>
      <c r="C22" s="25" t="inlineStr">
        <is>
          <t>HR &amp; people</t>
        </is>
      </c>
      <c r="D22" s="26" t="inlineStr">
        <is>
          <t>Job descriptions, policies &amp; HR letters</t>
        </is>
      </c>
      <c r="E22" s="25" t="inlineStr">
        <is>
          <t>Time-consuming drafting</t>
        </is>
      </c>
      <c r="F22" s="25" t="inlineStr">
        <is>
          <t>Draft, summarise, translate or review text</t>
        </is>
      </c>
      <c r="G22" s="25" t="inlineStr">
        <is>
          <t>Generative AI assistant (off-the-shelf)</t>
        </is>
      </c>
      <c r="H22" s="25" t="inlineStr">
        <is>
          <t>GenAI drafting from approved templates and competency frameworks; HR review for bias and accuracy.</t>
        </is>
      </c>
      <c r="I22" s="25" t="inlineStr">
        <is>
          <t>Templates, competency framework</t>
        </is>
      </c>
      <c r="J22" s="25" t="inlineStr">
        <is>
          <t>Drafting time; consistency</t>
        </is>
      </c>
      <c r="K22" s="25" t="inlineStr">
        <is>
          <t>Check inclusive language; no personal data in prompts.</t>
        </is>
      </c>
      <c r="L22" s="25" t="inlineStr">
        <is>
          <t>Low</t>
        </is>
      </c>
      <c r="M22" t="inlineStr">
        <is>
          <t>XI-18 | Job descriptions, policies &amp; HR letters</t>
        </is>
      </c>
      <c r="N22" t="b">
        <f>OR('1. AI Position'!$C$5="",'1. AI Position'!$C$5="Other",B22="Cross-industry",B22='1. AI Position'!$C$5)</f>
        <v>1</v>
      </c>
      <c r="O22">
        <f>IF(N22,COUNTIF($N$5:N22,TRUE),"")</f>
        <v>18</v>
      </c>
    </row>
    <row r="23" ht="46" customHeight="1">
      <c r="A23" s="23" t="inlineStr">
        <is>
          <t>XI-19</t>
        </is>
      </c>
      <c r="B23" s="24" t="inlineStr">
        <is>
          <t>Cross-industry</t>
        </is>
      </c>
      <c r="C23" s="25" t="inlineStr">
        <is>
          <t>HR &amp; people</t>
        </is>
      </c>
      <c r="D23" s="26" t="inlineStr">
        <is>
          <t>Learning content &amp; assessments</t>
        </is>
      </c>
      <c r="E23" s="25" t="inlineStr">
        <is>
          <t>Training content slow and costly to produce</t>
        </is>
      </c>
      <c r="F23" s="25" t="inlineStr">
        <is>
          <t>Draft, summarise, translate or review text</t>
        </is>
      </c>
      <c r="G23" s="25" t="inlineStr">
        <is>
          <t>Generative AI assistant (off-the-shelf)</t>
        </is>
      </c>
      <c r="H23" s="25" t="inlineStr">
        <is>
          <t>GenAI-assisted course outlines, micro-learning and quizzes from approved source material; SME validation.</t>
        </is>
      </c>
      <c r="I23" s="25" t="inlineStr">
        <is>
          <t>Policies, procedures, SME content</t>
        </is>
      </c>
      <c r="J23" s="25" t="inlineStr">
        <is>
          <t>Content production time; completion; scores</t>
        </is>
      </c>
      <c r="K23" s="25" t="inlineStr">
        <is>
          <t>Copyright of source material; accuracy review.</t>
        </is>
      </c>
      <c r="L23" s="25" t="inlineStr">
        <is>
          <t>Low</t>
        </is>
      </c>
      <c r="M23" t="inlineStr">
        <is>
          <t>XI-19 | Learning content &amp; assessments</t>
        </is>
      </c>
      <c r="N23" t="b">
        <f>OR('1. AI Position'!$C$5="",'1. AI Position'!$C$5="Other",B23="Cross-industry",B23='1. AI Position'!$C$5)</f>
        <v>1</v>
      </c>
      <c r="O23">
        <f>IF(N23,COUNTIF($N$5:N23,TRUE),"")</f>
        <v>19</v>
      </c>
    </row>
    <row r="24" ht="46" customHeight="1">
      <c r="A24" s="23" t="inlineStr">
        <is>
          <t>XI-20</t>
        </is>
      </c>
      <c r="B24" s="24" t="inlineStr">
        <is>
          <t>Cross-industry</t>
        </is>
      </c>
      <c r="C24" s="25" t="inlineStr">
        <is>
          <t>HR &amp; people</t>
        </is>
      </c>
      <c r="D24" s="26" t="inlineStr">
        <is>
          <t>Attrition risk analytics</t>
        </is>
      </c>
      <c r="E24" s="25" t="inlineStr">
        <is>
          <t>Losing key staff without warning</t>
        </is>
      </c>
      <c r="F24" s="25" t="inlineStr">
        <is>
          <t>Forecast, score, classify or detect anomalies from historical data</t>
        </is>
      </c>
      <c r="G24" s="25" t="inlineStr">
        <is>
          <t>Predictive analytics / machine learning</t>
        </is>
      </c>
      <c r="H24" s="25" t="inlineStr">
        <is>
          <t>Aggregate attrition-driver analytics for HR planning; avoid individual automated decisions; transparency to employees.</t>
        </is>
      </c>
      <c r="I24" s="25" t="inlineStr">
        <is>
          <t>HRIS history, engagement survey results</t>
        </is>
      </c>
      <c r="J24" s="25" t="inlineStr">
        <is>
          <t>Regretted attrition; retention-plan coverage</t>
        </is>
      </c>
      <c r="K24" s="25" t="inlineStr">
        <is>
          <t>Profiling of employees - PDPL transparency; not used for adverse individual decisions.</t>
        </is>
      </c>
      <c r="L24" s="25" t="inlineStr">
        <is>
          <t>Medium</t>
        </is>
      </c>
      <c r="M24" t="inlineStr">
        <is>
          <t>XI-20 | Attrition risk analytics</t>
        </is>
      </c>
      <c r="N24" t="b">
        <f>OR('1. AI Position'!$C$5="",'1. AI Position'!$C$5="Other",B24="Cross-industry",B24='1. AI Position'!$C$5)</f>
        <v>1</v>
      </c>
      <c r="O24">
        <f>IF(N24,COUNTIF($N$5:N24,TRUE),"")</f>
        <v>20</v>
      </c>
    </row>
    <row r="25" ht="46" customHeight="1">
      <c r="A25" s="23" t="inlineStr">
        <is>
          <t>XI-21</t>
        </is>
      </c>
      <c r="B25" s="24" t="inlineStr">
        <is>
          <t>Cross-industry</t>
        </is>
      </c>
      <c r="C25" s="25" t="inlineStr">
        <is>
          <t>HR &amp; people</t>
        </is>
      </c>
      <c r="D25" s="26" t="inlineStr">
        <is>
          <t>Performance-review summarisation</t>
        </is>
      </c>
      <c r="E25" s="25" t="inlineStr">
        <is>
          <t>Managers struggle to summarise feedback</t>
        </is>
      </c>
      <c r="F25" s="25" t="inlineStr">
        <is>
          <t>Draft, summarise, translate or review text</t>
        </is>
      </c>
      <c r="G25" s="25" t="inlineStr">
        <is>
          <t>Generative AI assistant (off-the-shelf)</t>
        </is>
      </c>
      <c r="H25" s="25" t="inlineStr">
        <is>
          <t>GenAI summaries of 360 feedback for managers; manager remains author and decision-maker.</t>
        </is>
      </c>
      <c r="I25" s="25" t="inlineStr">
        <is>
          <t>Feedback text</t>
        </is>
      </c>
      <c r="J25" s="25" t="inlineStr">
        <is>
          <t>Time per review; quality of feedback</t>
        </is>
      </c>
      <c r="K25" s="25" t="inlineStr">
        <is>
          <t>Employment decisions - human decision mandatory; PDPL.</t>
        </is>
      </c>
      <c r="L25" s="25" t="inlineStr">
        <is>
          <t>Medium</t>
        </is>
      </c>
      <c r="M25" t="inlineStr">
        <is>
          <t>XI-21 | Performance-review summarisation</t>
        </is>
      </c>
      <c r="N25" t="b">
        <f>OR('1. AI Position'!$C$5="",'1. AI Position'!$C$5="Other",B25="Cross-industry",B25='1. AI Position'!$C$5)</f>
        <v>1</v>
      </c>
      <c r="O25">
        <f>IF(N25,COUNTIF($N$5:N25,TRUE),"")</f>
        <v>21</v>
      </c>
    </row>
    <row r="26" ht="46" customHeight="1">
      <c r="A26" s="23" t="inlineStr">
        <is>
          <t>XI-22</t>
        </is>
      </c>
      <c r="B26" s="24" t="inlineStr">
        <is>
          <t>Cross-industry</t>
        </is>
      </c>
      <c r="C26" s="25" t="inlineStr">
        <is>
          <t>Customer service</t>
        </is>
      </c>
      <c r="D26" s="26" t="inlineStr">
        <is>
          <t>Customer enquiries (web, app, WhatsApp, phone)</t>
        </is>
      </c>
      <c r="E26" s="25" t="inlineStr">
        <is>
          <t>Long waits for routine questions</t>
        </is>
      </c>
      <c r="F26" s="25" t="inlineStr">
        <is>
          <t>Converse with customers, citizens or staff (chat, voice, WhatsApp)</t>
        </is>
      </c>
      <c r="G26" s="25" t="inlineStr">
        <is>
          <t>Conversational AI / virtual agent</t>
        </is>
      </c>
      <c r="H26" s="25" t="inlineStr">
        <is>
          <t>Bilingual (Arabic / English) virtual agent grounded on approved FAQs and account APIs, with seamless hand-off to staff.</t>
        </is>
      </c>
      <c r="I26" s="25" t="inlineStr">
        <is>
          <t>FAQs, product information, CRM / account APIs</t>
        </is>
      </c>
      <c r="J26" s="25" t="inlineStr">
        <is>
          <t>Containment rate; average handling time; CSAT</t>
        </is>
      </c>
      <c r="K26" s="25" t="inlineStr">
        <is>
          <t>Disclose AI interaction (EU AI Act Art. 50 where applicable); authentication before account data.</t>
        </is>
      </c>
      <c r="L26" s="25" t="inlineStr">
        <is>
          <t>Medium</t>
        </is>
      </c>
      <c r="M26" t="inlineStr">
        <is>
          <t>XI-22 | Customer enquiries (web, app, WhatsApp, phone)</t>
        </is>
      </c>
      <c r="N26" t="b">
        <f>OR('1. AI Position'!$C$5="",'1. AI Position'!$C$5="Other",B26="Cross-industry",B26='1. AI Position'!$C$5)</f>
        <v>1</v>
      </c>
      <c r="O26">
        <f>IF(N26,COUNTIF($N$5:N26,TRUE),"")</f>
        <v>22</v>
      </c>
    </row>
    <row r="27" ht="46" customHeight="1">
      <c r="A27" s="23" t="inlineStr">
        <is>
          <t>XI-23</t>
        </is>
      </c>
      <c r="B27" s="24" t="inlineStr">
        <is>
          <t>Cross-industry</t>
        </is>
      </c>
      <c r="C27" s="25" t="inlineStr">
        <is>
          <t>Customer service</t>
        </is>
      </c>
      <c r="D27" s="26" t="inlineStr">
        <is>
          <t>Email &amp; ticket triage and suggested replies</t>
        </is>
      </c>
      <c r="E27" s="25" t="inlineStr">
        <is>
          <t>Manual sorting and slow responses</t>
        </is>
      </c>
      <c r="F27" s="25" t="inlineStr">
        <is>
          <t>Draft, summarise, translate or review text</t>
        </is>
      </c>
      <c r="G27" s="25" t="inlineStr">
        <is>
          <t>Generative AI assistant (off-the-shelf)</t>
        </is>
      </c>
      <c r="H27" s="25" t="inlineStr">
        <is>
          <t>LLM classification and routing of incoming emails / tickets with suggested replies for agent approval.</t>
        </is>
      </c>
      <c r="I27" s="25" t="inlineStr">
        <is>
          <t>Historic tickets, routing rules</t>
        </is>
      </c>
      <c r="J27" s="25" t="inlineStr">
        <is>
          <t>First-response time; misrouted tickets; agent productivity</t>
        </is>
      </c>
      <c r="K27" s="25" t="inlineStr">
        <is>
          <t>Human approval of replies; PDPL.</t>
        </is>
      </c>
      <c r="L27" s="25" t="inlineStr">
        <is>
          <t>Low</t>
        </is>
      </c>
      <c r="M27" t="inlineStr">
        <is>
          <t>XI-23 | Email &amp; ticket triage and suggested replies</t>
        </is>
      </c>
      <c r="N27" t="b">
        <f>OR('1. AI Position'!$C$5="",'1. AI Position'!$C$5="Other",B27="Cross-industry",B27='1. AI Position'!$C$5)</f>
        <v>1</v>
      </c>
      <c r="O27">
        <f>IF(N27,COUNTIF($N$5:N27,TRUE),"")</f>
        <v>23</v>
      </c>
    </row>
    <row r="28" ht="46" customHeight="1">
      <c r="A28" s="23" t="inlineStr">
        <is>
          <t>XI-24</t>
        </is>
      </c>
      <c r="B28" s="24" t="inlineStr">
        <is>
          <t>Cross-industry</t>
        </is>
      </c>
      <c r="C28" s="25" t="inlineStr">
        <is>
          <t>Customer service</t>
        </is>
      </c>
      <c r="D28" s="26" t="inlineStr">
        <is>
          <t>Complaint handling &amp; root-cause analysis</t>
        </is>
      </c>
      <c r="E28" s="25" t="inlineStr">
        <is>
          <t>Complaints triaged late; themes not visible</t>
        </is>
      </c>
      <c r="F28" s="25" t="inlineStr">
        <is>
          <t>Draft, summarise, translate or review text</t>
        </is>
      </c>
      <c r="G28" s="25" t="inlineStr">
        <is>
          <t>Generative AI assistant (off-the-shelf)</t>
        </is>
      </c>
      <c r="H28" s="25" t="inlineStr">
        <is>
          <t>GenAI categorisation, summarisation and theme analysis of complaints; deadlines tracked in workflow.</t>
        </is>
      </c>
      <c r="I28" s="25" t="inlineStr">
        <is>
          <t>Complaint records</t>
        </is>
      </c>
      <c r="J28" s="25" t="inlineStr">
        <is>
          <t>Resolution time; repeat complaints; regulatory breaches</t>
        </is>
      </c>
      <c r="K28" s="25" t="inlineStr">
        <is>
          <t>Sector complaint rules (e.g., CBB, TRA) - deadlines and reporting.</t>
        </is>
      </c>
      <c r="L28" s="25" t="inlineStr">
        <is>
          <t>Medium</t>
        </is>
      </c>
      <c r="M28" t="inlineStr">
        <is>
          <t>XI-24 | Complaint handling &amp; root-cause analysis</t>
        </is>
      </c>
      <c r="N28" t="b">
        <f>OR('1. AI Position'!$C$5="",'1. AI Position'!$C$5="Other",B28="Cross-industry",B28='1. AI Position'!$C$5)</f>
        <v>1</v>
      </c>
      <c r="O28">
        <f>IF(N28,COUNTIF($N$5:N28,TRUE),"")</f>
        <v>24</v>
      </c>
    </row>
    <row r="29" ht="46" customHeight="1">
      <c r="A29" s="23" t="inlineStr">
        <is>
          <t>XI-25</t>
        </is>
      </c>
      <c r="B29" s="24" t="inlineStr">
        <is>
          <t>Cross-industry</t>
        </is>
      </c>
      <c r="C29" s="25" t="inlineStr">
        <is>
          <t>Customer service</t>
        </is>
      </c>
      <c r="D29" s="26" t="inlineStr">
        <is>
          <t>Call summarisation &amp; quality assurance</t>
        </is>
      </c>
      <c r="E29" s="25" t="inlineStr">
        <is>
          <t>Supervisors sample only a few calls</t>
        </is>
      </c>
      <c r="F29" s="25" t="inlineStr">
        <is>
          <t>Recognise or inspect images, video or speech</t>
        </is>
      </c>
      <c r="G29" s="25" t="inlineStr">
        <is>
          <t>Computer vision / speech AI</t>
        </is>
      </c>
      <c r="H29" s="25" t="inlineStr">
        <is>
          <t>Speech-to-text with automated call summaries, QA scoring against scripts and compliance phrases.</t>
        </is>
      </c>
      <c r="I29" s="25" t="inlineStr">
        <is>
          <t>Call recordings, QA scorecards</t>
        </is>
      </c>
      <c r="J29" s="25" t="inlineStr">
        <is>
          <t>Calls QA'd %; after-call work time; compliance breaches</t>
        </is>
      </c>
      <c r="K29" s="25" t="inlineStr">
        <is>
          <t>Recording consent; Arabic dialect accuracy testing; no emotion recognition of employees (EU AI Act Art. 5).</t>
        </is>
      </c>
      <c r="L29" s="25" t="inlineStr">
        <is>
          <t>Medium</t>
        </is>
      </c>
      <c r="M29" t="inlineStr">
        <is>
          <t>XI-25 | Call summarisation &amp; quality assurance</t>
        </is>
      </c>
      <c r="N29" t="b">
        <f>OR('1. AI Position'!$C$5="",'1. AI Position'!$C$5="Other",B29="Cross-industry",B29='1. AI Position'!$C$5)</f>
        <v>1</v>
      </c>
      <c r="O29">
        <f>IF(N29,COUNTIF($N$5:N29,TRUE),"")</f>
        <v>25</v>
      </c>
    </row>
    <row r="30" ht="46" customHeight="1">
      <c r="A30" s="23" t="inlineStr">
        <is>
          <t>XI-26</t>
        </is>
      </c>
      <c r="B30" s="24" t="inlineStr">
        <is>
          <t>Cross-industry</t>
        </is>
      </c>
      <c r="C30" s="25" t="inlineStr">
        <is>
          <t>Sales &amp; marketing</t>
        </is>
      </c>
      <c r="D30" s="26" t="inlineStr">
        <is>
          <t>Proposal, quotation &amp; tender responses</t>
        </is>
      </c>
      <c r="E30" s="25" t="inlineStr">
        <is>
          <t>Re-writing similar content for every bid</t>
        </is>
      </c>
      <c r="F30" s="25" t="inlineStr">
        <is>
          <t>Answer questions from internal knowledge, policies or past work</t>
        </is>
      </c>
      <c r="G30" s="25" t="inlineStr">
        <is>
          <t>GenAI knowledge assistant (RAG on own content)</t>
        </is>
      </c>
      <c r="H30" s="25" t="inlineStr">
        <is>
          <t>Knowledge assistant over approved credentials, CVs and past proposals to draft responses; bid manager review.</t>
        </is>
      </c>
      <c r="I30" s="25" t="inlineStr">
        <is>
          <t>Past proposals, credentials library, CVs</t>
        </is>
      </c>
      <c r="J30" s="25" t="inlineStr">
        <is>
          <t>Proposal preparation time; win rate</t>
        </is>
      </c>
      <c r="K30" s="25" t="inlineStr">
        <is>
          <t>Client confidentiality - sanitise past work; human review.</t>
        </is>
      </c>
      <c r="L30" s="25" t="inlineStr">
        <is>
          <t>Low</t>
        </is>
      </c>
      <c r="M30" t="inlineStr">
        <is>
          <t>XI-26 | Proposal, quotation &amp; tender responses</t>
        </is>
      </c>
      <c r="N30" t="b">
        <f>OR('1. AI Position'!$C$5="",'1. AI Position'!$C$5="Other",B30="Cross-industry",B30='1. AI Position'!$C$5)</f>
        <v>1</v>
      </c>
      <c r="O30">
        <f>IF(N30,COUNTIF($N$5:N30,TRUE),"")</f>
        <v>26</v>
      </c>
    </row>
    <row r="31" ht="46" customHeight="1">
      <c r="A31" s="23" t="inlineStr">
        <is>
          <t>XI-27</t>
        </is>
      </c>
      <c r="B31" s="24" t="inlineStr">
        <is>
          <t>Cross-industry</t>
        </is>
      </c>
      <c r="C31" s="25" t="inlineStr">
        <is>
          <t>Sales &amp; marketing</t>
        </is>
      </c>
      <c r="D31" s="26" t="inlineStr">
        <is>
          <t>Lead scoring &amp; next-best action</t>
        </is>
      </c>
      <c r="E31" s="25" t="inlineStr">
        <is>
          <t>Sales effort spread evenly across leads</t>
        </is>
      </c>
      <c r="F31" s="25" t="inlineStr">
        <is>
          <t>Forecast, score, classify or detect anomalies from historical data</t>
        </is>
      </c>
      <c r="G31" s="25" t="inlineStr">
        <is>
          <t>Predictive analytics / machine learning</t>
        </is>
      </c>
      <c r="H31" s="25" t="inlineStr">
        <is>
          <t>ML lead scoring from CRM history with explainable drivers; sales retains judgement.</t>
        </is>
      </c>
      <c r="I31" s="25" t="inlineStr">
        <is>
          <t>CRM history with won / lost outcomes</t>
        </is>
      </c>
      <c r="J31" s="25" t="inlineStr">
        <is>
          <t>Conversion rate; sales cycle time</t>
        </is>
      </c>
      <c r="K31" s="25" t="inlineStr">
        <is>
          <t>Profiling - PDPL transparency and marketing consent.</t>
        </is>
      </c>
      <c r="L31" s="25" t="inlineStr">
        <is>
          <t>Low</t>
        </is>
      </c>
      <c r="M31" t="inlineStr">
        <is>
          <t>XI-27 | Lead scoring &amp; next-best action</t>
        </is>
      </c>
      <c r="N31" t="b">
        <f>OR('1. AI Position'!$C$5="",'1. AI Position'!$C$5="Other",B31="Cross-industry",B31='1. AI Position'!$C$5)</f>
        <v>1</v>
      </c>
      <c r="O31">
        <f>IF(N31,COUNTIF($N$5:N31,TRUE),"")</f>
        <v>27</v>
      </c>
    </row>
    <row r="32" ht="46" customHeight="1">
      <c r="A32" s="23" t="inlineStr">
        <is>
          <t>XI-28</t>
        </is>
      </c>
      <c r="B32" s="24" t="inlineStr">
        <is>
          <t>Cross-industry</t>
        </is>
      </c>
      <c r="C32" s="25" t="inlineStr">
        <is>
          <t>Sales &amp; marketing</t>
        </is>
      </c>
      <c r="D32" s="26" t="inlineStr">
        <is>
          <t>Customer churn prediction</t>
        </is>
      </c>
      <c r="E32" s="25" t="inlineStr">
        <is>
          <t>Customers leave without warning</t>
        </is>
      </c>
      <c r="F32" s="25" t="inlineStr">
        <is>
          <t>Forecast, score, classify or detect anomalies from historical data</t>
        </is>
      </c>
      <c r="G32" s="25" t="inlineStr">
        <is>
          <t>Predictive analytics / machine learning</t>
        </is>
      </c>
      <c r="H32" s="25" t="inlineStr">
        <is>
          <t>Churn model on usage and service history feeding retention campaigns; measure uplift with control groups.</t>
        </is>
      </c>
      <c r="I32" s="25" t="inlineStr">
        <is>
          <t>Customer, transaction and service history with churn outcomes</t>
        </is>
      </c>
      <c r="J32" s="25" t="inlineStr">
        <is>
          <t>Churn rate; retention-campaign uplift</t>
        </is>
      </c>
      <c r="K32" s="25" t="inlineStr">
        <is>
          <t>Consent for marketing use; fairness of offers.</t>
        </is>
      </c>
      <c r="L32" s="25" t="inlineStr">
        <is>
          <t>Medium</t>
        </is>
      </c>
      <c r="M32" t="inlineStr">
        <is>
          <t>XI-28 | Customer churn prediction</t>
        </is>
      </c>
      <c r="N32" t="b">
        <f>OR('1. AI Position'!$C$5="",'1. AI Position'!$C$5="Other",B32="Cross-industry",B32='1. AI Position'!$C$5)</f>
        <v>1</v>
      </c>
      <c r="O32">
        <f>IF(N32,COUNTIF($N$5:N32,TRUE),"")</f>
        <v>28</v>
      </c>
    </row>
    <row r="33" ht="46" customHeight="1">
      <c r="A33" s="23" t="inlineStr">
        <is>
          <t>XI-29</t>
        </is>
      </c>
      <c r="B33" s="24" t="inlineStr">
        <is>
          <t>Cross-industry</t>
        </is>
      </c>
      <c r="C33" s="25" t="inlineStr">
        <is>
          <t>Sales &amp; marketing</t>
        </is>
      </c>
      <c r="D33" s="26" t="inlineStr">
        <is>
          <t>Marketing content &amp; campaigns</t>
        </is>
      </c>
      <c r="E33" s="25" t="inlineStr">
        <is>
          <t>Slow content production</t>
        </is>
      </c>
      <c r="F33" s="25" t="inlineStr">
        <is>
          <t>Draft, summarise, translate or review text</t>
        </is>
      </c>
      <c r="G33" s="25" t="inlineStr">
        <is>
          <t>Generative AI assistant (off-the-shelf)</t>
        </is>
      </c>
      <c r="H33" s="25" t="inlineStr">
        <is>
          <t>GenAI-assisted copy, images and variants within brand guidelines; brand and legal approval.</t>
        </is>
      </c>
      <c r="I33" s="25" t="inlineStr">
        <is>
          <t>Brand guidelines, product information</t>
        </is>
      </c>
      <c r="J33" s="25" t="inlineStr">
        <is>
          <t>Content cycle time; engagement</t>
        </is>
      </c>
      <c r="K33" s="25" t="inlineStr">
        <is>
          <t>Copyright / IP; label synthetic media where required (EU AI Act Art. 50).</t>
        </is>
      </c>
      <c r="L33" s="25" t="inlineStr">
        <is>
          <t>Low</t>
        </is>
      </c>
      <c r="M33" t="inlineStr">
        <is>
          <t>XI-29 | Marketing content &amp; campaigns</t>
        </is>
      </c>
      <c r="N33" t="b">
        <f>OR('1. AI Position'!$C$5="",'1. AI Position'!$C$5="Other",B33="Cross-industry",B33='1. AI Position'!$C$5)</f>
        <v>1</v>
      </c>
      <c r="O33">
        <f>IF(N33,COUNTIF($N$5:N33,TRUE),"")</f>
        <v>29</v>
      </c>
    </row>
    <row r="34" ht="46" customHeight="1">
      <c r="A34" s="23" t="inlineStr">
        <is>
          <t>XI-30</t>
        </is>
      </c>
      <c r="B34" s="24" t="inlineStr">
        <is>
          <t>Cross-industry</t>
        </is>
      </c>
      <c r="C34" s="25" t="inlineStr">
        <is>
          <t>Sales &amp; marketing</t>
        </is>
      </c>
      <c r="D34" s="26" t="inlineStr">
        <is>
          <t>Arabic / English translation</t>
        </is>
      </c>
      <c r="E34" s="25" t="inlineStr">
        <is>
          <t>External translation cost and delays</t>
        </is>
      </c>
      <c r="F34" s="25" t="inlineStr">
        <is>
          <t>Draft, summarise, translate or review text</t>
        </is>
      </c>
      <c r="G34" s="25" t="inlineStr">
        <is>
          <t>Generative AI assistant (off-the-shelf)</t>
        </is>
      </c>
      <c r="H34" s="25" t="inlineStr">
        <is>
          <t>Enterprise machine translation with glossary and human post-editing for external documents.</t>
        </is>
      </c>
      <c r="I34" s="25" t="inlineStr">
        <is>
          <t>Glossaries, translation memories</t>
        </is>
      </c>
      <c r="J34" s="25" t="inlineStr">
        <is>
          <t>Turnaround; cost per word</t>
        </is>
      </c>
      <c r="K34" s="25" t="inlineStr">
        <is>
          <t>Legal / regulatory texts need certified human review.</t>
        </is>
      </c>
      <c r="L34" s="25" t="inlineStr">
        <is>
          <t>Low</t>
        </is>
      </c>
      <c r="M34" t="inlineStr">
        <is>
          <t>XI-30 | Arabic / English translation</t>
        </is>
      </c>
      <c r="N34" t="b">
        <f>OR('1. AI Position'!$C$5="",'1. AI Position'!$C$5="Other",B34="Cross-industry",B34='1. AI Position'!$C$5)</f>
        <v>1</v>
      </c>
      <c r="O34">
        <f>IF(N34,COUNTIF($N$5:N34,TRUE),"")</f>
        <v>30</v>
      </c>
    </row>
    <row r="35" ht="46" customHeight="1">
      <c r="A35" s="23" t="inlineStr">
        <is>
          <t>XI-31</t>
        </is>
      </c>
      <c r="B35" s="24" t="inlineStr">
        <is>
          <t>Cross-industry</t>
        </is>
      </c>
      <c r="C35" s="25" t="inlineStr">
        <is>
          <t>Sales &amp; marketing</t>
        </is>
      </c>
      <c r="D35" s="26" t="inlineStr">
        <is>
          <t>Social listening &amp; review sentiment</t>
        </is>
      </c>
      <c r="E35" s="25" t="inlineStr">
        <is>
          <t>Customer feedback not analysed</t>
        </is>
      </c>
      <c r="F35" s="25" t="inlineStr">
        <is>
          <t>Draft, summarise, translate or review text</t>
        </is>
      </c>
      <c r="G35" s="25" t="inlineStr">
        <is>
          <t>Generative AI assistant (off-the-shelf)</t>
        </is>
      </c>
      <c r="H35" s="25" t="inlineStr">
        <is>
          <t>GenAI sentiment and theme analysis across reviews and social channels with dashboard.</t>
        </is>
      </c>
      <c r="I35" s="25" t="inlineStr">
        <is>
          <t>Public reviews, social feeds, survey text</t>
        </is>
      </c>
      <c r="J35" s="25" t="inlineStr">
        <is>
          <t>Response time to issues; NPS drivers identified</t>
        </is>
      </c>
      <c r="K35" s="25" t="inlineStr">
        <is>
          <t>Use public / consented data only.</t>
        </is>
      </c>
      <c r="L35" s="25" t="inlineStr">
        <is>
          <t>Low</t>
        </is>
      </c>
      <c r="M35" t="inlineStr">
        <is>
          <t>XI-31 | Social listening &amp; review sentiment</t>
        </is>
      </c>
      <c r="N35" t="b">
        <f>OR('1. AI Position'!$C$5="",'1. AI Position'!$C$5="Other",B35="Cross-industry",B35='1. AI Position'!$C$5)</f>
        <v>1</v>
      </c>
      <c r="O35">
        <f>IF(N35,COUNTIF($N$5:N35,TRUE),"")</f>
        <v>31</v>
      </c>
    </row>
    <row r="36" ht="46" customHeight="1">
      <c r="A36" s="23" t="inlineStr">
        <is>
          <t>XI-32</t>
        </is>
      </c>
      <c r="B36" s="24" t="inlineStr">
        <is>
          <t>Cross-industry</t>
        </is>
      </c>
      <c r="C36" s="25" t="inlineStr">
        <is>
          <t>Sales &amp; marketing</t>
        </is>
      </c>
      <c r="D36" s="26" t="inlineStr">
        <is>
          <t>Customer segmentation &amp; personalised offers</t>
        </is>
      </c>
      <c r="E36" s="25" t="inlineStr">
        <is>
          <t>One-size-fits-all campaigns</t>
        </is>
      </c>
      <c r="F36" s="25" t="inlineStr">
        <is>
          <t>Forecast, score, classify or detect anomalies from historical data</t>
        </is>
      </c>
      <c r="G36" s="25" t="inlineStr">
        <is>
          <t>Predictive analytics / machine learning</t>
        </is>
      </c>
      <c r="H36" s="25" t="inlineStr">
        <is>
          <t>ML segmentation and propensity models driving personalised offers, with consent management.</t>
        </is>
      </c>
      <c r="I36" s="25" t="inlineStr">
        <is>
          <t>Transaction and demographic data, campaign responses</t>
        </is>
      </c>
      <c r="J36" s="25" t="inlineStr">
        <is>
          <t>Campaign conversion; revenue per customer</t>
        </is>
      </c>
      <c r="K36" s="25" t="inlineStr">
        <is>
          <t>Profiling - PDPL consent; avoid sensitive attributes; fairness.</t>
        </is>
      </c>
      <c r="L36" s="25" t="inlineStr">
        <is>
          <t>Medium</t>
        </is>
      </c>
      <c r="M36" t="inlineStr">
        <is>
          <t>XI-32 | Customer segmentation &amp; personalised offers</t>
        </is>
      </c>
      <c r="N36" t="b">
        <f>OR('1. AI Position'!$C$5="",'1. AI Position'!$C$5="Other",B36="Cross-industry",B36='1. AI Position'!$C$5)</f>
        <v>1</v>
      </c>
      <c r="O36">
        <f>IF(N36,COUNTIF($N$5:N36,TRUE),"")</f>
        <v>32</v>
      </c>
    </row>
    <row r="37" ht="46" customHeight="1">
      <c r="A37" s="23" t="inlineStr">
        <is>
          <t>XI-33</t>
        </is>
      </c>
      <c r="B37" s="24" t="inlineStr">
        <is>
          <t>Cross-industry</t>
        </is>
      </c>
      <c r="C37" s="25" t="inlineStr">
        <is>
          <t>Procurement &amp; supply chain</t>
        </is>
      </c>
      <c r="D37" s="26" t="inlineStr">
        <is>
          <t>Purchase requisition to order</t>
        </is>
      </c>
      <c r="E37" s="25" t="inlineStr">
        <is>
          <t>Approvals chased by email</t>
        </is>
      </c>
      <c r="F37" s="25" t="inlineStr">
        <is>
          <t>Move or re-key data between systems following fixed rules</t>
        </is>
      </c>
      <c r="G37" s="25" t="inlineStr">
        <is>
          <t>Workflow automation / RPA</t>
        </is>
      </c>
      <c r="H37" s="25" t="inlineStr">
        <is>
          <t>Digital requisition workflow with catalogue buying, approval matrix and automatic PO creation.</t>
        </is>
      </c>
      <c r="I37" s="25" t="inlineStr">
        <is>
          <t>Catalogues, approval matrix, vendor master</t>
        </is>
      </c>
      <c r="J37" s="25" t="inlineStr">
        <is>
          <t>PR-to-PO cycle time; maverick spend</t>
        </is>
      </c>
      <c r="K37" s="25" t="inlineStr">
        <is>
          <t>Delegation-of-authority rules enforced.</t>
        </is>
      </c>
      <c r="L37" s="25" t="inlineStr">
        <is>
          <t>Low</t>
        </is>
      </c>
      <c r="M37" t="inlineStr">
        <is>
          <t>XI-33 | Purchase requisition to order</t>
        </is>
      </c>
      <c r="N37" t="b">
        <f>OR('1. AI Position'!$C$5="",'1. AI Position'!$C$5="Other",B37="Cross-industry",B37='1. AI Position'!$C$5)</f>
        <v>1</v>
      </c>
      <c r="O37">
        <f>IF(N37,COUNTIF($N$5:N37,TRUE),"")</f>
        <v>33</v>
      </c>
    </row>
    <row r="38" ht="46" customHeight="1">
      <c r="A38" s="23" t="inlineStr">
        <is>
          <t>XI-34</t>
        </is>
      </c>
      <c r="B38" s="24" t="inlineStr">
        <is>
          <t>Cross-industry</t>
        </is>
      </c>
      <c r="C38" s="25" t="inlineStr">
        <is>
          <t>Procurement &amp; supply chain</t>
        </is>
      </c>
      <c r="D38" s="26" t="inlineStr">
        <is>
          <t>Supplier onboarding &amp; due diligence</t>
        </is>
      </c>
      <c r="E38" s="25" t="inlineStr">
        <is>
          <t>Collecting documents and checks manually</t>
        </is>
      </c>
      <c r="F38" s="25" t="inlineStr">
        <is>
          <t>Extract information from documents, forms or emails</t>
        </is>
      </c>
      <c r="G38" s="25" t="inlineStr">
        <is>
          <t>Intelligent document processing (IDP)</t>
        </is>
      </c>
      <c r="H38" s="25" t="inlineStr">
        <is>
          <t>Supplier portal with IDP of CR / licences / bank letters, sanctions screening and risk scoring.</t>
        </is>
      </c>
      <c r="I38" s="25" t="inlineStr">
        <is>
          <t>Supplier documents, sanctions lists</t>
        </is>
      </c>
      <c r="J38" s="25" t="inlineStr">
        <is>
          <t>Onboarding time; incomplete files; screening coverage</t>
        </is>
      </c>
      <c r="K38" s="25" t="inlineStr">
        <is>
          <t>Third-party risk policy; sanctions compliance.</t>
        </is>
      </c>
      <c r="L38" s="25" t="inlineStr">
        <is>
          <t>Low</t>
        </is>
      </c>
      <c r="M38" t="inlineStr">
        <is>
          <t>XI-34 | Supplier onboarding &amp; due diligence</t>
        </is>
      </c>
      <c r="N38" t="b">
        <f>OR('1. AI Position'!$C$5="",'1. AI Position'!$C$5="Other",B38="Cross-industry",B38='1. AI Position'!$C$5)</f>
        <v>1</v>
      </c>
      <c r="O38">
        <f>IF(N38,COUNTIF($N$5:N38,TRUE),"")</f>
        <v>34</v>
      </c>
    </row>
    <row r="39" ht="46" customHeight="1">
      <c r="A39" s="23" t="inlineStr">
        <is>
          <t>XI-35</t>
        </is>
      </c>
      <c r="B39" s="24" t="inlineStr">
        <is>
          <t>Cross-industry</t>
        </is>
      </c>
      <c r="C39" s="25" t="inlineStr">
        <is>
          <t>Procurement &amp; supply chain</t>
        </is>
      </c>
      <c r="D39" s="26" t="inlineStr">
        <is>
          <t>Contract review &amp; obligation tracking</t>
        </is>
      </c>
      <c r="E39" s="25" t="inlineStr">
        <is>
          <t>Missed renewals and unfavourable terms</t>
        </is>
      </c>
      <c r="F39" s="25" t="inlineStr">
        <is>
          <t>Draft, summarise, translate or review text</t>
        </is>
      </c>
      <c r="G39" s="25" t="inlineStr">
        <is>
          <t>Generative AI assistant (off-the-shelf)</t>
        </is>
      </c>
      <c r="H39" s="25" t="inlineStr">
        <is>
          <t>GenAI clause extraction against a playbook, obligation and renewal calendar; legal review of deviations.</t>
        </is>
      </c>
      <c r="I39" s="25" t="inlineStr">
        <is>
          <t>Contracts, clause playbook</t>
        </is>
      </c>
      <c r="J39" s="25" t="inlineStr">
        <is>
          <t>Review time; missed renewals; off-playbook terms</t>
        </is>
      </c>
      <c r="K39" s="25" t="inlineStr">
        <is>
          <t>Legal privilege and confidentiality; accuracy review.</t>
        </is>
      </c>
      <c r="L39" s="25" t="inlineStr">
        <is>
          <t>Medium</t>
        </is>
      </c>
      <c r="M39" t="inlineStr">
        <is>
          <t>XI-35 | Contract review &amp; obligation tracking</t>
        </is>
      </c>
      <c r="N39" t="b">
        <f>OR('1. AI Position'!$C$5="",'1. AI Position'!$C$5="Other",B39="Cross-industry",B39='1. AI Position'!$C$5)</f>
        <v>1</v>
      </c>
      <c r="O39">
        <f>IF(N39,COUNTIF($N$5:N39,TRUE),"")</f>
        <v>35</v>
      </c>
    </row>
    <row r="40" ht="46" customHeight="1">
      <c r="A40" s="23" t="inlineStr">
        <is>
          <t>XI-36</t>
        </is>
      </c>
      <c r="B40" s="24" t="inlineStr">
        <is>
          <t>Cross-industry</t>
        </is>
      </c>
      <c r="C40" s="25" t="inlineStr">
        <is>
          <t>Procurement &amp; supply chain</t>
        </is>
      </c>
      <c r="D40" s="26" t="inlineStr">
        <is>
          <t>Spend analytics &amp; classification</t>
        </is>
      </c>
      <c r="E40" s="25" t="inlineStr">
        <is>
          <t>No single view of spend</t>
        </is>
      </c>
      <c r="F40" s="25" t="inlineStr">
        <is>
          <t>Produce reports, dashboards or reconciliations from existing data</t>
        </is>
      </c>
      <c r="G40" s="25" t="inlineStr">
        <is>
          <t>BI, dashboards &amp; reconciliation automation</t>
        </is>
      </c>
      <c r="H40" s="25" t="inlineStr">
        <is>
          <t>Spend cube with automated classification (UNSPSC); ML classification for free-text lines later.</t>
        </is>
      </c>
      <c r="I40" s="25" t="inlineStr">
        <is>
          <t>AP and PO data</t>
        </is>
      </c>
      <c r="J40" s="25" t="inlineStr">
        <is>
          <t>Spend under management; savings identified</t>
        </is>
      </c>
      <c r="K40" s="25" t="inlineStr">
        <is>
          <t>-</t>
        </is>
      </c>
      <c r="L40" s="25" t="inlineStr">
        <is>
          <t>Low</t>
        </is>
      </c>
      <c r="M40" t="inlineStr">
        <is>
          <t>XI-36 | Spend analytics &amp; classification</t>
        </is>
      </c>
      <c r="N40" t="b">
        <f>OR('1. AI Position'!$C$5="",'1. AI Position'!$C$5="Other",B40="Cross-industry",B40='1. AI Position'!$C$5)</f>
        <v>1</v>
      </c>
      <c r="O40">
        <f>IF(N40,COUNTIF($N$5:N40,TRUE),"")</f>
        <v>36</v>
      </c>
    </row>
    <row r="41" ht="46" customHeight="1">
      <c r="A41" s="23" t="inlineStr">
        <is>
          <t>XI-37</t>
        </is>
      </c>
      <c r="B41" s="24" t="inlineStr">
        <is>
          <t>Cross-industry</t>
        </is>
      </c>
      <c r="C41" s="25" t="inlineStr">
        <is>
          <t>Procurement &amp; supply chain</t>
        </is>
      </c>
      <c r="D41" s="26" t="inlineStr">
        <is>
          <t>Demand forecasting &amp; inventory planning</t>
        </is>
      </c>
      <c r="E41" s="25" t="inlineStr">
        <is>
          <t>Stock-outs and excess stock</t>
        </is>
      </c>
      <c r="F41" s="25" t="inlineStr">
        <is>
          <t>Forecast, score, classify or detect anomalies from historical data</t>
        </is>
      </c>
      <c r="G41" s="25" t="inlineStr">
        <is>
          <t>Predictive analytics / machine learning</t>
        </is>
      </c>
      <c r="H41" s="25" t="inlineStr">
        <is>
          <t>ML demand forecasting with promotions / seasonality and automated replenishment proposals.</t>
        </is>
      </c>
      <c r="I41" s="25" t="inlineStr">
        <is>
          <t>2+ years of sales, inventory and promotion data</t>
        </is>
      </c>
      <c r="J41" s="25" t="inlineStr">
        <is>
          <t>Forecast accuracy; stock-outs; inventory days</t>
        </is>
      </c>
      <c r="K41" s="25" t="inlineStr">
        <is>
          <t>-</t>
        </is>
      </c>
      <c r="L41" s="25" t="inlineStr">
        <is>
          <t>Low</t>
        </is>
      </c>
      <c r="M41" t="inlineStr">
        <is>
          <t>XI-37 | Demand forecasting &amp; inventory planning</t>
        </is>
      </c>
      <c r="N41" t="b">
        <f>OR('1. AI Position'!$C$5="",'1. AI Position'!$C$5="Other",B41="Cross-industry",B41='1. AI Position'!$C$5)</f>
        <v>1</v>
      </c>
      <c r="O41">
        <f>IF(N41,COUNTIF($N$5:N41,TRUE),"")</f>
        <v>37</v>
      </c>
    </row>
    <row r="42" ht="46" customHeight="1">
      <c r="A42" s="23" t="inlineStr">
        <is>
          <t>XI-38</t>
        </is>
      </c>
      <c r="B42" s="24" t="inlineStr">
        <is>
          <t>Cross-industry</t>
        </is>
      </c>
      <c r="C42" s="25" t="inlineStr">
        <is>
          <t>Procurement &amp; supply chain</t>
        </is>
      </c>
      <c r="D42" s="26" t="inlineStr">
        <is>
          <t>Tender evaluation support</t>
        </is>
      </c>
      <c r="E42" s="25" t="inlineStr">
        <is>
          <t>Evaluating long bids is slow</t>
        </is>
      </c>
      <c r="F42" s="25" t="inlineStr">
        <is>
          <t>Draft, summarise, translate or review text</t>
        </is>
      </c>
      <c r="G42" s="25" t="inlineStr">
        <is>
          <t>Generative AI assistant (off-the-shelf)</t>
        </is>
      </c>
      <c r="H42" s="25" t="inlineStr">
        <is>
          <t>GenAI summarises bids against criteria and flags gaps; evaluation committee scores and decides.</t>
        </is>
      </c>
      <c r="I42" s="25" t="inlineStr">
        <is>
          <t>Tender documents, bids, evaluation criteria</t>
        </is>
      </c>
      <c r="J42" s="25" t="inlineStr">
        <is>
          <t>Evaluation time; consistency</t>
        </is>
      </c>
      <c r="K42" s="25" t="inlineStr">
        <is>
          <t>Fairness and procurement law - human decision; bidder confidentiality.</t>
        </is>
      </c>
      <c r="L42" s="25" t="inlineStr">
        <is>
          <t>Medium</t>
        </is>
      </c>
      <c r="M42" t="inlineStr">
        <is>
          <t>XI-38 | Tender evaluation support</t>
        </is>
      </c>
      <c r="N42" t="b">
        <f>OR('1. AI Position'!$C$5="",'1. AI Position'!$C$5="Other",B42="Cross-industry",B42='1. AI Position'!$C$5)</f>
        <v>1</v>
      </c>
      <c r="O42">
        <f>IF(N42,COUNTIF($N$5:N42,TRUE),"")</f>
        <v>38</v>
      </c>
    </row>
    <row r="43" ht="46" customHeight="1">
      <c r="A43" s="23" t="inlineStr">
        <is>
          <t>XI-39</t>
        </is>
      </c>
      <c r="B43" s="24" t="inlineStr">
        <is>
          <t>Cross-industry</t>
        </is>
      </c>
      <c r="C43" s="25" t="inlineStr">
        <is>
          <t>Risk, compliance &amp; legal</t>
        </is>
      </c>
      <c r="D43" s="26" t="inlineStr">
        <is>
          <t>Regulatory change monitoring</t>
        </is>
      </c>
      <c r="E43" s="25" t="inlineStr">
        <is>
          <t>Tracking new rules manually</t>
        </is>
      </c>
      <c r="F43" s="25" t="inlineStr">
        <is>
          <t>Answer questions from internal knowledge, policies or past work</t>
        </is>
      </c>
      <c r="G43" s="25" t="inlineStr">
        <is>
          <t>GenAI knowledge assistant (RAG on own content)</t>
        </is>
      </c>
      <c r="H43" s="25" t="inlineStr">
        <is>
          <t>Knowledge assistant monitoring regulator publications (e.g., CBB, NBR, PDPL guidance) and summarising impacts for compliance review.</t>
        </is>
      </c>
      <c r="I43" s="25" t="inlineStr">
        <is>
          <t>Regulator websites / rulebooks, obligations register</t>
        </is>
      </c>
      <c r="J43" s="25" t="inlineStr">
        <is>
          <t>Time to impact assessment; missed changes</t>
        </is>
      </c>
      <c r="K43" s="25" t="inlineStr">
        <is>
          <t>Summaries verified by Compliance against source text.</t>
        </is>
      </c>
      <c r="L43" s="25" t="inlineStr">
        <is>
          <t>Low</t>
        </is>
      </c>
      <c r="M43" t="inlineStr">
        <is>
          <t>XI-39 | Regulatory change monitoring</t>
        </is>
      </c>
      <c r="N43" t="b">
        <f>OR('1. AI Position'!$C$5="",'1. AI Position'!$C$5="Other",B43="Cross-industry",B43='1. AI Position'!$C$5)</f>
        <v>1</v>
      </c>
      <c r="O43">
        <f>IF(N43,COUNTIF($N$5:N43,TRUE),"")</f>
        <v>39</v>
      </c>
    </row>
    <row r="44" ht="46" customHeight="1">
      <c r="A44" s="23" t="inlineStr">
        <is>
          <t>XI-40</t>
        </is>
      </c>
      <c r="B44" s="24" t="inlineStr">
        <is>
          <t>Cross-industry</t>
        </is>
      </c>
      <c r="C44" s="25" t="inlineStr">
        <is>
          <t>Risk, compliance &amp; legal</t>
        </is>
      </c>
      <c r="D44" s="26" t="inlineStr">
        <is>
          <t>Policy &amp; procedure Q&amp;A</t>
        </is>
      </c>
      <c r="E44" s="25" t="inlineStr">
        <is>
          <t>Staff unsure where rules are</t>
        </is>
      </c>
      <c r="F44" s="25" t="inlineStr">
        <is>
          <t>Answer questions from internal knowledge, policies or past work</t>
        </is>
      </c>
      <c r="G44" s="25" t="inlineStr">
        <is>
          <t>GenAI knowledge assistant (RAG on own content)</t>
        </is>
      </c>
      <c r="H44" s="25" t="inlineStr">
        <is>
          <t>Grounded assistant over approved policies with citations and access control.</t>
        </is>
      </c>
      <c r="I44" s="25" t="inlineStr">
        <is>
          <t>Current policies and procedures</t>
        </is>
      </c>
      <c r="J44" s="25" t="inlineStr">
        <is>
          <t>Queries answered; policy breaches</t>
        </is>
      </c>
      <c r="K44" s="25" t="inlineStr">
        <is>
          <t>Content ownership and versioning; hallucination testing.</t>
        </is>
      </c>
      <c r="L44" s="25" t="inlineStr">
        <is>
          <t>Low</t>
        </is>
      </c>
      <c r="M44" t="inlineStr">
        <is>
          <t>XI-40 | Policy &amp; procedure Q&amp;A</t>
        </is>
      </c>
      <c r="N44" t="b">
        <f>OR('1. AI Position'!$C$5="",'1. AI Position'!$C$5="Other",B44="Cross-industry",B44='1. AI Position'!$C$5)</f>
        <v>1</v>
      </c>
      <c r="O44">
        <f>IF(N44,COUNTIF($N$5:N44,TRUE),"")</f>
        <v>40</v>
      </c>
    </row>
    <row r="45" ht="46" customHeight="1">
      <c r="A45" s="23" t="inlineStr">
        <is>
          <t>XI-41</t>
        </is>
      </c>
      <c r="B45" s="24" t="inlineStr">
        <is>
          <t>Cross-industry</t>
        </is>
      </c>
      <c r="C45" s="25" t="inlineStr">
        <is>
          <t>Risk, compliance &amp; legal</t>
        </is>
      </c>
      <c r="D45" s="26" t="inlineStr">
        <is>
          <t>Internal-audit analytics (full-population testing)</t>
        </is>
      </c>
      <c r="E45" s="25" t="inlineStr">
        <is>
          <t>Sample-based testing of large populations</t>
        </is>
      </c>
      <c r="F45" s="25" t="inlineStr">
        <is>
          <t>Forecast, score, classify or detect anomalies from historical data</t>
        </is>
      </c>
      <c r="G45" s="25" t="inlineStr">
        <is>
          <t>Predictive analytics / machine learning</t>
        </is>
      </c>
      <c r="H45" s="25" t="inlineStr">
        <is>
          <t>Rules-based full-population tests plus ML anomaly detection to target audit work.</t>
        </is>
      </c>
      <c r="I45" s="25" t="inlineStr">
        <is>
          <t>ERP transaction data, master data</t>
        </is>
      </c>
      <c r="J45" s="25" t="inlineStr">
        <is>
          <t>Coverage %; exceptions found; audit hours</t>
        </is>
      </c>
      <c r="K45" s="25" t="inlineStr">
        <is>
          <t>Auditor judgement retained; analytics documented in working papers.</t>
        </is>
      </c>
      <c r="L45" s="25" t="inlineStr">
        <is>
          <t>Medium</t>
        </is>
      </c>
      <c r="M45" t="inlineStr">
        <is>
          <t>XI-41 | Internal-audit analytics (full-population testing)</t>
        </is>
      </c>
      <c r="N45" t="b">
        <f>OR('1. AI Position'!$C$5="",'1. AI Position'!$C$5="Other",B45="Cross-industry",B45='1. AI Position'!$C$5)</f>
        <v>1</v>
      </c>
      <c r="O45">
        <f>IF(N45,COUNTIF($N$5:N45,TRUE),"")</f>
        <v>41</v>
      </c>
    </row>
    <row r="46" ht="46" customHeight="1">
      <c r="A46" s="23" t="inlineStr">
        <is>
          <t>XI-42</t>
        </is>
      </c>
      <c r="B46" s="24" t="inlineStr">
        <is>
          <t>Cross-industry</t>
        </is>
      </c>
      <c r="C46" s="25" t="inlineStr">
        <is>
          <t>Risk, compliance &amp; legal</t>
        </is>
      </c>
      <c r="D46" s="26" t="inlineStr">
        <is>
          <t>Third-party risk questionnaires &amp; SOC reports</t>
        </is>
      </c>
      <c r="E46" s="25" t="inlineStr">
        <is>
          <t>Vendor assessments take weeks</t>
        </is>
      </c>
      <c r="F46" s="25" t="inlineStr">
        <is>
          <t>Draft, summarise, translate or review text</t>
        </is>
      </c>
      <c r="G46" s="25" t="inlineStr">
        <is>
          <t>Generative AI assistant (off-the-shelf)</t>
        </is>
      </c>
      <c r="H46" s="25" t="inlineStr">
        <is>
          <t>GenAI pre-reviews vendor questionnaires and assurance reports against control requirements; analyst concludes.</t>
        </is>
      </c>
      <c r="I46" s="25" t="inlineStr">
        <is>
          <t>Questionnaires, SOC 2 / ISO certificates</t>
        </is>
      </c>
      <c r="J46" s="25" t="inlineStr">
        <is>
          <t>Assessment time; backlog</t>
        </is>
      </c>
      <c r="K46" s="25" t="inlineStr">
        <is>
          <t>Analyst accountable for rating; vendor-data confidentiality.</t>
        </is>
      </c>
      <c r="L46" s="25" t="inlineStr">
        <is>
          <t>Low</t>
        </is>
      </c>
      <c r="M46" t="inlineStr">
        <is>
          <t>XI-42 | Third-party risk questionnaires &amp; SOC reports</t>
        </is>
      </c>
      <c r="N46" t="b">
        <f>OR('1. AI Position'!$C$5="",'1. AI Position'!$C$5="Other",B46="Cross-industry",B46='1. AI Position'!$C$5)</f>
        <v>1</v>
      </c>
      <c r="O46">
        <f>IF(N46,COUNTIF($N$5:N46,TRUE),"")</f>
        <v>42</v>
      </c>
    </row>
    <row r="47" ht="46" customHeight="1">
      <c r="A47" s="23" t="inlineStr">
        <is>
          <t>XI-43</t>
        </is>
      </c>
      <c r="B47" s="24" t="inlineStr">
        <is>
          <t>Cross-industry</t>
        </is>
      </c>
      <c r="C47" s="25" t="inlineStr">
        <is>
          <t>Risk, compliance &amp; legal</t>
        </is>
      </c>
      <c r="D47" s="26" t="inlineStr">
        <is>
          <t>Business continuity plans &amp; BIA</t>
        </is>
      </c>
      <c r="E47" s="25" t="inlineStr">
        <is>
          <t>Plans generic and outdated</t>
        </is>
      </c>
      <c r="F47" s="25" t="inlineStr">
        <is>
          <t>Draft, summarise, translate or review text</t>
        </is>
      </c>
      <c r="G47" s="25" t="inlineStr">
        <is>
          <t>Generative AI assistant (off-the-shelf)</t>
        </is>
      </c>
      <c r="H47" s="25" t="inlineStr">
        <is>
          <t>AI-assisted BIA, ISO 22301-aligned plan drafting and scenario exercises; owners validate (GT AI-powered BCP tool - in preparation).</t>
        </is>
      </c>
      <c r="I47" s="25" t="inlineStr">
        <is>
          <t>Process inventory, dependencies, RTO / RPO</t>
        </is>
      </c>
      <c r="J47" s="25" t="inlineStr">
        <is>
          <t>Plan currency; exercise frequency; recovery-time gaps</t>
        </is>
      </c>
      <c r="K47" s="25" t="inlineStr">
        <is>
          <t>Sector BCM rules (e.g., CBB); human validation of plan content.</t>
        </is>
      </c>
      <c r="L47" s="25" t="inlineStr">
        <is>
          <t>Medium</t>
        </is>
      </c>
      <c r="M47" t="inlineStr">
        <is>
          <t>XI-43 | Business continuity plans &amp; BIA</t>
        </is>
      </c>
      <c r="N47" t="b">
        <f>OR('1. AI Position'!$C$5="",'1. AI Position'!$C$5="Other",B47="Cross-industry",B47='1. AI Position'!$C$5)</f>
        <v>1</v>
      </c>
      <c r="O47">
        <f>IF(N47,COUNTIF($N$5:N47,TRUE),"")</f>
        <v>43</v>
      </c>
    </row>
    <row r="48" ht="46" customHeight="1">
      <c r="A48" s="23" t="inlineStr">
        <is>
          <t>XI-44</t>
        </is>
      </c>
      <c r="B48" s="24" t="inlineStr">
        <is>
          <t>Cross-industry</t>
        </is>
      </c>
      <c r="C48" s="25" t="inlineStr">
        <is>
          <t>Risk, compliance &amp; legal</t>
        </is>
      </c>
      <c r="D48" s="26" t="inlineStr">
        <is>
          <t>Legal research &amp; precedent search</t>
        </is>
      </c>
      <c r="E48" s="25" t="inlineStr">
        <is>
          <t>Lawyers search manually across sources</t>
        </is>
      </c>
      <c r="F48" s="25" t="inlineStr">
        <is>
          <t>Answer questions from internal knowledge, policies or past work</t>
        </is>
      </c>
      <c r="G48" s="25" t="inlineStr">
        <is>
          <t>GenAI knowledge assistant (RAG on own content)</t>
        </is>
      </c>
      <c r="H48" s="25" t="inlineStr">
        <is>
          <t>Legal research assistant over licensed legal databases and internal precedents with citations.</t>
        </is>
      </c>
      <c r="I48" s="25" t="inlineStr">
        <is>
          <t>Licensed legal content, precedents</t>
        </is>
      </c>
      <c r="J48" s="25" t="inlineStr">
        <is>
          <t>Research time; citation accuracy</t>
        </is>
      </c>
      <c r="K48" s="25" t="inlineStr">
        <is>
          <t>Verify citations; legal privilege.</t>
        </is>
      </c>
      <c r="L48" s="25" t="inlineStr">
        <is>
          <t>Medium</t>
        </is>
      </c>
      <c r="M48" t="inlineStr">
        <is>
          <t>XI-44 | Legal research &amp; precedent search</t>
        </is>
      </c>
      <c r="N48" t="b">
        <f>OR('1. AI Position'!$C$5="",'1. AI Position'!$C$5="Other",B48="Cross-industry",B48='1. AI Position'!$C$5)</f>
        <v>1</v>
      </c>
      <c r="O48">
        <f>IF(N48,COUNTIF($N$5:N48,TRUE),"")</f>
        <v>44</v>
      </c>
    </row>
    <row r="49" ht="46" customHeight="1">
      <c r="A49" s="23" t="inlineStr">
        <is>
          <t>XI-45</t>
        </is>
      </c>
      <c r="B49" s="24" t="inlineStr">
        <is>
          <t>Cross-industry</t>
        </is>
      </c>
      <c r="C49" s="25" t="inlineStr">
        <is>
          <t>Risk, compliance &amp; legal</t>
        </is>
      </c>
      <c r="D49" s="26" t="inlineStr">
        <is>
          <t>Board papers &amp; minutes</t>
        </is>
      </c>
      <c r="E49" s="25" t="inlineStr">
        <is>
          <t>Minutes slow; papers inconsistent</t>
        </is>
      </c>
      <c r="F49" s="25" t="inlineStr">
        <is>
          <t>Draft, summarise, translate or review text</t>
        </is>
      </c>
      <c r="G49" s="25" t="inlineStr">
        <is>
          <t>Generative AI assistant (off-the-shelf)</t>
        </is>
      </c>
      <c r="H49" s="25" t="inlineStr">
        <is>
          <t>GenAI drafts minutes and paper summaries within an approved, access-controlled environment; company secretary approves.</t>
        </is>
      </c>
      <c r="I49" s="25" t="inlineStr">
        <is>
          <t>Agendas, papers, transcripts</t>
        </is>
      </c>
      <c r="J49" s="25" t="inlineStr">
        <is>
          <t>Minutes turnaround; action tracking</t>
        </is>
      </c>
      <c r="K49" s="25" t="inlineStr">
        <is>
          <t>Highly confidential - enterprise tool only; records retention.</t>
        </is>
      </c>
      <c r="L49" s="25" t="inlineStr">
        <is>
          <t>Medium</t>
        </is>
      </c>
      <c r="M49" t="inlineStr">
        <is>
          <t>XI-45 | Board papers &amp; minutes</t>
        </is>
      </c>
      <c r="N49" t="b">
        <f>OR('1. AI Position'!$C$5="",'1. AI Position'!$C$5="Other",B49="Cross-industry",B49='1. AI Position'!$C$5)</f>
        <v>1</v>
      </c>
      <c r="O49">
        <f>IF(N49,COUNTIF($N$5:N49,TRUE),"")</f>
        <v>45</v>
      </c>
    </row>
    <row r="50" ht="46" customHeight="1">
      <c r="A50" s="23" t="inlineStr">
        <is>
          <t>XI-46</t>
        </is>
      </c>
      <c r="B50" s="24" t="inlineStr">
        <is>
          <t>Cross-industry</t>
        </is>
      </c>
      <c r="C50" s="25" t="inlineStr">
        <is>
          <t>Risk, compliance &amp; legal</t>
        </is>
      </c>
      <c r="D50" s="26" t="inlineStr">
        <is>
          <t>Data-subject requests (PDPL)</t>
        </is>
      </c>
      <c r="E50" s="25" t="inlineStr">
        <is>
          <t>Requests handled ad hoc</t>
        </is>
      </c>
      <c r="F50" s="25" t="inlineStr">
        <is>
          <t>Move or re-key data between systems following fixed rules</t>
        </is>
      </c>
      <c r="G50" s="25" t="inlineStr">
        <is>
          <t>Workflow automation / RPA</t>
        </is>
      </c>
      <c r="H50" s="25" t="inlineStr">
        <is>
          <t>DSR workflow with identity verification, data discovery search and deadline tracking.</t>
        </is>
      </c>
      <c r="I50" s="25" t="inlineStr">
        <is>
          <t>Systems inventory, request records</t>
        </is>
      </c>
      <c r="J50" s="25" t="inlineStr">
        <is>
          <t>Requests closed on time</t>
        </is>
      </c>
      <c r="K50" s="25" t="inlineStr">
        <is>
          <t>PDPL data-subject rights.</t>
        </is>
      </c>
      <c r="L50" s="25" t="inlineStr">
        <is>
          <t>Low</t>
        </is>
      </c>
      <c r="M50" t="inlineStr">
        <is>
          <t>XI-46 | Data-subject requests (PDPL)</t>
        </is>
      </c>
      <c r="N50" t="b">
        <f>OR('1. AI Position'!$C$5="",'1. AI Position'!$C$5="Other",B50="Cross-industry",B50='1. AI Position'!$C$5)</f>
        <v>1</v>
      </c>
      <c r="O50">
        <f>IF(N50,COUNTIF($N$5:N50,TRUE),"")</f>
        <v>46</v>
      </c>
    </row>
    <row r="51" ht="46" customHeight="1">
      <c r="A51" s="23" t="inlineStr">
        <is>
          <t>XI-47</t>
        </is>
      </c>
      <c r="B51" s="24" t="inlineStr">
        <is>
          <t>Cross-industry</t>
        </is>
      </c>
      <c r="C51" s="25" t="inlineStr">
        <is>
          <t>IT &amp; cybersecurity</t>
        </is>
      </c>
      <c r="D51" s="26" t="inlineStr">
        <is>
          <t>IT service desk</t>
        </is>
      </c>
      <c r="E51" s="25" t="inlineStr">
        <is>
          <t>Repetitive password and access requests</t>
        </is>
      </c>
      <c r="F51" s="25" t="inlineStr">
        <is>
          <t>Converse with customers, citizens or staff (chat, voice, WhatsApp)</t>
        </is>
      </c>
      <c r="G51" s="25" t="inlineStr">
        <is>
          <t>Conversational AI / virtual agent</t>
        </is>
      </c>
      <c r="H51" s="25" t="inlineStr">
        <is>
          <t>Virtual agent with automated password resets and access requests via ITSM integration.</t>
        </is>
      </c>
      <c r="I51" s="25" t="inlineStr">
        <is>
          <t>ITSM tickets, knowledge base</t>
        </is>
      </c>
      <c r="J51" s="25" t="inlineStr">
        <is>
          <t>Tickets deflected; MTTR; first-contact resolution</t>
        </is>
      </c>
      <c r="K51" s="25" t="inlineStr">
        <is>
          <t>Strong identity verification for resets.</t>
        </is>
      </c>
      <c r="L51" s="25" t="inlineStr">
        <is>
          <t>Low</t>
        </is>
      </c>
      <c r="M51" t="inlineStr">
        <is>
          <t>XI-47 | IT service desk</t>
        </is>
      </c>
      <c r="N51" t="b">
        <f>OR('1. AI Position'!$C$5="",'1. AI Position'!$C$5="Other",B51="Cross-industry",B51='1. AI Position'!$C$5)</f>
        <v>1</v>
      </c>
      <c r="O51">
        <f>IF(N51,COUNTIF($N$5:N51,TRUE),"")</f>
        <v>47</v>
      </c>
    </row>
    <row r="52" ht="46" customHeight="1">
      <c r="A52" s="23" t="inlineStr">
        <is>
          <t>XI-48</t>
        </is>
      </c>
      <c r="B52" s="24" t="inlineStr">
        <is>
          <t>Cross-industry</t>
        </is>
      </c>
      <c r="C52" s="25" t="inlineStr">
        <is>
          <t>IT &amp; cybersecurity</t>
        </is>
      </c>
      <c r="D52" s="26" t="inlineStr">
        <is>
          <t>User access reviews</t>
        </is>
      </c>
      <c r="E52" s="25" t="inlineStr">
        <is>
          <t>Manual reconciliation of access lists</t>
        </is>
      </c>
      <c r="F52" s="25" t="inlineStr">
        <is>
          <t>Check or approve items against fixed criteria (rules, thresholds, checklists)</t>
        </is>
      </c>
      <c r="G52" s="25" t="inlineStr">
        <is>
          <t>Rules engine / workflow automation</t>
        </is>
      </c>
      <c r="H52" s="25" t="inlineStr">
        <is>
          <t>Automated access-review campaigns with role rules and SoD conflict detection.</t>
        </is>
      </c>
      <c r="I52" s="25" t="inlineStr">
        <is>
          <t>IAM / AD exports, role matrix</t>
        </is>
      </c>
      <c r="J52" s="25" t="inlineStr">
        <is>
          <t>Review completion; orphan accounts; SoD conflicts</t>
        </is>
      </c>
      <c r="K52" s="25" t="inlineStr">
        <is>
          <t>ISO/IEC 27001 A.5.15-5.18.</t>
        </is>
      </c>
      <c r="L52" s="25" t="inlineStr">
        <is>
          <t>Low</t>
        </is>
      </c>
      <c r="M52" t="inlineStr">
        <is>
          <t>XI-48 | User access reviews</t>
        </is>
      </c>
      <c r="N52" t="b">
        <f>OR('1. AI Position'!$C$5="",'1. AI Position'!$C$5="Other",B52="Cross-industry",B52='1. AI Position'!$C$5)</f>
        <v>1</v>
      </c>
      <c r="O52">
        <f>IF(N52,COUNTIF($N$5:N52,TRUE),"")</f>
        <v>48</v>
      </c>
    </row>
    <row r="53" ht="46" customHeight="1">
      <c r="A53" s="23" t="inlineStr">
        <is>
          <t>XI-49</t>
        </is>
      </c>
      <c r="B53" s="24" t="inlineStr">
        <is>
          <t>Cross-industry</t>
        </is>
      </c>
      <c r="C53" s="25" t="inlineStr">
        <is>
          <t>IT &amp; cybersecurity</t>
        </is>
      </c>
      <c r="D53" s="26" t="inlineStr">
        <is>
          <t>Security alert triage (SOC)</t>
        </is>
      </c>
      <c r="E53" s="25" t="inlineStr">
        <is>
          <t>Alert fatigue; slow investigations</t>
        </is>
      </c>
      <c r="F53" s="25" t="inlineStr">
        <is>
          <t>Coordinate multi-step work across systems that needs judgement</t>
        </is>
      </c>
      <c r="G53" s="25" t="inlineStr">
        <is>
          <t>Agentic AI (supervised agents)</t>
        </is>
      </c>
      <c r="H53" s="25" t="inlineStr">
        <is>
          <t>Security copilot for alert enrichment and triage; automated containment only for pre-approved playbooks with human approval for high-impact actions.</t>
        </is>
      </c>
      <c r="I53" s="25" t="inlineStr">
        <is>
          <t>SIEM / EDR alerts, threat intelligence</t>
        </is>
      </c>
      <c r="J53" s="25" t="inlineStr">
        <is>
          <t>MTTD / MTTR; analyst alerts per day; false positives</t>
        </is>
      </c>
      <c r="K53" s="25" t="inlineStr">
        <is>
          <t>Least agency and privilege, logging and kill-switch (ISACA Securing AI Agents 2026).</t>
        </is>
      </c>
      <c r="L53" s="25" t="inlineStr">
        <is>
          <t>Medium</t>
        </is>
      </c>
      <c r="M53" t="inlineStr">
        <is>
          <t>XI-49 | Security alert triage (SOC)</t>
        </is>
      </c>
      <c r="N53" t="b">
        <f>OR('1. AI Position'!$C$5="",'1. AI Position'!$C$5="Other",B53="Cross-industry",B53='1. AI Position'!$C$5)</f>
        <v>1</v>
      </c>
      <c r="O53">
        <f>IF(N53,COUNTIF($N$5:N53,TRUE),"")</f>
        <v>49</v>
      </c>
    </row>
    <row r="54" ht="46" customHeight="1">
      <c r="A54" s="23" t="inlineStr">
        <is>
          <t>XI-50</t>
        </is>
      </c>
      <c r="B54" s="24" t="inlineStr">
        <is>
          <t>Cross-industry</t>
        </is>
      </c>
      <c r="C54" s="25" t="inlineStr">
        <is>
          <t>IT &amp; cybersecurity</t>
        </is>
      </c>
      <c r="D54" s="26" t="inlineStr">
        <is>
          <t>Code assistance &amp; documentation</t>
        </is>
      </c>
      <c r="E54" s="25" t="inlineStr">
        <is>
          <t>Slow development; little documentation</t>
        </is>
      </c>
      <c r="F54" s="25" t="inlineStr">
        <is>
          <t>Draft, summarise, translate or review text</t>
        </is>
      </c>
      <c r="G54" s="25" t="inlineStr">
        <is>
          <t>Generative AI assistant (off-the-shelf)</t>
        </is>
      </c>
      <c r="H54" s="25" t="inlineStr">
        <is>
          <t>AI coding assistant within a secure SDLC: code review, secret scanning and licence checks on AI-generated code.</t>
        </is>
      </c>
      <c r="I54" s="25" t="inlineStr">
        <is>
          <t>Code repositories, standards</t>
        </is>
      </c>
      <c r="J54" s="25" t="inlineStr">
        <is>
          <t>Cycle time; defects; documentation coverage</t>
        </is>
      </c>
      <c r="K54" s="25" t="inlineStr">
        <is>
          <t>No secrets in prompts; IP / licence risk; OWASP LLM risks.</t>
        </is>
      </c>
      <c r="L54" s="25" t="inlineStr">
        <is>
          <t>Low</t>
        </is>
      </c>
      <c r="M54" t="inlineStr">
        <is>
          <t>XI-50 | Code assistance &amp; documentation</t>
        </is>
      </c>
      <c r="N54" t="b">
        <f>OR('1. AI Position'!$C$5="",'1. AI Position'!$C$5="Other",B54="Cross-industry",B54='1. AI Position'!$C$5)</f>
        <v>1</v>
      </c>
      <c r="O54">
        <f>IF(N54,COUNTIF($N$5:N54,TRUE),"")</f>
        <v>50</v>
      </c>
    </row>
    <row r="55" ht="46" customHeight="1">
      <c r="A55" s="23" t="inlineStr">
        <is>
          <t>XI-51</t>
        </is>
      </c>
      <c r="B55" s="24" t="inlineStr">
        <is>
          <t>Cross-industry</t>
        </is>
      </c>
      <c r="C55" s="25" t="inlineStr">
        <is>
          <t>IT &amp; cybersecurity</t>
        </is>
      </c>
      <c r="D55" s="26" t="inlineStr">
        <is>
          <t>Vulnerability prioritisation</t>
        </is>
      </c>
      <c r="E55" s="25" t="inlineStr">
        <is>
          <t>Too many vulnerabilities to patch</t>
        </is>
      </c>
      <c r="F55" s="25" t="inlineStr">
        <is>
          <t>Forecast, score, classify or detect anomalies from historical data</t>
        </is>
      </c>
      <c r="G55" s="25" t="inlineStr">
        <is>
          <t>Predictive analytics / machine learning</t>
        </is>
      </c>
      <c r="H55" s="25" t="inlineStr">
        <is>
          <t>Risk-based prioritisation combining exploitability (e.g., EPSS), asset criticality and exposure.</t>
        </is>
      </c>
      <c r="I55" s="25" t="inlineStr">
        <is>
          <t>Vulnerability scans, asset inventory</t>
        </is>
      </c>
      <c r="J55" s="25" t="inlineStr">
        <is>
          <t>Mean time to remediate critical; risk reduction</t>
        </is>
      </c>
      <c r="K55" s="25" t="inlineStr">
        <is>
          <t>-</t>
        </is>
      </c>
      <c r="L55" s="25" t="inlineStr">
        <is>
          <t>Low</t>
        </is>
      </c>
      <c r="M55" t="inlineStr">
        <is>
          <t>XI-51 | Vulnerability prioritisation</t>
        </is>
      </c>
      <c r="N55" t="b">
        <f>OR('1. AI Position'!$C$5="",'1. AI Position'!$C$5="Other",B55="Cross-industry",B55='1. AI Position'!$C$5)</f>
        <v>1</v>
      </c>
      <c r="O55">
        <f>IF(N55,COUNTIF($N$5:N55,TRUE),"")</f>
        <v>51</v>
      </c>
    </row>
    <row r="56" ht="46" customHeight="1">
      <c r="A56" s="23" t="inlineStr">
        <is>
          <t>XI-52</t>
        </is>
      </c>
      <c r="B56" s="24" t="inlineStr">
        <is>
          <t>Cross-industry</t>
        </is>
      </c>
      <c r="C56" s="25" t="inlineStr">
        <is>
          <t>IT &amp; cybersecurity</t>
        </is>
      </c>
      <c r="D56" s="26" t="inlineStr">
        <is>
          <t>IT asset &amp; licence management</t>
        </is>
      </c>
      <c r="E56" s="25" t="inlineStr">
        <is>
          <t>Licences over-bought; assets untracked</t>
        </is>
      </c>
      <c r="F56" s="25" t="inlineStr">
        <is>
          <t>Move or re-key data between systems following fixed rules</t>
        </is>
      </c>
      <c r="G56" s="25" t="inlineStr">
        <is>
          <t>Workflow automation / RPA</t>
        </is>
      </c>
      <c r="H56" s="25" t="inlineStr">
        <is>
          <t>Automated discovery and licence reconciliation with renewal alerts.</t>
        </is>
      </c>
      <c r="I56" s="25" t="inlineStr">
        <is>
          <t>Discovery data, contracts</t>
        </is>
      </c>
      <c r="J56" s="25" t="inlineStr">
        <is>
          <t>Licence savings; asset accuracy</t>
        </is>
      </c>
      <c r="K56" s="25" t="inlineStr">
        <is>
          <t>-</t>
        </is>
      </c>
      <c r="L56" s="25" t="inlineStr">
        <is>
          <t>Low</t>
        </is>
      </c>
      <c r="M56" t="inlineStr">
        <is>
          <t>XI-52 | IT asset &amp; licence management</t>
        </is>
      </c>
      <c r="N56" t="b">
        <f>OR('1. AI Position'!$C$5="",'1. AI Position'!$C$5="Other",B56="Cross-industry",B56='1. AI Position'!$C$5)</f>
        <v>1</v>
      </c>
      <c r="O56">
        <f>IF(N56,COUNTIF($N$5:N56,TRUE),"")</f>
        <v>52</v>
      </c>
    </row>
    <row r="57" ht="46" customHeight="1">
      <c r="A57" s="23" t="inlineStr">
        <is>
          <t>XI-53</t>
        </is>
      </c>
      <c r="B57" s="24" t="inlineStr">
        <is>
          <t>Cross-industry</t>
        </is>
      </c>
      <c r="C57" s="25" t="inlineStr">
        <is>
          <t>Strategy, management &amp; reporting</t>
        </is>
      </c>
      <c r="D57" s="26" t="inlineStr">
        <is>
          <t>KPI dashboards</t>
        </is>
      </c>
      <c r="E57" s="25" t="inlineStr">
        <is>
          <t>No single view of performance</t>
        </is>
      </c>
      <c r="F57" s="25" t="inlineStr">
        <is>
          <t>Produce reports, dashboards or reconciliations from existing data</t>
        </is>
      </c>
      <c r="G57" s="25" t="inlineStr">
        <is>
          <t>BI, dashboards &amp; reconciliation automation</t>
        </is>
      </c>
      <c r="H57" s="25" t="inlineStr">
        <is>
          <t>Governed KPI definitions and dashboards on a common data model; GenAI 'ask your data' later.</t>
        </is>
      </c>
      <c r="I57" s="25" t="inlineStr">
        <is>
          <t>Source-system data, KPI dictionary</t>
        </is>
      </c>
      <c r="J57" s="25" t="inlineStr">
        <is>
          <t>Report preparation time; data-quality issues</t>
        </is>
      </c>
      <c r="K57" s="25" t="inlineStr">
        <is>
          <t>Data ownership and definitions agreed first.</t>
        </is>
      </c>
      <c r="L57" s="25" t="inlineStr">
        <is>
          <t>Low</t>
        </is>
      </c>
      <c r="M57" t="inlineStr">
        <is>
          <t>XI-53 | KPI dashboards</t>
        </is>
      </c>
      <c r="N57" t="b">
        <f>OR('1. AI Position'!$C$5="",'1. AI Position'!$C$5="Other",B57="Cross-industry",B57='1. AI Position'!$C$5)</f>
        <v>1</v>
      </c>
      <c r="O57">
        <f>IF(N57,COUNTIF($N$5:N57,TRUE),"")</f>
        <v>53</v>
      </c>
    </row>
    <row r="58" ht="46" customHeight="1">
      <c r="A58" s="23" t="inlineStr">
        <is>
          <t>XI-54</t>
        </is>
      </c>
      <c r="B58" s="24" t="inlineStr">
        <is>
          <t>Cross-industry</t>
        </is>
      </c>
      <c r="C58" s="25" t="inlineStr">
        <is>
          <t>Strategy, management &amp; reporting</t>
        </is>
      </c>
      <c r="D58" s="26" t="inlineStr">
        <is>
          <t>Meeting minutes &amp; action tracking</t>
        </is>
      </c>
      <c r="E58" s="25" t="inlineStr">
        <is>
          <t>Minutes late; actions lost</t>
        </is>
      </c>
      <c r="F58" s="25" t="inlineStr">
        <is>
          <t>Draft, summarise, translate or review text</t>
        </is>
      </c>
      <c r="G58" s="25" t="inlineStr">
        <is>
          <t>Generative AI assistant (off-the-shelf)</t>
        </is>
      </c>
      <c r="H58" s="25" t="inlineStr">
        <is>
          <t>Enterprise meeting assistant for transcripts, summaries and action tracking (with participant notice).</t>
        </is>
      </c>
      <c r="I58" s="25" t="inlineStr">
        <is>
          <t>Meeting audio / transcripts</t>
        </is>
      </c>
      <c r="J58" s="25" t="inlineStr">
        <is>
          <t>Minutes turnaround; actions closed on time</t>
        </is>
      </c>
      <c r="K58" s="25" t="inlineStr">
        <is>
          <t>Participant consent; confidential meetings excluded.</t>
        </is>
      </c>
      <c r="L58" s="25" t="inlineStr">
        <is>
          <t>Low</t>
        </is>
      </c>
      <c r="M58" t="inlineStr">
        <is>
          <t>XI-54 | Meeting minutes &amp; action tracking</t>
        </is>
      </c>
      <c r="N58" t="b">
        <f>OR('1. AI Position'!$C$5="",'1. AI Position'!$C$5="Other",B58="Cross-industry",B58='1. AI Position'!$C$5)</f>
        <v>1</v>
      </c>
      <c r="O58">
        <f>IF(N58,COUNTIF($N$5:N58,TRUE),"")</f>
        <v>54</v>
      </c>
    </row>
    <row r="59" ht="46" customHeight="1">
      <c r="A59" s="23" t="inlineStr">
        <is>
          <t>XI-55</t>
        </is>
      </c>
      <c r="B59" s="24" t="inlineStr">
        <is>
          <t>Cross-industry</t>
        </is>
      </c>
      <c r="C59" s="25" t="inlineStr">
        <is>
          <t>Strategy, management &amp; reporting</t>
        </is>
      </c>
      <c r="D59" s="26" t="inlineStr">
        <is>
          <t>Market &amp; competitor research</t>
        </is>
      </c>
      <c r="E59" s="25" t="inlineStr">
        <is>
          <t>Research takes days</t>
        </is>
      </c>
      <c r="F59" s="25" t="inlineStr">
        <is>
          <t>Draft, summarise, translate or review text</t>
        </is>
      </c>
      <c r="G59" s="25" t="inlineStr">
        <is>
          <t>Generative AI assistant (off-the-shelf)</t>
        </is>
      </c>
      <c r="H59" s="25" t="inlineStr">
        <is>
          <t>GenAI research assistant with source citations for market scans; analyst verifies.</t>
        </is>
      </c>
      <c r="I59" s="25" t="inlineStr">
        <is>
          <t>Public sources, subscriptions</t>
        </is>
      </c>
      <c r="J59" s="25" t="inlineStr">
        <is>
          <t>Research time</t>
        </is>
      </c>
      <c r="K59" s="25" t="inlineStr">
        <is>
          <t>Verify sources; avoid confidential data in public tools.</t>
        </is>
      </c>
      <c r="L59" s="25" t="inlineStr">
        <is>
          <t>Low</t>
        </is>
      </c>
      <c r="M59" t="inlineStr">
        <is>
          <t>XI-55 | Market &amp; competitor research</t>
        </is>
      </c>
      <c r="N59" t="b">
        <f>OR('1. AI Position'!$C$5="",'1. AI Position'!$C$5="Other",B59="Cross-industry",B59='1. AI Position'!$C$5)</f>
        <v>1</v>
      </c>
      <c r="O59">
        <f>IF(N59,COUNTIF($N$5:N59,TRUE),"")</f>
        <v>55</v>
      </c>
    </row>
    <row r="60" ht="46" customHeight="1">
      <c r="A60" s="23" t="inlineStr">
        <is>
          <t>XI-56</t>
        </is>
      </c>
      <c r="B60" s="24" t="inlineStr">
        <is>
          <t>Cross-industry</t>
        </is>
      </c>
      <c r="C60" s="25" t="inlineStr">
        <is>
          <t>Knowledge &amp; collaboration</t>
        </is>
      </c>
      <c r="D60" s="26" t="inlineStr">
        <is>
          <t>Enterprise knowledge search</t>
        </is>
      </c>
      <c r="E60" s="25" t="inlineStr">
        <is>
          <t>Time lost looking for documents</t>
        </is>
      </c>
      <c r="F60" s="25" t="inlineStr">
        <is>
          <t>Answer questions from internal knowledge, policies or past work</t>
        </is>
      </c>
      <c r="G60" s="25" t="inlineStr">
        <is>
          <t>GenAI knowledge assistant (RAG on own content)</t>
        </is>
      </c>
      <c r="H60" s="25" t="inlineStr">
        <is>
          <t>Permission-aware enterprise search / knowledge assistant over the document-management system.</t>
        </is>
      </c>
      <c r="I60" s="25" t="inlineStr">
        <is>
          <t>Organised document repository with access control</t>
        </is>
      </c>
      <c r="J60" s="25" t="inlineStr">
        <is>
          <t>Search time; reuse</t>
        </is>
      </c>
      <c r="K60" s="25" t="inlineStr">
        <is>
          <t>Respect existing permissions - over-sharing is the main risk.</t>
        </is>
      </c>
      <c r="L60" s="25" t="inlineStr">
        <is>
          <t>Low</t>
        </is>
      </c>
      <c r="M60" t="inlineStr">
        <is>
          <t>XI-56 | Enterprise knowledge search</t>
        </is>
      </c>
      <c r="N60" t="b">
        <f>OR('1. AI Position'!$C$5="",'1. AI Position'!$C$5="Other",B60="Cross-industry",B60='1. AI Position'!$C$5)</f>
        <v>1</v>
      </c>
      <c r="O60">
        <f>IF(N60,COUNTIF($N$5:N60,TRUE),"")</f>
        <v>56</v>
      </c>
    </row>
    <row r="61" ht="46" customHeight="1">
      <c r="A61" s="23" t="inlineStr">
        <is>
          <t>XI-57</t>
        </is>
      </c>
      <c r="B61" s="24" t="inlineStr">
        <is>
          <t>Cross-industry</t>
        </is>
      </c>
      <c r="C61" s="25" t="inlineStr">
        <is>
          <t>Knowledge &amp; collaboration</t>
        </is>
      </c>
      <c r="D61" s="26" t="inlineStr">
        <is>
          <t>Email &amp; document drafting</t>
        </is>
      </c>
      <c r="E61" s="25" t="inlineStr">
        <is>
          <t>Routine drafting effort</t>
        </is>
      </c>
      <c r="F61" s="25" t="inlineStr">
        <is>
          <t>Draft, summarise, translate or review text</t>
        </is>
      </c>
      <c r="G61" s="25" t="inlineStr">
        <is>
          <t>Generative AI assistant (off-the-shelf)</t>
        </is>
      </c>
      <c r="H61" s="25" t="inlineStr">
        <is>
          <t>Enterprise GenAI assistant (e.g., Copilot) under an acceptable-use policy and training.</t>
        </is>
      </c>
      <c r="I61" s="25" t="inlineStr">
        <is>
          <t>None beyond user content</t>
        </is>
      </c>
      <c r="J61" s="25" t="inlineStr">
        <is>
          <t>Time saved per user; adoption</t>
        </is>
      </c>
      <c r="K61" s="25" t="inlineStr">
        <is>
          <t>Acceptable-use policy, data classification and human review.</t>
        </is>
      </c>
      <c r="L61" s="25" t="inlineStr">
        <is>
          <t>Low</t>
        </is>
      </c>
      <c r="M61" t="inlineStr">
        <is>
          <t>XI-57 | Email &amp; document drafting</t>
        </is>
      </c>
      <c r="N61" t="b">
        <f>OR('1. AI Position'!$C$5="",'1. AI Position'!$C$5="Other",B61="Cross-industry",B61='1. AI Position'!$C$5)</f>
        <v>1</v>
      </c>
      <c r="O61">
        <f>IF(N61,COUNTIF($N$5:N61,TRUE),"")</f>
        <v>57</v>
      </c>
    </row>
    <row r="62" ht="46" customHeight="1">
      <c r="A62" s="23" t="inlineStr">
        <is>
          <t>XI-58</t>
        </is>
      </c>
      <c r="B62" s="24" t="inlineStr">
        <is>
          <t>Cross-industry</t>
        </is>
      </c>
      <c r="C62" s="25" t="inlineStr">
        <is>
          <t>Knowledge &amp; collaboration</t>
        </is>
      </c>
      <c r="D62" s="26" t="inlineStr">
        <is>
          <t>Document classification &amp; retention</t>
        </is>
      </c>
      <c r="E62" s="25" t="inlineStr">
        <is>
          <t>Documents unclassified; retention not applied</t>
        </is>
      </c>
      <c r="F62" s="25" t="inlineStr">
        <is>
          <t>Extract information from documents, forms or emails</t>
        </is>
      </c>
      <c r="G62" s="25" t="inlineStr">
        <is>
          <t>Intelligent document processing (IDP)</t>
        </is>
      </c>
      <c r="H62" s="25" t="inlineStr">
        <is>
          <t>Auto-classification and sensitivity labelling of documents with retention rules.</t>
        </is>
      </c>
      <c r="I62" s="25" t="inlineStr">
        <is>
          <t>Document repository, classification scheme</t>
        </is>
      </c>
      <c r="J62" s="25" t="inlineStr">
        <is>
          <t>Labelled documents %; retention compliance</t>
        </is>
      </c>
      <c r="K62" s="25" t="inlineStr">
        <is>
          <t>Supports data classification for AI (ISACA 2026; ISO/IEC 42001 A.7).</t>
        </is>
      </c>
      <c r="L62" s="25" t="inlineStr">
        <is>
          <t>Low</t>
        </is>
      </c>
      <c r="M62" t="inlineStr">
        <is>
          <t>XI-58 | Document classification &amp; retention</t>
        </is>
      </c>
      <c r="N62" t="b">
        <f>OR('1. AI Position'!$C$5="",'1. AI Position'!$C$5="Other",B62="Cross-industry",B62='1. AI Position'!$C$5)</f>
        <v>1</v>
      </c>
      <c r="O62">
        <f>IF(N62,COUNTIF($N$5:N62,TRUE),"")</f>
        <v>58</v>
      </c>
    </row>
    <row r="63" ht="46" customHeight="1">
      <c r="A63" s="23" t="inlineStr">
        <is>
          <t>XI-59</t>
        </is>
      </c>
      <c r="B63" s="24" t="inlineStr">
        <is>
          <t>Cross-industry</t>
        </is>
      </c>
      <c r="C63" s="25" t="inlineStr">
        <is>
          <t>Assets, facilities &amp; maintenance</t>
        </is>
      </c>
      <c r="D63" s="26" t="inlineStr">
        <is>
          <t>Facilities requests &amp; maintenance tickets</t>
        </is>
      </c>
      <c r="E63" s="25" t="inlineStr">
        <is>
          <t>Requests by phone and email</t>
        </is>
      </c>
      <c r="F63" s="25" t="inlineStr">
        <is>
          <t>Move or re-key data between systems following fixed rules</t>
        </is>
      </c>
      <c r="G63" s="25" t="inlineStr">
        <is>
          <t>Workflow automation / RPA</t>
        </is>
      </c>
      <c r="H63" s="25" t="inlineStr">
        <is>
          <t>Facilities service portal with automated routing and SLA tracking.</t>
        </is>
      </c>
      <c r="I63" s="25" t="inlineStr">
        <is>
          <t>Request history, asset list</t>
        </is>
      </c>
      <c r="J63" s="25" t="inlineStr">
        <is>
          <t>Response time; SLA compliance</t>
        </is>
      </c>
      <c r="K63" s="25" t="inlineStr">
        <is>
          <t>-</t>
        </is>
      </c>
      <c r="L63" s="25" t="inlineStr">
        <is>
          <t>Low</t>
        </is>
      </c>
      <c r="M63" t="inlineStr">
        <is>
          <t>XI-59 | Facilities requests &amp; maintenance tickets</t>
        </is>
      </c>
      <c r="N63" t="b">
        <f>OR('1. AI Position'!$C$5="",'1. AI Position'!$C$5="Other",B63="Cross-industry",B63='1. AI Position'!$C$5)</f>
        <v>1</v>
      </c>
      <c r="O63">
        <f>IF(N63,COUNTIF($N$5:N63,TRUE),"")</f>
        <v>59</v>
      </c>
    </row>
    <row r="64" ht="46" customHeight="1">
      <c r="A64" s="23" t="inlineStr">
        <is>
          <t>XI-60</t>
        </is>
      </c>
      <c r="B64" s="24" t="inlineStr">
        <is>
          <t>Cross-industry</t>
        </is>
      </c>
      <c r="C64" s="25" t="inlineStr">
        <is>
          <t>Assets, facilities &amp; maintenance</t>
        </is>
      </c>
      <c r="D64" s="26" t="inlineStr">
        <is>
          <t>Building energy management</t>
        </is>
      </c>
      <c r="E64" s="25" t="inlineStr">
        <is>
          <t>High utility bills</t>
        </is>
      </c>
      <c r="F64" s="25" t="inlineStr">
        <is>
          <t>Forecast, score, classify or detect anomalies from historical data</t>
        </is>
      </c>
      <c r="G64" s="25" t="inlineStr">
        <is>
          <t>Predictive analytics / machine learning</t>
        </is>
      </c>
      <c r="H64" s="25" t="inlineStr">
        <is>
          <t>ML-based HVAC and lighting optimisation from BMS data (ISO 50001-aligned).</t>
        </is>
      </c>
      <c r="I64" s="25" t="inlineStr">
        <is>
          <t>BMS / meter data, occupancy</t>
        </is>
      </c>
      <c r="J64" s="25" t="inlineStr">
        <is>
          <t>kWh saved; cost; emissions</t>
        </is>
      </c>
      <c r="K64" s="25" t="inlineStr">
        <is>
          <t>-</t>
        </is>
      </c>
      <c r="L64" s="25" t="inlineStr">
        <is>
          <t>Low</t>
        </is>
      </c>
      <c r="M64" t="inlineStr">
        <is>
          <t>XI-60 | Building energy management</t>
        </is>
      </c>
      <c r="N64" t="b">
        <f>OR('1. AI Position'!$C$5="",'1. AI Position'!$C$5="Other",B64="Cross-industry",B64='1. AI Position'!$C$5)</f>
        <v>1</v>
      </c>
      <c r="O64">
        <f>IF(N64,COUNTIF($N$5:N64,TRUE),"")</f>
        <v>60</v>
      </c>
    </row>
    <row r="65" ht="46" customHeight="1">
      <c r="A65" s="26" t="inlineStr">
        <is>
          <t>BNK-01</t>
        </is>
      </c>
      <c r="B65" s="25" t="inlineStr">
        <is>
          <t>Banking &amp; payments</t>
        </is>
      </c>
      <c r="C65" s="25" t="inlineStr">
        <is>
          <t>Core operations &amp; service delivery</t>
        </is>
      </c>
      <c r="D65" s="26" t="inlineStr">
        <is>
          <t>Retail customer onboarding (eKYC)</t>
        </is>
      </c>
      <c r="E65" s="25" t="inlineStr">
        <is>
          <t>Branch visits and manual document checks</t>
        </is>
      </c>
      <c r="F65" s="25" t="inlineStr">
        <is>
          <t>Extract information from documents, forms or emails</t>
        </is>
      </c>
      <c r="G65" s="25" t="inlineStr">
        <is>
          <t>Intelligent document processing (IDP)</t>
        </is>
      </c>
      <c r="H65" s="25" t="inlineStr">
        <is>
          <t>Digital onboarding: ID capture (CPR / passport), liveness check, automated screening and risk rating; analyst reviews exceptions.</t>
        </is>
      </c>
      <c r="I65" s="25" t="inlineStr">
        <is>
          <t>ID documents, selfie / liveness, customer data</t>
        </is>
      </c>
      <c r="J65" s="25" t="inlineStr">
        <is>
          <t>Onboarding time; drop-off rate; KYC exceptions</t>
        </is>
      </c>
      <c r="K65" s="25" t="inlineStr">
        <is>
          <t>CBB Rulebook FC (financial crime) KYC; biometric data - treat as sensitive (PDPL); liveness-vendor assurance.</t>
        </is>
      </c>
      <c r="L65" s="25" t="inlineStr">
        <is>
          <t>Medium</t>
        </is>
      </c>
      <c r="M65" t="inlineStr">
        <is>
          <t>BNK-01 | Retail customer onboarding (eKYC)</t>
        </is>
      </c>
      <c r="N65" t="b">
        <f>OR('1. AI Position'!$C$5="",'1. AI Position'!$C$5="Other",B65="Cross-industry",B65='1. AI Position'!$C$5)</f>
        <v>0</v>
      </c>
      <c r="O65" t="str">
        <f>IF(N65,COUNTIF($N$5:N65,TRUE),"")</f>
        <v/>
      </c>
    </row>
    <row r="66" ht="46" customHeight="1">
      <c r="A66" s="26" t="inlineStr">
        <is>
          <t>BNK-02</t>
        </is>
      </c>
      <c r="B66" s="25" t="inlineStr">
        <is>
          <t>Banking &amp; payments</t>
        </is>
      </c>
      <c r="C66" s="25" t="inlineStr">
        <is>
          <t>Risk, compliance &amp; legal</t>
        </is>
      </c>
      <c r="D66" s="26" t="inlineStr">
        <is>
          <t>Sanctions &amp; PEP screening alert review</t>
        </is>
      </c>
      <c r="E66" s="25" t="inlineStr">
        <is>
          <t>High false-positive name matches</t>
        </is>
      </c>
      <c r="F66" s="25" t="inlineStr">
        <is>
          <t>Forecast, score, classify or detect anomalies from historical data</t>
        </is>
      </c>
      <c r="G66" s="25" t="inlineStr">
        <is>
          <t>Predictive analytics / machine learning</t>
        </is>
      </c>
      <c r="H66" s="25" t="inlineStr">
        <is>
          <t>Tune name-matching, then ML / GenAI-assisted alert disposition with evidence summary; analyst decides.</t>
        </is>
      </c>
      <c r="I66" s="25" t="inlineStr">
        <is>
          <t>Screening alerts with dispositions, customer data</t>
        </is>
      </c>
      <c r="J66" s="25" t="inlineStr">
        <is>
          <t>False-positive rate; alerts per analyst; time to clear</t>
        </is>
      </c>
      <c r="K66" s="25" t="inlineStr">
        <is>
          <t>CBB FC; FATF; model validation; never auto-close true-match candidates.</t>
        </is>
      </c>
      <c r="L66" s="25" t="inlineStr">
        <is>
          <t>Medium</t>
        </is>
      </c>
      <c r="M66" t="inlineStr">
        <is>
          <t>BNK-02 | Sanctions &amp; PEP screening alert review</t>
        </is>
      </c>
      <c r="N66" t="b">
        <f>OR('1. AI Position'!$C$5="",'1. AI Position'!$C$5="Other",B66="Cross-industry",B66='1. AI Position'!$C$5)</f>
        <v>0</v>
      </c>
      <c r="O66" t="str">
        <f>IF(N66,COUNTIF($N$5:N66,TRUE),"")</f>
        <v/>
      </c>
    </row>
    <row r="67" ht="46" customHeight="1">
      <c r="A67" s="26" t="inlineStr">
        <is>
          <t>BNK-03</t>
        </is>
      </c>
      <c r="B67" s="25" t="inlineStr">
        <is>
          <t>Banking &amp; payments</t>
        </is>
      </c>
      <c r="C67" s="25" t="inlineStr">
        <is>
          <t>Risk, compliance &amp; legal</t>
        </is>
      </c>
      <c r="D67" s="26" t="inlineStr">
        <is>
          <t>AML transaction-monitoring alert triage</t>
        </is>
      </c>
      <c r="E67" s="25" t="inlineStr">
        <is>
          <t>Investigators overwhelmed by false positives</t>
        </is>
      </c>
      <c r="F67" s="25" t="inlineStr">
        <is>
          <t>Forecast, score, classify or detect anomalies from historical data</t>
        </is>
      </c>
      <c r="G67" s="25" t="inlineStr">
        <is>
          <t>Predictive analytics / machine learning</t>
        </is>
      </c>
      <c r="H67" s="25" t="inlineStr">
        <is>
          <t>ML alert prioritisation on top of rule scenarios; investigators focus on high-risk alerts; challenger testing before go-live.</t>
        </is>
      </c>
      <c r="I67" s="25" t="inlineStr">
        <is>
          <t>2+ years of alerts with investigation outcomes, transactions, KYC</t>
        </is>
      </c>
      <c r="J67" s="25" t="inlineStr">
        <is>
          <t>False-positive reduction; SAR conversion; backlog</t>
        </is>
      </c>
      <c r="K67" s="25" t="inlineStr">
        <is>
          <t>CBB FC; FATF; model risk management (SR 11-7 principles); explainability to regulator.</t>
        </is>
      </c>
      <c r="L67" s="25" t="inlineStr">
        <is>
          <t>Medium</t>
        </is>
      </c>
      <c r="M67" t="inlineStr">
        <is>
          <t>BNK-03 | AML transaction-monitoring alert triage</t>
        </is>
      </c>
      <c r="N67" t="b">
        <f>OR('1. AI Position'!$C$5="",'1. AI Position'!$C$5="Other",B67="Cross-industry",B67='1. AI Position'!$C$5)</f>
        <v>0</v>
      </c>
      <c r="O67" t="str">
        <f>IF(N67,COUNTIF($N$5:N67,TRUE),"")</f>
        <v/>
      </c>
    </row>
    <row r="68" ht="46" customHeight="1">
      <c r="A68" s="26" t="inlineStr">
        <is>
          <t>BNK-04</t>
        </is>
      </c>
      <c r="B68" s="25" t="inlineStr">
        <is>
          <t>Banking &amp; payments</t>
        </is>
      </c>
      <c r="C68" s="25" t="inlineStr">
        <is>
          <t>Risk, compliance &amp; legal</t>
        </is>
      </c>
      <c r="D68" s="26" t="inlineStr">
        <is>
          <t>Suspicious transaction report (STR) narratives</t>
        </is>
      </c>
      <c r="E68" s="25" t="inlineStr">
        <is>
          <t>Narratives slow and inconsistent</t>
        </is>
      </c>
      <c r="F68" s="25" t="inlineStr">
        <is>
          <t>Draft, summarise, translate or review text</t>
        </is>
      </c>
      <c r="G68" s="25" t="inlineStr">
        <is>
          <t>Generative AI assistant (off-the-shelf)</t>
        </is>
      </c>
      <c r="H68" s="25" t="inlineStr">
        <is>
          <t>GenAI drafts STR narratives from case evidence in a secured environment; MLRO reviews and files.</t>
        </is>
      </c>
      <c r="I68" s="25" t="inlineStr">
        <is>
          <t>Case files, transactions</t>
        </is>
      </c>
      <c r="J68" s="25" t="inlineStr">
        <is>
          <t>Time per STR; quality findings</t>
        </is>
      </c>
      <c r="K68" s="25" t="inlineStr">
        <is>
          <t>Tipping-off confidentiality; enterprise tool only; MLRO accountability.</t>
        </is>
      </c>
      <c r="L68" s="25" t="inlineStr">
        <is>
          <t>Medium</t>
        </is>
      </c>
      <c r="M68" t="inlineStr">
        <is>
          <t>BNK-04 | Suspicious transaction report (STR) narratives</t>
        </is>
      </c>
      <c r="N68" t="b">
        <f>OR('1. AI Position'!$C$5="",'1. AI Position'!$C$5="Other",B68="Cross-industry",B68='1. AI Position'!$C$5)</f>
        <v>0</v>
      </c>
      <c r="O68" t="str">
        <f>IF(N68,COUNTIF($N$5:N68,TRUE),"")</f>
        <v/>
      </c>
    </row>
    <row r="69" ht="46" customHeight="1">
      <c r="A69" s="26" t="inlineStr">
        <is>
          <t>BNK-05</t>
        </is>
      </c>
      <c r="B69" s="25" t="inlineStr">
        <is>
          <t>Banking &amp; payments</t>
        </is>
      </c>
      <c r="C69" s="25" t="inlineStr">
        <is>
          <t>Core operations &amp; service delivery</t>
        </is>
      </c>
      <c r="D69" s="26" t="inlineStr">
        <is>
          <t>Retail credit decisioning</t>
        </is>
      </c>
      <c r="E69" s="25" t="inlineStr">
        <is>
          <t>Slow, inconsistent credit decisions</t>
        </is>
      </c>
      <c r="F69" s="25" t="inlineStr">
        <is>
          <t>Forecast, score, classify or detect anomalies from historical data</t>
        </is>
      </c>
      <c r="G69" s="25" t="inlineStr">
        <is>
          <t>Predictive analytics / machine learning</t>
        </is>
      </c>
      <c r="H69" s="25" t="inlineStr">
        <is>
          <t>Explainable scorecard / ML credit model with policy rules, reason codes and human review of declines; bias and stability testing.</t>
        </is>
      </c>
      <c r="I69" s="25" t="inlineStr">
        <is>
          <t>Application data, bureau data, repayment history</t>
        </is>
      </c>
      <c r="J69" s="25" t="inlineStr">
        <is>
          <t>Decision time; default rate; approval rate by segment</t>
        </is>
      </c>
      <c r="K69" s="25" t="inlineStr">
        <is>
          <t>HIGH-RISK: EU AI Act Annex III 5(b) creditworthiness of natural persons; CBB credit-risk rules; fair-lending; model validation.</t>
        </is>
      </c>
      <c r="L69" s="25" t="inlineStr">
        <is>
          <t>High</t>
        </is>
      </c>
      <c r="M69" t="inlineStr">
        <is>
          <t>BNK-05 | Retail credit decisioning</t>
        </is>
      </c>
      <c r="N69" t="b">
        <f>OR('1. AI Position'!$C$5="",'1. AI Position'!$C$5="Other",B69="Cross-industry",B69='1. AI Position'!$C$5)</f>
        <v>0</v>
      </c>
      <c r="O69" t="str">
        <f>IF(N69,COUNTIF($N$5:N69,TRUE),"")</f>
        <v/>
      </c>
    </row>
    <row r="70" ht="46" customHeight="1">
      <c r="A70" s="26" t="inlineStr">
        <is>
          <t>BNK-06</t>
        </is>
      </c>
      <c r="B70" s="25" t="inlineStr">
        <is>
          <t>Banking &amp; payments</t>
        </is>
      </c>
      <c r="C70" s="25" t="inlineStr">
        <is>
          <t>Core operations &amp; service delivery</t>
        </is>
      </c>
      <c r="D70" s="26" t="inlineStr">
        <is>
          <t>SME credit memo drafting</t>
        </is>
      </c>
      <c r="E70" s="25" t="inlineStr">
        <is>
          <t>Relationship managers spend days on memos</t>
        </is>
      </c>
      <c r="F70" s="25" t="inlineStr">
        <is>
          <t>Draft, summarise, translate or review text</t>
        </is>
      </c>
      <c r="G70" s="25" t="inlineStr">
        <is>
          <t>Generative AI assistant (off-the-shelf)</t>
        </is>
      </c>
      <c r="H70" s="25" t="inlineStr">
        <is>
          <t>GenAI drafts credit memos from financial statements and account data using the bank template; credit officer reviews.</t>
        </is>
      </c>
      <c r="I70" s="25" t="inlineStr">
        <is>
          <t>Financial statements, account conduct, templates</t>
        </is>
      </c>
      <c r="J70" s="25" t="inlineStr">
        <is>
          <t>Memo preparation time; turnaround to decision</t>
        </is>
      </c>
      <c r="K70" s="25" t="inlineStr">
        <is>
          <t>Decision stays with credit committee; data confidentiality.</t>
        </is>
      </c>
      <c r="L70" s="25" t="inlineStr">
        <is>
          <t>Medium</t>
        </is>
      </c>
      <c r="M70" t="inlineStr">
        <is>
          <t>BNK-06 | SME credit memo drafting</t>
        </is>
      </c>
      <c r="N70" t="b">
        <f>OR('1. AI Position'!$C$5="",'1. AI Position'!$C$5="Other",B70="Cross-industry",B70='1. AI Position'!$C$5)</f>
        <v>0</v>
      </c>
      <c r="O70" t="str">
        <f>IF(N70,COUNTIF($N$5:N70,TRUE),"")</f>
        <v/>
      </c>
    </row>
    <row r="71" ht="46" customHeight="1">
      <c r="A71" s="26" t="inlineStr">
        <is>
          <t>BNK-07</t>
        </is>
      </c>
      <c r="B71" s="25" t="inlineStr">
        <is>
          <t>Banking &amp; payments</t>
        </is>
      </c>
      <c r="C71" s="25" t="inlineStr">
        <is>
          <t>Core operations &amp; service delivery</t>
        </is>
      </c>
      <c r="D71" s="26" t="inlineStr">
        <is>
          <t>Trade-finance document checking (LCs)</t>
        </is>
      </c>
      <c r="E71" s="25" t="inlineStr">
        <is>
          <t>Manual checking of LCs and shipping documents</t>
        </is>
      </c>
      <c r="F71" s="25" t="inlineStr">
        <is>
          <t>Extract information from documents, forms or emails</t>
        </is>
      </c>
      <c r="G71" s="25" t="inlineStr">
        <is>
          <t>Intelligent document processing (IDP)</t>
        </is>
      </c>
      <c r="H71" s="25" t="inlineStr">
        <is>
          <t>IDP extracts LC and shipping-document data and checks discrepancies against UCP 600 / ISBP rules; checker confirms.</t>
        </is>
      </c>
      <c r="I71" s="25" t="inlineStr">
        <is>
          <t>LCs, bills of lading, invoices</t>
        </is>
      </c>
      <c r="J71" s="25" t="inlineStr">
        <is>
          <t>Documents checked per day; discrepancy-detection rate</t>
        </is>
      </c>
      <c r="K71" s="25" t="inlineStr">
        <is>
          <t>Sanctions / dual-use screening of goods and vessels.</t>
        </is>
      </c>
      <c r="L71" s="25" t="inlineStr">
        <is>
          <t>Low</t>
        </is>
      </c>
      <c r="M71" t="inlineStr">
        <is>
          <t>BNK-07 | Trade-finance document checking (LCs)</t>
        </is>
      </c>
      <c r="N71" t="b">
        <f>OR('1. AI Position'!$C$5="",'1. AI Position'!$C$5="Other",B71="Cross-industry",B71='1. AI Position'!$C$5)</f>
        <v>0</v>
      </c>
      <c r="O71" t="str">
        <f>IF(N71,COUNTIF($N$5:N71,TRUE),"")</f>
        <v/>
      </c>
    </row>
    <row r="72" ht="46" customHeight="1">
      <c r="A72" s="26" t="inlineStr">
        <is>
          <t>BNK-08</t>
        </is>
      </c>
      <c r="B72" s="25" t="inlineStr">
        <is>
          <t>Banking &amp; payments</t>
        </is>
      </c>
      <c r="C72" s="25" t="inlineStr">
        <is>
          <t>Core operations &amp; service delivery</t>
        </is>
      </c>
      <c r="D72" s="26" t="inlineStr">
        <is>
          <t>Card &amp; payment fraud detection</t>
        </is>
      </c>
      <c r="E72" s="25" t="inlineStr">
        <is>
          <t>Fraud found late; customer losses</t>
        </is>
      </c>
      <c r="F72" s="25" t="inlineStr">
        <is>
          <t>Forecast, score, classify or detect anomalies from historical data</t>
        </is>
      </c>
      <c r="G72" s="25" t="inlineStr">
        <is>
          <t>Predictive analytics / machine learning</t>
        </is>
      </c>
      <c r="H72" s="25" t="inlineStr">
        <is>
          <t>Real-time ML fraud scoring with step-up authentication; continuous model monitoring for drift.</t>
        </is>
      </c>
      <c r="I72" s="25" t="inlineStr">
        <is>
          <t>Transaction history with confirmed fraud labels, device data</t>
        </is>
      </c>
      <c r="J72" s="25" t="inlineStr">
        <is>
          <t>Fraud losses (bps); false-decline rate; detection latency</t>
        </is>
      </c>
      <c r="K72" s="25" t="inlineStr">
        <is>
          <t>PCI DSS; customer-friction trade-off; model validation.</t>
        </is>
      </c>
      <c r="L72" s="25" t="inlineStr">
        <is>
          <t>Medium</t>
        </is>
      </c>
      <c r="M72" t="inlineStr">
        <is>
          <t>BNK-08 | Card &amp; payment fraud detection</t>
        </is>
      </c>
      <c r="N72" t="b">
        <f>OR('1. AI Position'!$C$5="",'1. AI Position'!$C$5="Other",B72="Cross-industry",B72='1. AI Position'!$C$5)</f>
        <v>0</v>
      </c>
      <c r="O72" t="str">
        <f>IF(N72,COUNTIF($N$5:N72,TRUE),"")</f>
        <v/>
      </c>
    </row>
    <row r="73" ht="46" customHeight="1">
      <c r="A73" s="26" t="inlineStr">
        <is>
          <t>BNK-09</t>
        </is>
      </c>
      <c r="B73" s="25" t="inlineStr">
        <is>
          <t>Banking &amp; payments</t>
        </is>
      </c>
      <c r="C73" s="25" t="inlineStr">
        <is>
          <t>Core operations &amp; service delivery</t>
        </is>
      </c>
      <c r="D73" s="26" t="inlineStr">
        <is>
          <t>Payment exceptions &amp; repairs</t>
        </is>
      </c>
      <c r="E73" s="25" t="inlineStr">
        <is>
          <t>Failed payments repaired manually</t>
        </is>
      </c>
      <c r="F73" s="25" t="inlineStr">
        <is>
          <t>Check or approve items against fixed criteria (rules, thresholds, checklists)</t>
        </is>
      </c>
      <c r="G73" s="25" t="inlineStr">
        <is>
          <t>Rules engine / workflow automation</t>
        </is>
      </c>
      <c r="H73" s="25" t="inlineStr">
        <is>
          <t>Rules-based auto-repair of common payment errors (IBAN, BIC, format) with exception queue.</t>
        </is>
      </c>
      <c r="I73" s="25" t="inlineStr">
        <is>
          <t>Payment messages (ISO 20022), repair history</t>
        </is>
      </c>
      <c r="J73" s="25" t="inlineStr">
        <is>
          <t>STP rate; repair time</t>
        </is>
      </c>
      <c r="K73" s="25" t="inlineStr">
        <is>
          <t>Four-eyes on high-value payments.</t>
        </is>
      </c>
      <c r="L73" s="25" t="inlineStr">
        <is>
          <t>Low</t>
        </is>
      </c>
      <c r="M73" t="inlineStr">
        <is>
          <t>BNK-09 | Payment exceptions &amp; repairs</t>
        </is>
      </c>
      <c r="N73" t="b">
        <f>OR('1. AI Position'!$C$5="",'1. AI Position'!$C$5="Other",B73="Cross-industry",B73='1. AI Position'!$C$5)</f>
        <v>0</v>
      </c>
      <c r="O73" t="str">
        <f>IF(N73,COUNTIF($N$5:N73,TRUE),"")</f>
        <v/>
      </c>
    </row>
    <row r="74" ht="46" customHeight="1">
      <c r="A74" s="26" t="inlineStr">
        <is>
          <t>BNK-10</t>
        </is>
      </c>
      <c r="B74" s="25" t="inlineStr">
        <is>
          <t>Banking &amp; payments</t>
        </is>
      </c>
      <c r="C74" s="25" t="inlineStr">
        <is>
          <t>Customer service</t>
        </is>
      </c>
      <c r="D74" s="26" t="inlineStr">
        <is>
          <t>Banking virtual assistant</t>
        </is>
      </c>
      <c r="E74" s="25" t="inlineStr">
        <is>
          <t>Call centre peaks; routine balance and card queries</t>
        </is>
      </c>
      <c r="F74" s="25" t="inlineStr">
        <is>
          <t>Converse with customers, citizens or staff (chat, voice, WhatsApp)</t>
        </is>
      </c>
      <c r="G74" s="25" t="inlineStr">
        <is>
          <t>Conversational AI / virtual agent</t>
        </is>
      </c>
      <c r="H74" s="25" t="inlineStr">
        <is>
          <t>Authenticated bilingual virtual assistant for balances, card controls and FAQs; no financial advice; hand-off to agents.</t>
        </is>
      </c>
      <c r="I74" s="25" t="inlineStr">
        <is>
          <t>FAQs, core-banking APIs</t>
        </is>
      </c>
      <c r="J74" s="25" t="inlineStr">
        <is>
          <t>Containment; AHT; CSAT</t>
        </is>
      </c>
      <c r="K74" s="25" t="inlineStr">
        <is>
          <t>Authentication; disclose AI; CBB business-conduct and complaints rules.</t>
        </is>
      </c>
      <c r="L74" s="25" t="inlineStr">
        <is>
          <t>Medium</t>
        </is>
      </c>
      <c r="M74" t="inlineStr">
        <is>
          <t>BNK-10 | Banking virtual assistant</t>
        </is>
      </c>
      <c r="N74" t="b">
        <f>OR('1. AI Position'!$C$5="",'1. AI Position'!$C$5="Other",B74="Cross-industry",B74='1. AI Position'!$C$5)</f>
        <v>0</v>
      </c>
      <c r="O74" t="str">
        <f>IF(N74,COUNTIF($N$5:N74,TRUE),"")</f>
        <v/>
      </c>
    </row>
    <row r="75" ht="46" customHeight="1">
      <c r="A75" s="26" t="inlineStr">
        <is>
          <t>BNK-11</t>
        </is>
      </c>
      <c r="B75" s="25" t="inlineStr">
        <is>
          <t>Banking &amp; payments</t>
        </is>
      </c>
      <c r="C75" s="25" t="inlineStr">
        <is>
          <t>Customer service</t>
        </is>
      </c>
      <c r="D75" s="26" t="inlineStr">
        <is>
          <t>Complaints handling (CBB timelines)</t>
        </is>
      </c>
      <c r="E75" s="25" t="inlineStr">
        <is>
          <t>Complaints categorised late; deadlines missed</t>
        </is>
      </c>
      <c r="F75" s="25" t="inlineStr">
        <is>
          <t>Draft, summarise, translate or review text</t>
        </is>
      </c>
      <c r="G75" s="25" t="inlineStr">
        <is>
          <t>Generative AI assistant (off-the-shelf)</t>
        </is>
      </c>
      <c r="H75" s="25" t="inlineStr">
        <is>
          <t>GenAI categorisation and draft responses with workflow deadline tracking and root-cause reporting.</t>
        </is>
      </c>
      <c r="I75" s="25" t="inlineStr">
        <is>
          <t>Complaint records</t>
        </is>
      </c>
      <c r="J75" s="25" t="inlineStr">
        <is>
          <t>On-time resolution; repeat complaints</t>
        </is>
      </c>
      <c r="K75" s="25" t="inlineStr">
        <is>
          <t>CBB complaints-handling requirements; human-approved responses.</t>
        </is>
      </c>
      <c r="L75" s="25" t="inlineStr">
        <is>
          <t>Medium</t>
        </is>
      </c>
      <c r="M75" t="inlineStr">
        <is>
          <t>BNK-11 | Complaints handling (CBB timelines)</t>
        </is>
      </c>
      <c r="N75" t="b">
        <f>OR('1. AI Position'!$C$5="",'1. AI Position'!$C$5="Other",B75="Cross-industry",B75='1. AI Position'!$C$5)</f>
        <v>0</v>
      </c>
      <c r="O75" t="str">
        <f>IF(N75,COUNTIF($N$5:N75,TRUE),"")</f>
        <v/>
      </c>
    </row>
    <row r="76" ht="46" customHeight="1">
      <c r="A76" s="26" t="inlineStr">
        <is>
          <t>BNK-12</t>
        </is>
      </c>
      <c r="B76" s="25" t="inlineStr">
        <is>
          <t>Banking &amp; payments</t>
        </is>
      </c>
      <c r="C76" s="25" t="inlineStr">
        <is>
          <t>Core operations &amp; service delivery</t>
        </is>
      </c>
      <c r="D76" s="26" t="inlineStr">
        <is>
          <t>Collections prioritisation</t>
        </is>
      </c>
      <c r="E76" s="25" t="inlineStr">
        <is>
          <t>Collectors call all accounts equally</t>
        </is>
      </c>
      <c r="F76" s="25" t="inlineStr">
        <is>
          <t>Forecast, score, classify or detect anomalies from historical data</t>
        </is>
      </c>
      <c r="G76" s="25" t="inlineStr">
        <is>
          <t>Predictive analytics / machine learning</t>
        </is>
      </c>
      <c r="H76" s="25" t="inlineStr">
        <is>
          <t>ML roll-rate models prioritise accounts and channel; treatment strategies approved by credit risk.</t>
        </is>
      </c>
      <c r="I76" s="25" t="inlineStr">
        <is>
          <t>Delinquency history, contact outcomes</t>
        </is>
      </c>
      <c r="J76" s="25" t="inlineStr">
        <is>
          <t>Roll rates; cure rate; cost to collect</t>
        </is>
      </c>
      <c r="K76" s="25" t="inlineStr">
        <is>
          <t>Fair treatment of customers; avoid sensitive attributes.</t>
        </is>
      </c>
      <c r="L76" s="25" t="inlineStr">
        <is>
          <t>Medium</t>
        </is>
      </c>
      <c r="M76" t="inlineStr">
        <is>
          <t>BNK-12 | Collections prioritisation</t>
        </is>
      </c>
      <c r="N76" t="b">
        <f>OR('1. AI Position'!$C$5="",'1. AI Position'!$C$5="Other",B76="Cross-industry",B76='1. AI Position'!$C$5)</f>
        <v>0</v>
      </c>
      <c r="O76" t="str">
        <f>IF(N76,COUNTIF($N$5:N76,TRUE),"")</f>
        <v/>
      </c>
    </row>
    <row r="77" ht="46" customHeight="1">
      <c r="A77" s="26" t="inlineStr">
        <is>
          <t>BNK-13</t>
        </is>
      </c>
      <c r="B77" s="25" t="inlineStr">
        <is>
          <t>Banking &amp; payments</t>
        </is>
      </c>
      <c r="C77" s="25" t="inlineStr">
        <is>
          <t>Risk, compliance &amp; legal</t>
        </is>
      </c>
      <c r="D77" s="26" t="inlineStr">
        <is>
          <t>Regulatory reporting (CBB returns)</t>
        </is>
      </c>
      <c r="E77" s="25" t="inlineStr">
        <is>
          <t>Manual population and reconciliation of returns</t>
        </is>
      </c>
      <c r="F77" s="25" t="inlineStr">
        <is>
          <t>Produce reports, dashboards or reconciliations from existing data</t>
        </is>
      </c>
      <c r="G77" s="25" t="inlineStr">
        <is>
          <t>BI, dashboards &amp; reconciliation automation</t>
        </is>
      </c>
      <c r="H77" s="25" t="inlineStr">
        <is>
          <t>Automated data lineage, validation rules and return population with reconciliation to GL (BCBS 239 principles).</t>
        </is>
      </c>
      <c r="I77" s="25" t="inlineStr">
        <is>
          <t>Core-banking, GL, risk data</t>
        </is>
      </c>
      <c r="J77" s="25" t="inlineStr">
        <is>
          <t>Resubmissions; preparation hours; data-quality breaks</t>
        </is>
      </c>
      <c r="K77" s="25" t="inlineStr">
        <is>
          <t>CBB reporting accuracy; maker-checker.</t>
        </is>
      </c>
      <c r="L77" s="25" t="inlineStr">
        <is>
          <t>Low</t>
        </is>
      </c>
      <c r="M77" t="inlineStr">
        <is>
          <t>BNK-13 | Regulatory reporting (CBB returns)</t>
        </is>
      </c>
      <c r="N77" t="b">
        <f>OR('1. AI Position'!$C$5="",'1. AI Position'!$C$5="Other",B77="Cross-industry",B77='1. AI Position'!$C$5)</f>
        <v>0</v>
      </c>
      <c r="O77" t="str">
        <f>IF(N77,COUNTIF($N$5:N77,TRUE),"")</f>
        <v/>
      </c>
    </row>
    <row r="78" ht="46" customHeight="1">
      <c r="A78" s="26" t="inlineStr">
        <is>
          <t>BNK-14</t>
        </is>
      </c>
      <c r="B78" s="25" t="inlineStr">
        <is>
          <t>Banking &amp; payments</t>
        </is>
      </c>
      <c r="C78" s="25" t="inlineStr">
        <is>
          <t>Finance &amp; accounting</t>
        </is>
      </c>
      <c r="D78" s="26" t="inlineStr">
        <is>
          <t>Liquidity &amp; cash forecasting (treasury)</t>
        </is>
      </c>
      <c r="E78" s="25" t="inlineStr">
        <is>
          <t>Buffers held conservatively</t>
        </is>
      </c>
      <c r="F78" s="25" t="inlineStr">
        <is>
          <t>Forecast, score, classify or detect anomalies from historical data</t>
        </is>
      </c>
      <c r="G78" s="25" t="inlineStr">
        <is>
          <t>Predictive analytics / machine learning</t>
        </is>
      </c>
      <c r="H78" s="25" t="inlineStr">
        <is>
          <t>ML forecasting of deposit flows and liquidity needs feeding ALCO, alongside regulatory metrics.</t>
        </is>
      </c>
      <c r="I78" s="25" t="inlineStr">
        <is>
          <t>Deposit / loan flows history</t>
        </is>
      </c>
      <c r="J78" s="25" t="inlineStr">
        <is>
          <t>Forecast accuracy; excess buffer cost</t>
        </is>
      </c>
      <c r="K78" s="25" t="inlineStr">
        <is>
          <t>Model validation; ALCO oversight.</t>
        </is>
      </c>
      <c r="L78" s="25" t="inlineStr">
        <is>
          <t>Medium</t>
        </is>
      </c>
      <c r="M78" t="inlineStr">
        <is>
          <t>BNK-14 | Liquidity &amp; cash forecasting (treasury)</t>
        </is>
      </c>
      <c r="N78" t="b">
        <f>OR('1. AI Position'!$C$5="",'1. AI Position'!$C$5="Other",B78="Cross-industry",B78='1. AI Position'!$C$5)</f>
        <v>0</v>
      </c>
      <c r="O78" t="str">
        <f>IF(N78,COUNTIF($N$5:N78,TRUE),"")</f>
        <v/>
      </c>
    </row>
    <row r="79" ht="46" customHeight="1">
      <c r="A79" s="26" t="inlineStr">
        <is>
          <t>BNK-15</t>
        </is>
      </c>
      <c r="B79" s="25" t="inlineStr">
        <is>
          <t>Banking &amp; payments</t>
        </is>
      </c>
      <c r="C79" s="25" t="inlineStr">
        <is>
          <t>Assets, facilities &amp; maintenance</t>
        </is>
      </c>
      <c r="D79" s="26" t="inlineStr">
        <is>
          <t>ATM &amp; branch cash forecasting</t>
        </is>
      </c>
      <c r="E79" s="25" t="inlineStr">
        <is>
          <t>Cash-outs and idle cash</t>
        </is>
      </c>
      <c r="F79" s="25" t="inlineStr">
        <is>
          <t>Forecast, score, classify or detect anomalies from historical data</t>
        </is>
      </c>
      <c r="G79" s="25" t="inlineStr">
        <is>
          <t>Predictive analytics / machine learning</t>
        </is>
      </c>
      <c r="H79" s="25" t="inlineStr">
        <is>
          <t>ML cash-demand forecasting and optimised replenishment schedules.</t>
        </is>
      </c>
      <c r="I79" s="25" t="inlineStr">
        <is>
          <t>ATM withdrawals history, calendar effects</t>
        </is>
      </c>
      <c r="J79" s="25" t="inlineStr">
        <is>
          <t>Cash-out incidents; idle cash; CIT cost</t>
        </is>
      </c>
      <c r="K79" s="25" t="inlineStr">
        <is>
          <t>-</t>
        </is>
      </c>
      <c r="L79" s="25" t="inlineStr">
        <is>
          <t>Low</t>
        </is>
      </c>
      <c r="M79" t="inlineStr">
        <is>
          <t>BNK-15 | ATM &amp; branch cash forecasting</t>
        </is>
      </c>
      <c r="N79" t="b">
        <f>OR('1. AI Position'!$C$5="",'1. AI Position'!$C$5="Other",B79="Cross-industry",B79='1. AI Position'!$C$5)</f>
        <v>0</v>
      </c>
      <c r="O79" t="str">
        <f>IF(N79,COUNTIF($N$5:N79,TRUE),"")</f>
        <v/>
      </c>
    </row>
    <row r="80" ht="46" customHeight="1">
      <c r="A80" s="26" t="inlineStr">
        <is>
          <t>BNK-16</t>
        </is>
      </c>
      <c r="B80" s="25" t="inlineStr">
        <is>
          <t>Banking &amp; payments</t>
        </is>
      </c>
      <c r="C80" s="25" t="inlineStr">
        <is>
          <t>Core operations &amp; service delivery</t>
        </is>
      </c>
      <c r="D80" s="26" t="inlineStr">
        <is>
          <t>Corporate onboarding (KYB)</t>
        </is>
      </c>
      <c r="E80" s="25" t="inlineStr">
        <is>
          <t>Corporate KYC files take weeks</t>
        </is>
      </c>
      <c r="F80" s="25" t="inlineStr">
        <is>
          <t>Extract information from documents, forms or emails</t>
        </is>
      </c>
      <c r="G80" s="25" t="inlineStr">
        <is>
          <t>Intelligent document processing (IDP)</t>
        </is>
      </c>
      <c r="H80" s="25" t="inlineStr">
        <is>
          <t>IDP of commercial registration and constitutional documents, ownership-structure extraction and GenAI file summary for the analyst.</t>
        </is>
      </c>
      <c r="I80" s="25" t="inlineStr">
        <is>
          <t>CR documents, shareholder registers</t>
        </is>
      </c>
      <c r="J80" s="25" t="inlineStr">
        <is>
          <t>Onboarding time; incomplete files</t>
        </is>
      </c>
      <c r="K80" s="25" t="inlineStr">
        <is>
          <t>UBO identification (CBB FC; FATF R.24).</t>
        </is>
      </c>
      <c r="L80" s="25" t="inlineStr">
        <is>
          <t>Medium</t>
        </is>
      </c>
      <c r="M80" t="inlineStr">
        <is>
          <t>BNK-16 | Corporate onboarding (KYB)</t>
        </is>
      </c>
      <c r="N80" t="b">
        <f>OR('1. AI Position'!$C$5="",'1. AI Position'!$C$5="Other",B80="Cross-industry",B80='1. AI Position'!$C$5)</f>
        <v>0</v>
      </c>
      <c r="O80" t="str">
        <f>IF(N80,COUNTIF($N$5:N80,TRUE),"")</f>
        <v/>
      </c>
    </row>
    <row r="81" ht="46" customHeight="1">
      <c r="A81" s="26" t="inlineStr">
        <is>
          <t>BNK-17</t>
        </is>
      </c>
      <c r="B81" s="25" t="inlineStr">
        <is>
          <t>Banking &amp; payments</t>
        </is>
      </c>
      <c r="C81" s="25" t="inlineStr">
        <is>
          <t>Core operations &amp; service delivery</t>
        </is>
      </c>
      <c r="D81" s="26" t="inlineStr">
        <is>
          <t>Cheque &amp; instruction processing</t>
        </is>
      </c>
      <c r="E81" s="25" t="inlineStr">
        <is>
          <t>Manual keying of instructions</t>
        </is>
      </c>
      <c r="F81" s="25" t="inlineStr">
        <is>
          <t>Extract information from documents, forms or emails</t>
        </is>
      </c>
      <c r="G81" s="25" t="inlineStr">
        <is>
          <t>Intelligent document processing (IDP)</t>
        </is>
      </c>
      <c r="H81" s="25" t="inlineStr">
        <is>
          <t>IDP with signature-verification support and maker-checker for exceptions.</t>
        </is>
      </c>
      <c r="I81" s="25" t="inlineStr">
        <is>
          <t>Cheque images, mandates</t>
        </is>
      </c>
      <c r="J81" s="25" t="inlineStr">
        <is>
          <t>STP rate; errors</t>
        </is>
      </c>
      <c r="K81" s="25" t="inlineStr">
        <is>
          <t>Fraud controls on signature mismatch.</t>
        </is>
      </c>
      <c r="L81" s="25" t="inlineStr">
        <is>
          <t>Low</t>
        </is>
      </c>
      <c r="M81" t="inlineStr">
        <is>
          <t>BNK-17 | Cheque &amp; instruction processing</t>
        </is>
      </c>
      <c r="N81" t="b">
        <f>OR('1. AI Position'!$C$5="",'1. AI Position'!$C$5="Other",B81="Cross-industry",B81='1. AI Position'!$C$5)</f>
        <v>0</v>
      </c>
      <c r="O81" t="str">
        <f>IF(N81,COUNTIF($N$5:N81,TRUE),"")</f>
        <v/>
      </c>
    </row>
    <row r="82" ht="46" customHeight="1">
      <c r="A82" s="26" t="inlineStr">
        <is>
          <t>BNK-18</t>
        </is>
      </c>
      <c r="B82" s="25" t="inlineStr">
        <is>
          <t>Banking &amp; payments</t>
        </is>
      </c>
      <c r="C82" s="25" t="inlineStr">
        <is>
          <t>Sales &amp; marketing</t>
        </is>
      </c>
      <c r="D82" s="26" t="inlineStr">
        <is>
          <t>Relationship-manager meeting preparation</t>
        </is>
      </c>
      <c r="E82" s="25" t="inlineStr">
        <is>
          <t>RMs gather information from many systems</t>
        </is>
      </c>
      <c r="F82" s="25" t="inlineStr">
        <is>
          <t>Answer questions from internal knowledge, policies or past work</t>
        </is>
      </c>
      <c r="G82" s="25" t="inlineStr">
        <is>
          <t>GenAI knowledge assistant (RAG on own content)</t>
        </is>
      </c>
      <c r="H82" s="25" t="inlineStr">
        <is>
          <t>RM assistant summarising client relationship, products and news before meetings.</t>
        </is>
      </c>
      <c r="I82" s="25" t="inlineStr">
        <is>
          <t>CRM, product holdings, news</t>
        </is>
      </c>
      <c r="J82" s="25" t="inlineStr">
        <is>
          <t>Prep time; cross-sell</t>
        </is>
      </c>
      <c r="K82" s="25" t="inlineStr">
        <is>
          <t>Access control by RM portfolio; confidentiality.</t>
        </is>
      </c>
      <c r="L82" s="25" t="inlineStr">
        <is>
          <t>Low</t>
        </is>
      </c>
      <c r="M82" t="inlineStr">
        <is>
          <t>BNK-18 | Relationship-manager meeting preparation</t>
        </is>
      </c>
      <c r="N82" t="b">
        <f>OR('1. AI Position'!$C$5="",'1. AI Position'!$C$5="Other",B82="Cross-industry",B82='1. AI Position'!$C$5)</f>
        <v>0</v>
      </c>
      <c r="O82" t="str">
        <f>IF(N82,COUNTIF($N$5:N82,TRUE),"")</f>
        <v/>
      </c>
    </row>
    <row r="83" ht="46" customHeight="1">
      <c r="A83" s="26" t="inlineStr">
        <is>
          <t>BNK-19</t>
        </is>
      </c>
      <c r="B83" s="25" t="inlineStr">
        <is>
          <t>Banking &amp; payments</t>
        </is>
      </c>
      <c r="C83" s="25" t="inlineStr">
        <is>
          <t>Risk, compliance &amp; legal</t>
        </is>
      </c>
      <c r="D83" s="26" t="inlineStr">
        <is>
          <t>Model documentation &amp; validation reports</t>
        </is>
      </c>
      <c r="E83" s="25" t="inlineStr">
        <is>
          <t>Model documentation lags behind changes</t>
        </is>
      </c>
      <c r="F83" s="25" t="inlineStr">
        <is>
          <t>Draft, summarise, translate or review text</t>
        </is>
      </c>
      <c r="G83" s="25" t="inlineStr">
        <is>
          <t>Generative AI assistant (off-the-shelf)</t>
        </is>
      </c>
      <c r="H83" s="25" t="inlineStr">
        <is>
          <t>GenAI drafts model documentation from code and test results; validators review.</t>
        </is>
      </c>
      <c r="I83" s="25" t="inlineStr">
        <is>
          <t>Model code, test results, templates</t>
        </is>
      </c>
      <c r="J83" s="25" t="inlineStr">
        <is>
          <t>Documentation backlog; validation cycle time</t>
        </is>
      </c>
      <c r="K83" s="25" t="inlineStr">
        <is>
          <t>Model risk policy; independence of validation.</t>
        </is>
      </c>
      <c r="L83" s="25" t="inlineStr">
        <is>
          <t>Low</t>
        </is>
      </c>
      <c r="M83" t="inlineStr">
        <is>
          <t>BNK-19 | Model documentation &amp; validation reports</t>
        </is>
      </c>
      <c r="N83" t="b">
        <f>OR('1. AI Position'!$C$5="",'1. AI Position'!$C$5="Other",B83="Cross-industry",B83='1. AI Position'!$C$5)</f>
        <v>0</v>
      </c>
      <c r="O83" t="str">
        <f>IF(N83,COUNTIF($N$5:N83,TRUE),"")</f>
        <v/>
      </c>
    </row>
    <row r="84" ht="46" customHeight="1">
      <c r="A84" s="26" t="inlineStr">
        <is>
          <t>BNK-20</t>
        </is>
      </c>
      <c r="B84" s="25" t="inlineStr">
        <is>
          <t>Banking &amp; payments</t>
        </is>
      </c>
      <c r="C84" s="25" t="inlineStr">
        <is>
          <t>Customer service</t>
        </is>
      </c>
      <c r="D84" s="26" t="inlineStr">
        <is>
          <t>Card dispute &amp; chargeback handling</t>
        </is>
      </c>
      <c r="E84" s="25" t="inlineStr">
        <is>
          <t>Disputes handled across several systems</t>
        </is>
      </c>
      <c r="F84" s="25" t="inlineStr">
        <is>
          <t>Coordinate multi-step work across systems that needs judgement</t>
        </is>
      </c>
      <c r="G84" s="25" t="inlineStr">
        <is>
          <t>Agentic AI (supervised agents)</t>
        </is>
      </c>
      <c r="H84" s="25" t="inlineStr">
        <is>
          <t>Supervised agent gathers transaction evidence, pre-fills scheme forms and proposes outcome; staff approve submission.</t>
        </is>
      </c>
      <c r="I84" s="25" t="inlineStr">
        <is>
          <t>Transactions, scheme rules, customer messages</t>
        </is>
      </c>
      <c r="J84" s="25" t="inlineStr">
        <is>
          <t>Dispute cycle time; win rate; scheme deadlines met</t>
        </is>
      </c>
      <c r="K84" s="25" t="inlineStr">
        <is>
          <t>Card-scheme rules; human approval of every submission; agent least privilege.</t>
        </is>
      </c>
      <c r="L84" s="25" t="inlineStr">
        <is>
          <t>Medium</t>
        </is>
      </c>
      <c r="M84" t="inlineStr">
        <is>
          <t>BNK-20 | Card dispute &amp; chargeback handling</t>
        </is>
      </c>
      <c r="N84" t="b">
        <f>OR('1. AI Position'!$C$5="",'1. AI Position'!$C$5="Other",B84="Cross-industry",B84='1. AI Position'!$C$5)</f>
        <v>0</v>
      </c>
      <c r="O84" t="str">
        <f>IF(N84,COUNTIF($N$5:N84,TRUE),"")</f>
        <v/>
      </c>
    </row>
    <row r="85" ht="46" customHeight="1">
      <c r="A85" s="26" t="inlineStr">
        <is>
          <t>BNK-21</t>
        </is>
      </c>
      <c r="B85" s="25" t="inlineStr">
        <is>
          <t>Banking &amp; payments</t>
        </is>
      </c>
      <c r="C85" s="25" t="inlineStr">
        <is>
          <t>Risk, compliance &amp; legal</t>
        </is>
      </c>
      <c r="D85" s="26" t="inlineStr">
        <is>
          <t>IFRS 9 ECL staging &amp; overlays support</t>
        </is>
      </c>
      <c r="E85" s="25" t="inlineStr">
        <is>
          <t>Manual staging overrides and overlays</t>
        </is>
      </c>
      <c r="F85" s="25" t="inlineStr">
        <is>
          <t>Forecast, score, classify or detect anomalies from historical data</t>
        </is>
      </c>
      <c r="G85" s="25" t="inlineStr">
        <is>
          <t>Predictive analytics / machine learning</t>
        </is>
      </c>
      <c r="H85" s="25" t="inlineStr">
        <is>
          <t>ML early-warning indicators to support significant-increase-in-credit-risk staging; overlays documented.</t>
        </is>
      </c>
      <c r="I85" s="25" t="inlineStr">
        <is>
          <t>Loan performance history, macro data</t>
        </is>
      </c>
      <c r="J85" s="25" t="inlineStr">
        <is>
          <t>Staging accuracy; overlay size</t>
        </is>
      </c>
      <c r="K85" s="25" t="inlineStr">
        <is>
          <t>Model risk management; auditor and CBB scrutiny.</t>
        </is>
      </c>
      <c r="L85" s="25" t="inlineStr">
        <is>
          <t>Medium</t>
        </is>
      </c>
      <c r="M85" t="inlineStr">
        <is>
          <t>BNK-21 | IFRS 9 ECL staging &amp; overlays support</t>
        </is>
      </c>
      <c r="N85" t="b">
        <f>OR('1. AI Position'!$C$5="",'1. AI Position'!$C$5="Other",B85="Cross-industry",B85='1. AI Position'!$C$5)</f>
        <v>0</v>
      </c>
      <c r="O85" t="str">
        <f>IF(N85,COUNTIF($N$5:N85,TRUE),"")</f>
        <v/>
      </c>
    </row>
    <row r="86" ht="46" customHeight="1">
      <c r="A86" s="26" t="inlineStr">
        <is>
          <t>BNK-22</t>
        </is>
      </c>
      <c r="B86" s="25" t="inlineStr">
        <is>
          <t>Banking &amp; payments</t>
        </is>
      </c>
      <c r="C86" s="25" t="inlineStr">
        <is>
          <t>Risk, compliance &amp; legal</t>
        </is>
      </c>
      <c r="D86" s="26" t="inlineStr">
        <is>
          <t>Periodic KYC refresh</t>
        </is>
      </c>
      <c r="E86" s="25" t="inlineStr">
        <is>
          <t>KYC refresh backlog</t>
        </is>
      </c>
      <c r="F86" s="25" t="inlineStr">
        <is>
          <t>Coordinate multi-step work across systems that needs judgement</t>
        </is>
      </c>
      <c r="G86" s="25" t="inlineStr">
        <is>
          <t>Agentic AI (supervised agents)</t>
        </is>
      </c>
      <c r="H86" s="25" t="inlineStr">
        <is>
          <t>Supervised agent collects updated data, pre-fills the review and flags changes in risk; analyst approves.</t>
        </is>
      </c>
      <c r="I86" s="25" t="inlineStr">
        <is>
          <t>KYC files, transaction profile, screening</t>
        </is>
      </c>
      <c r="J86" s="25" t="inlineStr">
        <is>
          <t>Backlog; refresh time</t>
        </is>
      </c>
      <c r="K86" s="25" t="inlineStr">
        <is>
          <t>CBB FC; analyst accountable; agent audit trail.</t>
        </is>
      </c>
      <c r="L86" s="25" t="inlineStr">
        <is>
          <t>Medium</t>
        </is>
      </c>
      <c r="M86" t="inlineStr">
        <is>
          <t>BNK-22 | Periodic KYC refresh</t>
        </is>
      </c>
      <c r="N86" t="b">
        <f>OR('1. AI Position'!$C$5="",'1. AI Position'!$C$5="Other",B86="Cross-industry",B86='1. AI Position'!$C$5)</f>
        <v>0</v>
      </c>
      <c r="O86" t="str">
        <f>IF(N86,COUNTIF($N$5:N86,TRUE),"")</f>
        <v/>
      </c>
    </row>
    <row r="87" ht="46" customHeight="1">
      <c r="A87" s="26" t="inlineStr">
        <is>
          <t>BNK-23</t>
        </is>
      </c>
      <c r="B87" s="25" t="inlineStr">
        <is>
          <t>Banking &amp; payments</t>
        </is>
      </c>
      <c r="C87" s="25" t="inlineStr">
        <is>
          <t>Core operations &amp; service delivery</t>
        </is>
      </c>
      <c r="D87" s="26" t="inlineStr">
        <is>
          <t>Mortgage document verification</t>
        </is>
      </c>
      <c r="E87" s="25" t="inlineStr">
        <is>
          <t>Salary certificates and title deeds checked manually</t>
        </is>
      </c>
      <c r="F87" s="25" t="inlineStr">
        <is>
          <t>Extract information from documents, forms or emails</t>
        </is>
      </c>
      <c r="G87" s="25" t="inlineStr">
        <is>
          <t>Intelligent document processing (IDP)</t>
        </is>
      </c>
      <c r="H87" s="25" t="inlineStr">
        <is>
          <t>IDP with authenticity checks and data comparison against application.</t>
        </is>
      </c>
      <c r="I87" s="25" t="inlineStr">
        <is>
          <t>Salary certificates, title deeds, valuations</t>
        </is>
      </c>
      <c r="J87" s="25" t="inlineStr">
        <is>
          <t>Processing time; fraud detected</t>
        </is>
      </c>
      <c r="K87" s="25" t="inlineStr">
        <is>
          <t>Document-fraud controls.</t>
        </is>
      </c>
      <c r="L87" s="25" t="inlineStr">
        <is>
          <t>Low</t>
        </is>
      </c>
      <c r="M87" t="inlineStr">
        <is>
          <t>BNK-23 | Mortgage document verification</t>
        </is>
      </c>
      <c r="N87" t="b">
        <f>OR('1. AI Position'!$C$5="",'1. AI Position'!$C$5="Other",B87="Cross-industry",B87='1. AI Position'!$C$5)</f>
        <v>0</v>
      </c>
      <c r="O87" t="str">
        <f>IF(N87,COUNTIF($N$5:N87,TRUE),"")</f>
        <v/>
      </c>
    </row>
    <row r="88" ht="46" customHeight="1">
      <c r="A88" s="26" t="inlineStr">
        <is>
          <t>INS-01</t>
        </is>
      </c>
      <c r="B88" s="25" t="inlineStr">
        <is>
          <t>Insurance</t>
        </is>
      </c>
      <c r="C88" s="25" t="inlineStr">
        <is>
          <t>Customer service</t>
        </is>
      </c>
      <c r="D88" s="26" t="inlineStr">
        <is>
          <t>Claims first notification of loss (FNOL)</t>
        </is>
      </c>
      <c r="E88" s="25" t="inlineStr">
        <is>
          <t>Claim forms keyed manually</t>
        </is>
      </c>
      <c r="F88" s="25" t="inlineStr">
        <is>
          <t>Extract information from documents, forms or emails</t>
        </is>
      </c>
      <c r="G88" s="25" t="inlineStr">
        <is>
          <t>Intelligent document processing (IDP)</t>
        </is>
      </c>
      <c r="H88" s="25" t="inlineStr">
        <is>
          <t>Digital FNOL with IDP of forms and photos, automatic policy validation and claim creation.</t>
        </is>
      </c>
      <c r="I88" s="25" t="inlineStr">
        <is>
          <t>Claim forms, policy data</t>
        </is>
      </c>
      <c r="J88" s="25" t="inlineStr">
        <is>
          <t>FNOL-to-registration time; data errors</t>
        </is>
      </c>
      <c r="K88" s="25" t="inlineStr">
        <is>
          <t>PDPL; health data in medical claims is sensitive.</t>
        </is>
      </c>
      <c r="L88" s="25" t="inlineStr">
        <is>
          <t>Low</t>
        </is>
      </c>
      <c r="M88" t="inlineStr">
        <is>
          <t>INS-01 | Claims first notification of loss (FNOL)</t>
        </is>
      </c>
      <c r="N88" t="b">
        <f>OR('1. AI Position'!$C$5="",'1. AI Position'!$C$5="Other",B88="Cross-industry",B88='1. AI Position'!$C$5)</f>
        <v>0</v>
      </c>
      <c r="O88" t="str">
        <f>IF(N88,COUNTIF($N$5:N88,TRUE),"")</f>
        <v/>
      </c>
    </row>
    <row r="89" ht="46" customHeight="1">
      <c r="A89" s="26" t="inlineStr">
        <is>
          <t>INS-02</t>
        </is>
      </c>
      <c r="B89" s="25" t="inlineStr">
        <is>
          <t>Insurance</t>
        </is>
      </c>
      <c r="C89" s="25" t="inlineStr">
        <is>
          <t>Core operations &amp; service delivery</t>
        </is>
      </c>
      <c r="D89" s="26" t="inlineStr">
        <is>
          <t>Motor damage assessment from photos</t>
        </is>
      </c>
      <c r="E89" s="25" t="inlineStr">
        <is>
          <t>Surveyor visits for minor claims</t>
        </is>
      </c>
      <c r="F89" s="25" t="inlineStr">
        <is>
          <t>Recognise or inspect images, video or speech</t>
        </is>
      </c>
      <c r="G89" s="25" t="inlineStr">
        <is>
          <t>Computer vision / speech AI</t>
        </is>
      </c>
      <c r="H89" s="25" t="inlineStr">
        <is>
          <t>Computer-vision damage estimation for low-value motor claims with adjuster approval.</t>
        </is>
      </c>
      <c r="I89" s="25" t="inlineStr">
        <is>
          <t>Labelled damage photos, repair costs</t>
        </is>
      </c>
      <c r="J89" s="25" t="inlineStr">
        <is>
          <t>Cycle time; leakage; customer satisfaction</t>
        </is>
      </c>
      <c r="K89" s="25" t="inlineStr">
        <is>
          <t>Explain decisions; human review of declines.</t>
        </is>
      </c>
      <c r="L89" s="25" t="inlineStr">
        <is>
          <t>Medium</t>
        </is>
      </c>
      <c r="M89" t="inlineStr">
        <is>
          <t>INS-02 | Motor damage assessment from photos</t>
        </is>
      </c>
      <c r="N89" t="b">
        <f>OR('1. AI Position'!$C$5="",'1. AI Position'!$C$5="Other",B89="Cross-industry",B89='1. AI Position'!$C$5)</f>
        <v>0</v>
      </c>
      <c r="O89" t="str">
        <f>IF(N89,COUNTIF($N$5:N89,TRUE),"")</f>
        <v/>
      </c>
    </row>
    <row r="90" ht="46" customHeight="1">
      <c r="A90" s="26" t="inlineStr">
        <is>
          <t>INS-03</t>
        </is>
      </c>
      <c r="B90" s="25" t="inlineStr">
        <is>
          <t>Insurance</t>
        </is>
      </c>
      <c r="C90" s="25" t="inlineStr">
        <is>
          <t>Risk, compliance &amp; legal</t>
        </is>
      </c>
      <c r="D90" s="26" t="inlineStr">
        <is>
          <t>Claims fraud detection</t>
        </is>
      </c>
      <c r="E90" s="25" t="inlineStr">
        <is>
          <t>Fraud detected late or not at all</t>
        </is>
      </c>
      <c r="F90" s="25" t="inlineStr">
        <is>
          <t>Forecast, score, classify or detect anomalies from historical data</t>
        </is>
      </c>
      <c r="G90" s="25" t="inlineStr">
        <is>
          <t>Predictive analytics / machine learning</t>
        </is>
      </c>
      <c r="H90" s="25" t="inlineStr">
        <is>
          <t>ML / network analytics fraud scoring to refer suspicious claims to SIU; no automatic rejection.</t>
        </is>
      </c>
      <c r="I90" s="25" t="inlineStr">
        <is>
          <t>Claims history with confirmed fraud outcomes</t>
        </is>
      </c>
      <c r="J90" s="25" t="inlineStr">
        <is>
          <t>Fraud savings; referral hit rate</t>
        </is>
      </c>
      <c r="K90" s="25" t="inlineStr">
        <is>
          <t>Fair treatment; human decision; model validation.</t>
        </is>
      </c>
      <c r="L90" s="25" t="inlineStr">
        <is>
          <t>Medium</t>
        </is>
      </c>
      <c r="M90" t="inlineStr">
        <is>
          <t>INS-03 | Claims fraud detection</t>
        </is>
      </c>
      <c r="N90" t="b">
        <f>OR('1. AI Position'!$C$5="",'1. AI Position'!$C$5="Other",B90="Cross-industry",B90='1. AI Position'!$C$5)</f>
        <v>0</v>
      </c>
      <c r="O90" t="str">
        <f>IF(N90,COUNTIF($N$5:N90,TRUE),"")</f>
        <v/>
      </c>
    </row>
    <row r="91" ht="46" customHeight="1">
      <c r="A91" s="26" t="inlineStr">
        <is>
          <t>INS-04</t>
        </is>
      </c>
      <c r="B91" s="25" t="inlineStr">
        <is>
          <t>Insurance</t>
        </is>
      </c>
      <c r="C91" s="25" t="inlineStr">
        <is>
          <t>Core operations &amp; service delivery</t>
        </is>
      </c>
      <c r="D91" s="26" t="inlineStr">
        <is>
          <t>Fast-track settlement of low-value claims</t>
        </is>
      </c>
      <c r="E91" s="25" t="inlineStr">
        <is>
          <t>Simple claims queue behind complex ones</t>
        </is>
      </c>
      <c r="F91" s="25" t="inlineStr">
        <is>
          <t>Check or approve items against fixed criteria (rules, thresholds, checklists)</t>
        </is>
      </c>
      <c r="G91" s="25" t="inlineStr">
        <is>
          <t>Rules engine / workflow automation</t>
        </is>
      </c>
      <c r="H91" s="25" t="inlineStr">
        <is>
          <t>Rules-based straight-through settlement for low-value, low-risk claims; ML triage added later.</t>
        </is>
      </c>
      <c r="I91" s="25" t="inlineStr">
        <is>
          <t>Claims data, coverage rules</t>
        </is>
      </c>
      <c r="J91" s="25" t="inlineStr">
        <is>
          <t>STP rate; settlement time</t>
        </is>
      </c>
      <c r="K91" s="25" t="inlineStr">
        <is>
          <t>Authority limits; audit sampling.</t>
        </is>
      </c>
      <c r="L91" s="25" t="inlineStr">
        <is>
          <t>Low</t>
        </is>
      </c>
      <c r="M91" t="inlineStr">
        <is>
          <t>INS-04 | Fast-track settlement of low-value claims</t>
        </is>
      </c>
      <c r="N91" t="b">
        <f>OR('1. AI Position'!$C$5="",'1. AI Position'!$C$5="Other",B91="Cross-industry",B91='1. AI Position'!$C$5)</f>
        <v>0</v>
      </c>
      <c r="O91" t="str">
        <f>IF(N91,COUNTIF($N$5:N91,TRUE),"")</f>
        <v/>
      </c>
    </row>
    <row r="92" ht="46" customHeight="1">
      <c r="A92" s="26" t="inlineStr">
        <is>
          <t>INS-05</t>
        </is>
      </c>
      <c r="B92" s="25" t="inlineStr">
        <is>
          <t>Insurance</t>
        </is>
      </c>
      <c r="C92" s="25" t="inlineStr">
        <is>
          <t>Core operations &amp; service delivery</t>
        </is>
      </c>
      <c r="D92" s="26" t="inlineStr">
        <is>
          <t>Medical claims adjudication</t>
        </is>
      </c>
      <c r="E92" s="25" t="inlineStr">
        <is>
          <t>Invoices and codes checked manually</t>
        </is>
      </c>
      <c r="F92" s="25" t="inlineStr">
        <is>
          <t>Extract information from documents, forms or emails</t>
        </is>
      </c>
      <c r="G92" s="25" t="inlineStr">
        <is>
          <t>Intelligent document processing (IDP)</t>
        </is>
      </c>
      <c r="H92" s="25" t="inlineStr">
        <is>
          <t>IDP of invoices, coding-validation rules and anomaly flags (e.g., upcoding) for adjudicators.</t>
        </is>
      </c>
      <c r="I92" s="25" t="inlineStr">
        <is>
          <t>Medical invoices, ICD / CPT codes, provider contracts</t>
        </is>
      </c>
      <c r="J92" s="25" t="inlineStr">
        <is>
          <t>Adjudication time; leakage; provider disputes</t>
        </is>
      </c>
      <c r="K92" s="25" t="inlineStr">
        <is>
          <t>Health data - sensitive under PDPL; NHRA provider rules.</t>
        </is>
      </c>
      <c r="L92" s="25" t="inlineStr">
        <is>
          <t>Medium</t>
        </is>
      </c>
      <c r="M92" t="inlineStr">
        <is>
          <t>INS-05 | Medical claims adjudication</t>
        </is>
      </c>
      <c r="N92" t="b">
        <f>OR('1. AI Position'!$C$5="",'1. AI Position'!$C$5="Other",B92="Cross-industry",B92='1. AI Position'!$C$5)</f>
        <v>0</v>
      </c>
      <c r="O92" t="str">
        <f>IF(N92,COUNTIF($N$5:N92,TRUE),"")</f>
        <v/>
      </c>
    </row>
    <row r="93" ht="46" customHeight="1">
      <c r="A93" s="26" t="inlineStr">
        <is>
          <t>INS-06</t>
        </is>
      </c>
      <c r="B93" s="25" t="inlineStr">
        <is>
          <t>Insurance</t>
        </is>
      </c>
      <c r="C93" s="25" t="inlineStr">
        <is>
          <t>Core operations &amp; service delivery</t>
        </is>
      </c>
      <c r="D93" s="26" t="inlineStr">
        <is>
          <t>Commercial underwriting submissions</t>
        </is>
      </c>
      <c r="E93" s="25" t="inlineStr">
        <is>
          <t>Broker submissions read manually</t>
        </is>
      </c>
      <c r="F93" s="25" t="inlineStr">
        <is>
          <t>Extract information from documents, forms or emails</t>
        </is>
      </c>
      <c r="G93" s="25" t="inlineStr">
        <is>
          <t>Intelligent document processing (IDP)</t>
        </is>
      </c>
      <c r="H93" s="25" t="inlineStr">
        <is>
          <t>IDP extracts risk data from broker submissions into the underwriting workbench with GenAI summary.</t>
        </is>
      </c>
      <c r="I93" s="25" t="inlineStr">
        <is>
          <t>Submissions, schedules, loss runs</t>
        </is>
      </c>
      <c r="J93" s="25" t="inlineStr">
        <is>
          <t>Quote turnaround; submissions handled per underwriter</t>
        </is>
      </c>
      <c r="K93" s="25" t="inlineStr">
        <is>
          <t>Underwriter decision retained.</t>
        </is>
      </c>
      <c r="L93" s="25" t="inlineStr">
        <is>
          <t>Low</t>
        </is>
      </c>
      <c r="M93" t="inlineStr">
        <is>
          <t>INS-06 | Commercial underwriting submissions</t>
        </is>
      </c>
      <c r="N93" t="b">
        <f>OR('1. AI Position'!$C$5="",'1. AI Position'!$C$5="Other",B93="Cross-industry",B93='1. AI Position'!$C$5)</f>
        <v>0</v>
      </c>
      <c r="O93" t="str">
        <f>IF(N93,COUNTIF($N$5:N93,TRUE),"")</f>
        <v/>
      </c>
    </row>
    <row r="94" ht="46" customHeight="1">
      <c r="A94" s="26" t="inlineStr">
        <is>
          <t>INS-07</t>
        </is>
      </c>
      <c r="B94" s="25" t="inlineStr">
        <is>
          <t>Insurance</t>
        </is>
      </c>
      <c r="C94" s="25" t="inlineStr">
        <is>
          <t>Core operations &amp; service delivery</t>
        </is>
      </c>
      <c r="D94" s="26" t="inlineStr">
        <is>
          <t>Life &amp; health underwriting risk scoring</t>
        </is>
      </c>
      <c r="E94" s="25" t="inlineStr">
        <is>
          <t>Slow medical underwriting</t>
        </is>
      </c>
      <c r="F94" s="25" t="inlineStr">
        <is>
          <t>Forecast, score, classify or detect anomalies from historical data</t>
        </is>
      </c>
      <c r="G94" s="25" t="inlineStr">
        <is>
          <t>Predictive analytics / machine learning</t>
        </is>
      </c>
      <c r="H94" s="25" t="inlineStr">
        <is>
          <t>Explainable risk-scoring support for underwriters with bias testing and documented overrides.</t>
        </is>
      </c>
      <c r="I94" s="25" t="inlineStr">
        <is>
          <t>Applications, medical disclosures, claims experience</t>
        </is>
      </c>
      <c r="J94" s="25" t="inlineStr">
        <is>
          <t>Decision time; loss ratio</t>
        </is>
      </c>
      <c r="K94" s="25" t="inlineStr">
        <is>
          <t>HIGH-RISK: EU AI Act Annex III 5(c) risk assessment &amp; pricing in life and health insurance; health data; CBB.</t>
        </is>
      </c>
      <c r="L94" s="25" t="inlineStr">
        <is>
          <t>High</t>
        </is>
      </c>
      <c r="M94" t="inlineStr">
        <is>
          <t>INS-07 | Life &amp; health underwriting risk scoring</t>
        </is>
      </c>
      <c r="N94" t="b">
        <f>OR('1. AI Position'!$C$5="",'1. AI Position'!$C$5="Other",B94="Cross-industry",B94='1. AI Position'!$C$5)</f>
        <v>0</v>
      </c>
      <c r="O94" t="str">
        <f>IF(N94,COUNTIF($N$5:N94,TRUE),"")</f>
        <v/>
      </c>
    </row>
    <row r="95" ht="46" customHeight="1">
      <c r="A95" s="26" t="inlineStr">
        <is>
          <t>INS-08</t>
        </is>
      </c>
      <c r="B95" s="25" t="inlineStr">
        <is>
          <t>Insurance</t>
        </is>
      </c>
      <c r="C95" s="25" t="inlineStr">
        <is>
          <t>Core operations &amp; service delivery</t>
        </is>
      </c>
      <c r="D95" s="26" t="inlineStr">
        <is>
          <t>Motor pricing &amp; renewal optimisation</t>
        </is>
      </c>
      <c r="E95" s="25" t="inlineStr">
        <is>
          <t>Static tariffs; retention losses</t>
        </is>
      </c>
      <c r="F95" s="25" t="inlineStr">
        <is>
          <t>Forecast, score, classify or detect anomalies from historical data</t>
        </is>
      </c>
      <c r="G95" s="25" t="inlineStr">
        <is>
          <t>Predictive analytics / machine learning</t>
        </is>
      </c>
      <c r="H95" s="25" t="inlineStr">
        <is>
          <t>ML risk models within actuarially approved pricing; fairness checks across customer groups.</t>
        </is>
      </c>
      <c r="I95" s="25" t="inlineStr">
        <is>
          <t>Policy, claims, telematics (if any)</t>
        </is>
      </c>
      <c r="J95" s="25" t="inlineStr">
        <is>
          <t>Loss ratio; retention</t>
        </is>
      </c>
      <c r="K95" s="25" t="inlineStr">
        <is>
          <t>CBB pricing rules; avoid prohibited attributes.</t>
        </is>
      </c>
      <c r="L95" s="25" t="inlineStr">
        <is>
          <t>Medium</t>
        </is>
      </c>
      <c r="M95" t="inlineStr">
        <is>
          <t>INS-08 | Motor pricing &amp; renewal optimisation</t>
        </is>
      </c>
      <c r="N95" t="b">
        <f>OR('1. AI Position'!$C$5="",'1. AI Position'!$C$5="Other",B95="Cross-industry",B95='1. AI Position'!$C$5)</f>
        <v>0</v>
      </c>
      <c r="O95" t="str">
        <f>IF(N95,COUNTIF($N$5:N95,TRUE),"")</f>
        <v/>
      </c>
    </row>
    <row r="96" ht="46" customHeight="1">
      <c r="A96" s="26" t="inlineStr">
        <is>
          <t>INS-09</t>
        </is>
      </c>
      <c r="B96" s="25" t="inlineStr">
        <is>
          <t>Insurance</t>
        </is>
      </c>
      <c r="C96" s="25" t="inlineStr">
        <is>
          <t>Core operations &amp; service delivery</t>
        </is>
      </c>
      <c r="D96" s="26" t="inlineStr">
        <is>
          <t>Policy servicing (endorsements, certificates)</t>
        </is>
      </c>
      <c r="E96" s="25" t="inlineStr">
        <is>
          <t>Endorsements keyed manually</t>
        </is>
      </c>
      <c r="F96" s="25" t="inlineStr">
        <is>
          <t>Move or re-key data between systems following fixed rules</t>
        </is>
      </c>
      <c r="G96" s="25" t="inlineStr">
        <is>
          <t>Workflow automation / RPA</t>
        </is>
      </c>
      <c r="H96" s="25" t="inlineStr">
        <is>
          <t>Automate endorsements and certificate issuance via portal and RPA.</t>
        </is>
      </c>
      <c r="I96" s="25" t="inlineStr">
        <is>
          <t>Policy admin system</t>
        </is>
      </c>
      <c r="J96" s="25" t="inlineStr">
        <is>
          <t>Turnaround; errors</t>
        </is>
      </c>
      <c r="K96" s="25" t="inlineStr">
        <is>
          <t>-</t>
        </is>
      </c>
      <c r="L96" s="25" t="inlineStr">
        <is>
          <t>Low</t>
        </is>
      </c>
      <c r="M96" t="inlineStr">
        <is>
          <t>INS-09 | Policy servicing (endorsements, certificates)</t>
        </is>
      </c>
      <c r="N96" t="b">
        <f>OR('1. AI Position'!$C$5="",'1. AI Position'!$C$5="Other",B96="Cross-industry",B96='1. AI Position'!$C$5)</f>
        <v>0</v>
      </c>
      <c r="O96" t="str">
        <f>IF(N96,COUNTIF($N$5:N96,TRUE),"")</f>
        <v/>
      </c>
    </row>
    <row r="97" ht="46" customHeight="1">
      <c r="A97" s="26" t="inlineStr">
        <is>
          <t>INS-10</t>
        </is>
      </c>
      <c r="B97" s="25" t="inlineStr">
        <is>
          <t>Insurance</t>
        </is>
      </c>
      <c r="C97" s="25" t="inlineStr">
        <is>
          <t>Customer service</t>
        </is>
      </c>
      <c r="D97" s="26" t="inlineStr">
        <is>
          <t>Policyholder virtual assistant</t>
        </is>
      </c>
      <c r="E97" s="25" t="inlineStr">
        <is>
          <t>Calls on claim status and documents</t>
        </is>
      </c>
      <c r="F97" s="25" t="inlineStr">
        <is>
          <t>Converse with customers, citizens or staff (chat, voice, WhatsApp)</t>
        </is>
      </c>
      <c r="G97" s="25" t="inlineStr">
        <is>
          <t>Conversational AI / virtual agent</t>
        </is>
      </c>
      <c r="H97" s="25" t="inlineStr">
        <is>
          <t>Virtual assistant for claim status, documents and FAQs; hand-off to agents.</t>
        </is>
      </c>
      <c r="I97" s="25" t="inlineStr">
        <is>
          <t>Claims / policy APIs, FAQs</t>
        </is>
      </c>
      <c r="J97" s="25" t="inlineStr">
        <is>
          <t>Containment; CSAT</t>
        </is>
      </c>
      <c r="K97" s="25" t="inlineStr">
        <is>
          <t>Disclose AI; authentication.</t>
        </is>
      </c>
      <c r="L97" s="25" t="inlineStr">
        <is>
          <t>Medium</t>
        </is>
      </c>
      <c r="M97" t="inlineStr">
        <is>
          <t>INS-10 | Policyholder virtual assistant</t>
        </is>
      </c>
      <c r="N97" t="b">
        <f>OR('1. AI Position'!$C$5="",'1. AI Position'!$C$5="Other",B97="Cross-industry",B97='1. AI Position'!$C$5)</f>
        <v>0</v>
      </c>
      <c r="O97" t="str">
        <f>IF(N97,COUNTIF($N$5:N97,TRUE),"")</f>
        <v/>
      </c>
    </row>
    <row r="98" ht="46" customHeight="1">
      <c r="A98" s="26" t="inlineStr">
        <is>
          <t>INS-11</t>
        </is>
      </c>
      <c r="B98" s="25" t="inlineStr">
        <is>
          <t>Insurance</t>
        </is>
      </c>
      <c r="C98" s="25" t="inlineStr">
        <is>
          <t>Sales &amp; marketing</t>
        </is>
      </c>
      <c r="D98" s="26" t="inlineStr">
        <is>
          <t>Broker / agent support assistant</t>
        </is>
      </c>
      <c r="E98" s="25" t="inlineStr">
        <is>
          <t>Brokers wait for product answers</t>
        </is>
      </c>
      <c r="F98" s="25" t="inlineStr">
        <is>
          <t>Answer questions from internal knowledge, policies or past work</t>
        </is>
      </c>
      <c r="G98" s="25" t="inlineStr">
        <is>
          <t>GenAI knowledge assistant (RAG on own content)</t>
        </is>
      </c>
      <c r="H98" s="25" t="inlineStr">
        <is>
          <t>Grounded assistant over product wordings and underwriting guidelines for brokers and agents.</t>
        </is>
      </c>
      <c r="I98" s="25" t="inlineStr">
        <is>
          <t>Wordings, guidelines</t>
        </is>
      </c>
      <c r="J98" s="25" t="inlineStr">
        <is>
          <t>Response time; broker satisfaction</t>
        </is>
      </c>
      <c r="K98" s="25" t="inlineStr">
        <is>
          <t>Answers cite wording; no binding of cover by AI.</t>
        </is>
      </c>
      <c r="L98" s="25" t="inlineStr">
        <is>
          <t>Low</t>
        </is>
      </c>
      <c r="M98" t="inlineStr">
        <is>
          <t>INS-11 | Broker / agent support assistant</t>
        </is>
      </c>
      <c r="N98" t="b">
        <f>OR('1. AI Position'!$C$5="",'1. AI Position'!$C$5="Other",B98="Cross-industry",B98='1. AI Position'!$C$5)</f>
        <v>0</v>
      </c>
      <c r="O98" t="str">
        <f>IF(N98,COUNTIF($N$5:N98,TRUE),"")</f>
        <v/>
      </c>
    </row>
    <row r="99" ht="46" customHeight="1">
      <c r="A99" s="26" t="inlineStr">
        <is>
          <t>INS-12</t>
        </is>
      </c>
      <c r="B99" s="25" t="inlineStr">
        <is>
          <t>Insurance</t>
        </is>
      </c>
      <c r="C99" s="25" t="inlineStr">
        <is>
          <t>Finance &amp; accounting</t>
        </is>
      </c>
      <c r="D99" s="26" t="inlineStr">
        <is>
          <t>Reinsurance bordereaux processing</t>
        </is>
      </c>
      <c r="E99" s="25" t="inlineStr">
        <is>
          <t>Spreadsheets in many formats</t>
        </is>
      </c>
      <c r="F99" s="25" t="inlineStr">
        <is>
          <t>Extract information from documents, forms or emails</t>
        </is>
      </c>
      <c r="G99" s="25" t="inlineStr">
        <is>
          <t>Intelligent document processing (IDP)</t>
        </is>
      </c>
      <c r="H99" s="25" t="inlineStr">
        <is>
          <t>IDP / data-transformation pipeline standardising bordereaux and validating against treaties.</t>
        </is>
      </c>
      <c r="I99" s="25" t="inlineStr">
        <is>
          <t>Bordereaux files, treaty terms</t>
        </is>
      </c>
      <c r="J99" s="25" t="inlineStr">
        <is>
          <t>Processing time; reconciliation breaks</t>
        </is>
      </c>
      <c r="K99" s="25" t="inlineStr">
        <is>
          <t>-</t>
        </is>
      </c>
      <c r="L99" s="25" t="inlineStr">
        <is>
          <t>Low</t>
        </is>
      </c>
      <c r="M99" t="inlineStr">
        <is>
          <t>INS-12 | Reinsurance bordereaux processing</t>
        </is>
      </c>
      <c r="N99" t="b">
        <f>OR('1. AI Position'!$C$5="",'1. AI Position'!$C$5="Other",B99="Cross-industry",B99='1. AI Position'!$C$5)</f>
        <v>0</v>
      </c>
      <c r="O99" t="str">
        <f>IF(N99,COUNTIF($N$5:N99,TRUE),"")</f>
        <v/>
      </c>
    </row>
    <row r="100" ht="46" customHeight="1">
      <c r="A100" s="26" t="inlineStr">
        <is>
          <t>INS-13</t>
        </is>
      </c>
      <c r="B100" s="25" t="inlineStr">
        <is>
          <t>Insurance</t>
        </is>
      </c>
      <c r="C100" s="25" t="inlineStr">
        <is>
          <t>Finance &amp; accounting</t>
        </is>
      </c>
      <c r="D100" s="26" t="inlineStr">
        <is>
          <t>IFRS 17 data preparation &amp; reconciliation</t>
        </is>
      </c>
      <c r="E100" s="25" t="inlineStr">
        <is>
          <t>Manual data preparation each quarter</t>
        </is>
      </c>
      <c r="F100" s="25" t="inlineStr">
        <is>
          <t>Produce reports, dashboards or reconciliations from existing data</t>
        </is>
      </c>
      <c r="G100" s="25" t="inlineStr">
        <is>
          <t>BI, dashboards &amp; reconciliation automation</t>
        </is>
      </c>
      <c r="H100" s="25" t="inlineStr">
        <is>
          <t>Automated data pipelines, validation and reconciliation dashboards for IFRS 17.</t>
        </is>
      </c>
      <c r="I100" s="25" t="inlineStr">
        <is>
          <t>Policy, claims, finance data</t>
        </is>
      </c>
      <c r="J100" s="25" t="inlineStr">
        <is>
          <t>Close time; reconciliation breaks</t>
        </is>
      </c>
      <c r="K100" s="25" t="inlineStr">
        <is>
          <t>Audit trail.</t>
        </is>
      </c>
      <c r="L100" s="25" t="inlineStr">
        <is>
          <t>Low</t>
        </is>
      </c>
      <c r="M100" t="inlineStr">
        <is>
          <t>INS-13 | IFRS 17 data preparation &amp; reconciliation</t>
        </is>
      </c>
      <c r="N100" t="b">
        <f>OR('1. AI Position'!$C$5="",'1. AI Position'!$C$5="Other",B100="Cross-industry",B100='1. AI Position'!$C$5)</f>
        <v>0</v>
      </c>
      <c r="O100" t="str">
        <f>IF(N100,COUNTIF($N$5:N100,TRUE),"")</f>
        <v/>
      </c>
    </row>
    <row r="101" ht="46" customHeight="1">
      <c r="A101" s="26" t="inlineStr">
        <is>
          <t>INS-14</t>
        </is>
      </c>
      <c r="B101" s="25" t="inlineStr">
        <is>
          <t>Insurance</t>
        </is>
      </c>
      <c r="C101" s="25" t="inlineStr">
        <is>
          <t>Core operations &amp; service delivery</t>
        </is>
      </c>
      <c r="D101" s="26" t="inlineStr">
        <is>
          <t>Policy wording comparison</t>
        </is>
      </c>
      <c r="E101" s="25" t="inlineStr">
        <is>
          <t>Comparing wordings clause by clause</t>
        </is>
      </c>
      <c r="F101" s="25" t="inlineStr">
        <is>
          <t>Draft, summarise, translate or review text</t>
        </is>
      </c>
      <c r="G101" s="25" t="inlineStr">
        <is>
          <t>Generative AI assistant (off-the-shelf)</t>
        </is>
      </c>
      <c r="H101" s="25" t="inlineStr">
        <is>
          <t>GenAI comparison of wordings against the standard with highlighted deviations for legal review.</t>
        </is>
      </c>
      <c r="I101" s="25" t="inlineStr">
        <is>
          <t>Wordings, standard clauses</t>
        </is>
      </c>
      <c r="J101" s="25" t="inlineStr">
        <is>
          <t>Review time</t>
        </is>
      </c>
      <c r="K101" s="25" t="inlineStr">
        <is>
          <t>Legal review of conclusions.</t>
        </is>
      </c>
      <c r="L101" s="25" t="inlineStr">
        <is>
          <t>Low</t>
        </is>
      </c>
      <c r="M101" t="inlineStr">
        <is>
          <t>INS-14 | Policy wording comparison</t>
        </is>
      </c>
      <c r="N101" t="b">
        <f>OR('1. AI Position'!$C$5="",'1. AI Position'!$C$5="Other",B101="Cross-industry",B101='1. AI Position'!$C$5)</f>
        <v>0</v>
      </c>
      <c r="O101" t="str">
        <f>IF(N101,COUNTIF($N$5:N101,TRUE),"")</f>
        <v/>
      </c>
    </row>
    <row r="102" ht="46" customHeight="1">
      <c r="A102" s="26" t="inlineStr">
        <is>
          <t>INS-15</t>
        </is>
      </c>
      <c r="B102" s="25" t="inlineStr">
        <is>
          <t>Insurance</t>
        </is>
      </c>
      <c r="C102" s="25" t="inlineStr">
        <is>
          <t>Finance &amp; accounting</t>
        </is>
      </c>
      <c r="D102" s="26" t="inlineStr">
        <is>
          <t>Subrogation &amp; recovery identification</t>
        </is>
      </c>
      <c r="E102" s="25" t="inlineStr">
        <is>
          <t>Recovery opportunities missed</t>
        </is>
      </c>
      <c r="F102" s="25" t="inlineStr">
        <is>
          <t>Forecast, score, classify or detect anomalies from historical data</t>
        </is>
      </c>
      <c r="G102" s="25" t="inlineStr">
        <is>
          <t>Predictive analytics / machine learning</t>
        </is>
      </c>
      <c r="H102" s="25" t="inlineStr">
        <is>
          <t>ML flags claims with recovery potential from claim notes and data.</t>
        </is>
      </c>
      <c r="I102" s="25" t="inlineStr">
        <is>
          <t>Claims notes and recovery history</t>
        </is>
      </c>
      <c r="J102" s="25" t="inlineStr">
        <is>
          <t>Recovery amount; identification rate</t>
        </is>
      </c>
      <c r="K102" s="25" t="inlineStr">
        <is>
          <t>-</t>
        </is>
      </c>
      <c r="L102" s="25" t="inlineStr">
        <is>
          <t>Low</t>
        </is>
      </c>
      <c r="M102" t="inlineStr">
        <is>
          <t>INS-15 | Subrogation &amp; recovery identification</t>
        </is>
      </c>
      <c r="N102" t="b">
        <f>OR('1. AI Position'!$C$5="",'1. AI Position'!$C$5="Other",B102="Cross-industry",B102='1. AI Position'!$C$5)</f>
        <v>0</v>
      </c>
      <c r="O102" t="str">
        <f>IF(N102,COUNTIF($N$5:N102,TRUE),"")</f>
        <v/>
      </c>
    </row>
    <row r="103" ht="46" customHeight="1">
      <c r="A103" s="26" t="inlineStr">
        <is>
          <t>INS-16</t>
        </is>
      </c>
      <c r="B103" s="25" t="inlineStr">
        <is>
          <t>Insurance</t>
        </is>
      </c>
      <c r="C103" s="25" t="inlineStr">
        <is>
          <t>Risk, compliance &amp; legal</t>
        </is>
      </c>
      <c r="D103" s="26" t="inlineStr">
        <is>
          <t>Takaful / Sharia-compliance research</t>
        </is>
      </c>
      <c r="E103" s="25" t="inlineStr">
        <is>
          <t>Scholars' rulings hard to search</t>
        </is>
      </c>
      <c r="F103" s="25" t="inlineStr">
        <is>
          <t>Answer questions from internal knowledge, policies or past work</t>
        </is>
      </c>
      <c r="G103" s="25" t="inlineStr">
        <is>
          <t>GenAI knowledge assistant (RAG on own content)</t>
        </is>
      </c>
      <c r="H103" s="25" t="inlineStr">
        <is>
          <t>Knowledge assistant over approved Sharia board resolutions and standards with citations.</t>
        </is>
      </c>
      <c r="I103" s="25" t="inlineStr">
        <is>
          <t>Sharia board resolutions, AAOIFI standards</t>
        </is>
      </c>
      <c r="J103" s="25" t="inlineStr">
        <is>
          <t>Research time</t>
        </is>
      </c>
      <c r="K103" s="25" t="inlineStr">
        <is>
          <t>Sharia supervisory board remains decision-maker.</t>
        </is>
      </c>
      <c r="L103" s="25" t="inlineStr">
        <is>
          <t>Low</t>
        </is>
      </c>
      <c r="M103" t="inlineStr">
        <is>
          <t>INS-16 | Takaful / Sharia-compliance research</t>
        </is>
      </c>
      <c r="N103" t="b">
        <f>OR('1. AI Position'!$C$5="",'1. AI Position'!$C$5="Other",B103="Cross-industry",B103='1. AI Position'!$C$5)</f>
        <v>0</v>
      </c>
      <c r="O103" t="str">
        <f>IF(N103,COUNTIF($N$5:N103,TRUE),"")</f>
        <v/>
      </c>
    </row>
    <row r="104" ht="46" customHeight="1">
      <c r="A104" s="26" t="inlineStr">
        <is>
          <t>INS-17</t>
        </is>
      </c>
      <c r="B104" s="25" t="inlineStr">
        <is>
          <t>Insurance</t>
        </is>
      </c>
      <c r="C104" s="25" t="inlineStr">
        <is>
          <t>Risk, compliance &amp; legal</t>
        </is>
      </c>
      <c r="D104" s="26" t="inlineStr">
        <is>
          <t>Catastrophe &amp; accumulation monitoring</t>
        </is>
      </c>
      <c r="E104" s="25" t="inlineStr">
        <is>
          <t>Exposure not visible by location</t>
        </is>
      </c>
      <c r="F104" s="25" t="inlineStr">
        <is>
          <t>Produce reports, dashboards or reconciliations from existing data</t>
        </is>
      </c>
      <c r="G104" s="25" t="inlineStr">
        <is>
          <t>BI, dashboards &amp; reconciliation automation</t>
        </is>
      </c>
      <c r="H104" s="25" t="inlineStr">
        <is>
          <t>Geospatial accumulation dashboards and alerts against limits.</t>
        </is>
      </c>
      <c r="I104" s="25" t="inlineStr">
        <is>
          <t>Policy locations, sums insured</t>
        </is>
      </c>
      <c r="J104" s="25" t="inlineStr">
        <is>
          <t>Limit breaches; reporting time</t>
        </is>
      </c>
      <c r="K104" s="25" t="inlineStr">
        <is>
          <t>-</t>
        </is>
      </c>
      <c r="L104" s="25" t="inlineStr">
        <is>
          <t>Low</t>
        </is>
      </c>
      <c r="M104" t="inlineStr">
        <is>
          <t>INS-17 | Catastrophe &amp; accumulation monitoring</t>
        </is>
      </c>
      <c r="N104" t="b">
        <f>OR('1. AI Position'!$C$5="",'1. AI Position'!$C$5="Other",B104="Cross-industry",B104='1. AI Position'!$C$5)</f>
        <v>0</v>
      </c>
      <c r="O104" t="str">
        <f>IF(N104,COUNTIF($N$5:N104,TRUE),"")</f>
        <v/>
      </c>
    </row>
    <row r="105" ht="46" customHeight="1">
      <c r="A105" s="26" t="inlineStr">
        <is>
          <t>CAP-01</t>
        </is>
      </c>
      <c r="B105" s="25" t="inlineStr">
        <is>
          <t>Capital markets &amp; wealth</t>
        </is>
      </c>
      <c r="C105" s="25" t="inlineStr">
        <is>
          <t>Core operations &amp; service delivery</t>
        </is>
      </c>
      <c r="D105" s="26" t="inlineStr">
        <is>
          <t>Trade confirmation &amp; settlement exceptions</t>
        </is>
      </c>
      <c r="E105" s="25" t="inlineStr">
        <is>
          <t>Breaks resolved manually</t>
        </is>
      </c>
      <c r="F105" s="25" t="inlineStr">
        <is>
          <t>Check or approve items against fixed criteria (rules, thresholds, checklists)</t>
        </is>
      </c>
      <c r="G105" s="25" t="inlineStr">
        <is>
          <t>Rules engine / workflow automation</t>
        </is>
      </c>
      <c r="H105" s="25" t="inlineStr">
        <is>
          <t>Rules-based matching and exception workflows; predictive settlement-fail flags later.</t>
        </is>
      </c>
      <c r="I105" s="25" t="inlineStr">
        <is>
          <t>Trade, confirmation and settlement messages</t>
        </is>
      </c>
      <c r="J105" s="25" t="inlineStr">
        <is>
          <t>STP rate; fails; break ageing</t>
        </is>
      </c>
      <c r="K105" s="25" t="inlineStr">
        <is>
          <t>-</t>
        </is>
      </c>
      <c r="L105" s="25" t="inlineStr">
        <is>
          <t>Low</t>
        </is>
      </c>
      <c r="M105" t="inlineStr">
        <is>
          <t>CAP-01 | Trade confirmation &amp; settlement exceptions</t>
        </is>
      </c>
      <c r="N105" t="b">
        <f>OR('1. AI Position'!$C$5="",'1. AI Position'!$C$5="Other",B105="Cross-industry",B105='1. AI Position'!$C$5)</f>
        <v>0</v>
      </c>
      <c r="O105" t="str">
        <f>IF(N105,COUNTIF($N$5:N105,TRUE),"")</f>
        <v/>
      </c>
    </row>
    <row r="106" ht="46" customHeight="1">
      <c r="A106" s="26" t="inlineStr">
        <is>
          <t>CAP-02</t>
        </is>
      </c>
      <c r="B106" s="25" t="inlineStr">
        <is>
          <t>Capital markets &amp; wealth</t>
        </is>
      </c>
      <c r="C106" s="25" t="inlineStr">
        <is>
          <t>Risk, compliance &amp; legal</t>
        </is>
      </c>
      <c r="D106" s="26" t="inlineStr">
        <is>
          <t>Market-abuse surveillance alert triage</t>
        </is>
      </c>
      <c r="E106" s="25" t="inlineStr">
        <is>
          <t>High alert volumes</t>
        </is>
      </c>
      <c r="F106" s="25" t="inlineStr">
        <is>
          <t>Forecast, score, classify or detect anomalies from historical data</t>
        </is>
      </c>
      <c r="G106" s="25" t="inlineStr">
        <is>
          <t>Predictive analytics / machine learning</t>
        </is>
      </c>
      <c r="H106" s="25" t="inlineStr">
        <is>
          <t>ML prioritisation and GenAI case summaries on top of surveillance scenarios; compliance decides.</t>
        </is>
      </c>
      <c r="I106" s="25" t="inlineStr">
        <is>
          <t>Orders, trades, communications, alert outcomes</t>
        </is>
      </c>
      <c r="J106" s="25" t="inlineStr">
        <is>
          <t>False positives; time per alert</t>
        </is>
      </c>
      <c r="K106" s="25" t="inlineStr">
        <is>
          <t>CBB capital-market rules; model validation.</t>
        </is>
      </c>
      <c r="L106" s="25" t="inlineStr">
        <is>
          <t>Medium</t>
        </is>
      </c>
      <c r="M106" t="inlineStr">
        <is>
          <t>CAP-02 | Market-abuse surveillance alert triage</t>
        </is>
      </c>
      <c r="N106" t="b">
        <f>OR('1. AI Position'!$C$5="",'1. AI Position'!$C$5="Other",B106="Cross-industry",B106='1. AI Position'!$C$5)</f>
        <v>0</v>
      </c>
      <c r="O106" t="str">
        <f>IF(N106,COUNTIF($N$5:N106,TRUE),"")</f>
        <v/>
      </c>
    </row>
    <row r="107" ht="46" customHeight="1">
      <c r="A107" s="26" t="inlineStr">
        <is>
          <t>CAP-03</t>
        </is>
      </c>
      <c r="B107" s="25" t="inlineStr">
        <is>
          <t>Capital markets &amp; wealth</t>
        </is>
      </c>
      <c r="C107" s="25" t="inlineStr">
        <is>
          <t>Sales &amp; marketing</t>
        </is>
      </c>
      <c r="D107" s="26" t="inlineStr">
        <is>
          <t>Research summarisation &amp; earnings-call analysis</t>
        </is>
      </c>
      <c r="E107" s="25" t="inlineStr">
        <is>
          <t>Analysts read hundreds of pages</t>
        </is>
      </c>
      <c r="F107" s="25" t="inlineStr">
        <is>
          <t>Draft, summarise, translate or review text</t>
        </is>
      </c>
      <c r="G107" s="25" t="inlineStr">
        <is>
          <t>Generative AI assistant (off-the-shelf)</t>
        </is>
      </c>
      <c r="H107" s="25" t="inlineStr">
        <is>
          <t>GenAI summaries and Q&amp;A over filings and call transcripts with citations.</t>
        </is>
      </c>
      <c r="I107" s="25" t="inlineStr">
        <is>
          <t>Filings, transcripts</t>
        </is>
      </c>
      <c r="J107" s="25" t="inlineStr">
        <is>
          <t>Analyst time; coverage</t>
        </is>
      </c>
      <c r="K107" s="25" t="inlineStr">
        <is>
          <t>Verify figures; MNPI controls.</t>
        </is>
      </c>
      <c r="L107" s="25" t="inlineStr">
        <is>
          <t>Low</t>
        </is>
      </c>
      <c r="M107" t="inlineStr">
        <is>
          <t>CAP-03 | Research summarisation &amp; earnings-call analysis</t>
        </is>
      </c>
      <c r="N107" t="b">
        <f>OR('1. AI Position'!$C$5="",'1. AI Position'!$C$5="Other",B107="Cross-industry",B107='1. AI Position'!$C$5)</f>
        <v>0</v>
      </c>
      <c r="O107" t="str">
        <f>IF(N107,COUNTIF($N$5:N107,TRUE),"")</f>
        <v/>
      </c>
    </row>
    <row r="108" ht="46" customHeight="1">
      <c r="A108" s="26" t="inlineStr">
        <is>
          <t>CAP-04</t>
        </is>
      </c>
      <c r="B108" s="25" t="inlineStr">
        <is>
          <t>Capital markets &amp; wealth</t>
        </is>
      </c>
      <c r="C108" s="25" t="inlineStr">
        <is>
          <t>Finance &amp; accounting</t>
        </is>
      </c>
      <c r="D108" s="26" t="inlineStr">
        <is>
          <t>Fund NAV reconciliation</t>
        </is>
      </c>
      <c r="E108" s="25" t="inlineStr">
        <is>
          <t>Manual NAV checks</t>
        </is>
      </c>
      <c r="F108" s="25" t="inlineStr">
        <is>
          <t>Produce reports, dashboards or reconciliations from existing data</t>
        </is>
      </c>
      <c r="G108" s="25" t="inlineStr">
        <is>
          <t>BI, dashboards &amp; reconciliation automation</t>
        </is>
      </c>
      <c r="H108" s="25" t="inlineStr">
        <is>
          <t>Automated NAV reconciliation and tolerance checks with exception dashboards.</t>
        </is>
      </c>
      <c r="I108" s="25" t="inlineStr">
        <is>
          <t>Custodian and administrator data</t>
        </is>
      </c>
      <c r="J108" s="25" t="inlineStr">
        <is>
          <t>Reconciliation time; NAV errors</t>
        </is>
      </c>
      <c r="K108" s="25" t="inlineStr">
        <is>
          <t>-</t>
        </is>
      </c>
      <c r="L108" s="25" t="inlineStr">
        <is>
          <t>Low</t>
        </is>
      </c>
      <c r="M108" t="inlineStr">
        <is>
          <t>CAP-04 | Fund NAV reconciliation</t>
        </is>
      </c>
      <c r="N108" t="b">
        <f>OR('1. AI Position'!$C$5="",'1. AI Position'!$C$5="Other",B108="Cross-industry",B108='1. AI Position'!$C$5)</f>
        <v>0</v>
      </c>
      <c r="O108" t="str">
        <f>IF(N108,COUNTIF($N$5:N108,TRUE),"")</f>
        <v/>
      </c>
    </row>
    <row r="109" ht="46" customHeight="1">
      <c r="A109" s="26" t="inlineStr">
        <is>
          <t>CAP-05</t>
        </is>
      </c>
      <c r="B109" s="25" t="inlineStr">
        <is>
          <t>Capital markets &amp; wealth</t>
        </is>
      </c>
      <c r="C109" s="25" t="inlineStr">
        <is>
          <t>Customer service</t>
        </is>
      </c>
      <c r="D109" s="26" t="inlineStr">
        <is>
          <t>Client reporting &amp; factsheets</t>
        </is>
      </c>
      <c r="E109" s="25" t="inlineStr">
        <is>
          <t>Reports assembled by hand</t>
        </is>
      </c>
      <c r="F109" s="25" t="inlineStr">
        <is>
          <t>Draft, summarise, translate or review text</t>
        </is>
      </c>
      <c r="G109" s="25" t="inlineStr">
        <is>
          <t>Generative AI assistant (off-the-shelf)</t>
        </is>
      </c>
      <c r="H109" s="25" t="inlineStr">
        <is>
          <t>Automated report data plus GenAI-drafted commentary reviewed by portfolio managers.</t>
        </is>
      </c>
      <c r="I109" s="25" t="inlineStr">
        <is>
          <t>Portfolio data, market data</t>
        </is>
      </c>
      <c r="J109" s="25" t="inlineStr">
        <is>
          <t>Production time; errors</t>
        </is>
      </c>
      <c r="K109" s="25" t="inlineStr">
        <is>
          <t>Marketing-communication rules; review before issue.</t>
        </is>
      </c>
      <c r="L109" s="25" t="inlineStr">
        <is>
          <t>Low</t>
        </is>
      </c>
      <c r="M109" t="inlineStr">
        <is>
          <t>CAP-05 | Client reporting &amp; factsheets</t>
        </is>
      </c>
      <c r="N109" t="b">
        <f>OR('1. AI Position'!$C$5="",'1. AI Position'!$C$5="Other",B109="Cross-industry",B109='1. AI Position'!$C$5)</f>
        <v>0</v>
      </c>
      <c r="O109" t="str">
        <f>IF(N109,COUNTIF($N$5:N109,TRUE),"")</f>
        <v/>
      </c>
    </row>
    <row r="110" ht="46" customHeight="1">
      <c r="A110" s="26" t="inlineStr">
        <is>
          <t>CAP-06</t>
        </is>
      </c>
      <c r="B110" s="25" t="inlineStr">
        <is>
          <t>Capital markets &amp; wealth</t>
        </is>
      </c>
      <c r="C110" s="25" t="inlineStr">
        <is>
          <t>Core operations &amp; service delivery</t>
        </is>
      </c>
      <c r="D110" s="26" t="inlineStr">
        <is>
          <t>Investor onboarding &amp; KYC</t>
        </is>
      </c>
      <c r="E110" s="25" t="inlineStr">
        <is>
          <t>Subscription documents checked manually</t>
        </is>
      </c>
      <c r="F110" s="25" t="inlineStr">
        <is>
          <t>Extract information from documents, forms or emails</t>
        </is>
      </c>
      <c r="G110" s="25" t="inlineStr">
        <is>
          <t>Intelligent document processing (IDP)</t>
        </is>
      </c>
      <c r="H110" s="25" t="inlineStr">
        <is>
          <t>IDP of subscription documents and KYC data with automated screening.</t>
        </is>
      </c>
      <c r="I110" s="25" t="inlineStr">
        <is>
          <t>Subscription forms, ID documents</t>
        </is>
      </c>
      <c r="J110" s="25" t="inlineStr">
        <is>
          <t>Onboarding time</t>
        </is>
      </c>
      <c r="K110" s="25" t="inlineStr">
        <is>
          <t>CBB FC; FATF.</t>
        </is>
      </c>
      <c r="L110" s="25" t="inlineStr">
        <is>
          <t>Medium</t>
        </is>
      </c>
      <c r="M110" t="inlineStr">
        <is>
          <t>CAP-06 | Investor onboarding &amp; KYC</t>
        </is>
      </c>
      <c r="N110" t="b">
        <f>OR('1. AI Position'!$C$5="",'1. AI Position'!$C$5="Other",B110="Cross-industry",B110='1. AI Position'!$C$5)</f>
        <v>0</v>
      </c>
      <c r="O110" t="str">
        <f>IF(N110,COUNTIF($N$5:N110,TRUE),"")</f>
        <v/>
      </c>
    </row>
    <row r="111" ht="46" customHeight="1">
      <c r="A111" s="26" t="inlineStr">
        <is>
          <t>CAP-07</t>
        </is>
      </c>
      <c r="B111" s="25" t="inlineStr">
        <is>
          <t>Capital markets &amp; wealth</t>
        </is>
      </c>
      <c r="C111" s="25" t="inlineStr">
        <is>
          <t>Risk, compliance &amp; legal</t>
        </is>
      </c>
      <c r="D111" s="26" t="inlineStr">
        <is>
          <t>ESG data extraction from reports</t>
        </is>
      </c>
      <c r="E111" s="25" t="inlineStr">
        <is>
          <t>ESG data collected manually</t>
        </is>
      </c>
      <c r="F111" s="25" t="inlineStr">
        <is>
          <t>Extract information from documents, forms or emails</t>
        </is>
      </c>
      <c r="G111" s="25" t="inlineStr">
        <is>
          <t>Intelligent document processing (IDP)</t>
        </is>
      </c>
      <c r="H111" s="25" t="inlineStr">
        <is>
          <t>IDP / GenAI extraction of ESG metrics from company reports into the ESG database.</t>
        </is>
      </c>
      <c r="I111" s="25" t="inlineStr">
        <is>
          <t>Sustainability reports</t>
        </is>
      </c>
      <c r="J111" s="25" t="inlineStr">
        <is>
          <t>Coverage; extraction accuracy</t>
        </is>
      </c>
      <c r="K111" s="25" t="inlineStr">
        <is>
          <t>Verify against source; disclosure standards (ISSB).</t>
        </is>
      </c>
      <c r="L111" s="25" t="inlineStr">
        <is>
          <t>Low</t>
        </is>
      </c>
      <c r="M111" t="inlineStr">
        <is>
          <t>CAP-07 | ESG data extraction from reports</t>
        </is>
      </c>
      <c r="N111" t="b">
        <f>OR('1. AI Position'!$C$5="",'1. AI Position'!$C$5="Other",B111="Cross-industry",B111='1. AI Position'!$C$5)</f>
        <v>0</v>
      </c>
      <c r="O111" t="str">
        <f>IF(N111,COUNTIF($N$5:N111,TRUE),"")</f>
        <v/>
      </c>
    </row>
    <row r="112" ht="46" customHeight="1">
      <c r="A112" s="26" t="inlineStr">
        <is>
          <t>CAP-08</t>
        </is>
      </c>
      <c r="B112" s="25" t="inlineStr">
        <is>
          <t>Capital markets &amp; wealth</t>
        </is>
      </c>
      <c r="C112" s="25" t="inlineStr">
        <is>
          <t>Core operations &amp; service delivery</t>
        </is>
      </c>
      <c r="D112" s="26" t="inlineStr">
        <is>
          <t>Portfolio compliance &amp; rebalancing alerts</t>
        </is>
      </c>
      <c r="E112" s="25" t="inlineStr">
        <is>
          <t>Limit breaches found late</t>
        </is>
      </c>
      <c r="F112" s="25" t="inlineStr">
        <is>
          <t>Check or approve items against fixed criteria (rules, thresholds, checklists)</t>
        </is>
      </c>
      <c r="G112" s="25" t="inlineStr">
        <is>
          <t>Rules engine / workflow automation</t>
        </is>
      </c>
      <c r="H112" s="25" t="inlineStr">
        <is>
          <t>Pre- and post-trade rules engine with automated rebalancing proposals.</t>
        </is>
      </c>
      <c r="I112" s="25" t="inlineStr">
        <is>
          <t>Holdings, mandates, limits</t>
        </is>
      </c>
      <c r="J112" s="25" t="inlineStr">
        <is>
          <t>Breaches; time to detect</t>
        </is>
      </c>
      <c r="K112" s="25" t="inlineStr">
        <is>
          <t>-</t>
        </is>
      </c>
      <c r="L112" s="25" t="inlineStr">
        <is>
          <t>Low</t>
        </is>
      </c>
      <c r="M112" t="inlineStr">
        <is>
          <t>CAP-08 | Portfolio compliance &amp; rebalancing alerts</t>
        </is>
      </c>
      <c r="N112" t="b">
        <f>OR('1. AI Position'!$C$5="",'1. AI Position'!$C$5="Other",B112="Cross-industry",B112='1. AI Position'!$C$5)</f>
        <v>0</v>
      </c>
      <c r="O112" t="str">
        <f>IF(N112,COUNTIF($N$5:N112,TRUE),"")</f>
        <v/>
      </c>
    </row>
    <row r="113" ht="46" customHeight="1">
      <c r="A113" s="26" t="inlineStr">
        <is>
          <t>HLT-01</t>
        </is>
      </c>
      <c r="B113" s="25" t="inlineStr">
        <is>
          <t>Healthcare</t>
        </is>
      </c>
      <c r="C113" s="25" t="inlineStr">
        <is>
          <t>Customer service</t>
        </is>
      </c>
      <c r="D113" s="26" t="inlineStr">
        <is>
          <t>Appointment booking &amp; reminders</t>
        </is>
      </c>
      <c r="E113" s="25" t="inlineStr">
        <is>
          <t>No-shows and phone-booking queues</t>
        </is>
      </c>
      <c r="F113" s="25" t="inlineStr">
        <is>
          <t>Converse with customers, citizens or staff (chat, voice, WhatsApp)</t>
        </is>
      </c>
      <c r="G113" s="25" t="inlineStr">
        <is>
          <t>Conversational AI / virtual agent</t>
        </is>
      </c>
      <c r="H113" s="25" t="inlineStr">
        <is>
          <t>WhatsApp / web booking assistant integrated with the scheduling system and automated reminders.</t>
        </is>
      </c>
      <c r="I113" s="25" t="inlineStr">
        <is>
          <t>Schedules, patient contacts</t>
        </is>
      </c>
      <c r="J113" s="25" t="inlineStr">
        <is>
          <t>No-show rate; call volume; booking time</t>
        </is>
      </c>
      <c r="K113" s="25" t="inlineStr">
        <is>
          <t>Patient data - sensitive (PDPL); consent for messaging.</t>
        </is>
      </c>
      <c r="L113" s="25" t="inlineStr">
        <is>
          <t>Medium</t>
        </is>
      </c>
      <c r="M113" t="inlineStr">
        <is>
          <t>HLT-01 | Appointment booking &amp; reminders</t>
        </is>
      </c>
      <c r="N113" t="b">
        <f>OR('1. AI Position'!$C$5="",'1. AI Position'!$C$5="Other",B113="Cross-industry",B113='1. AI Position'!$C$5)</f>
        <v>0</v>
      </c>
      <c r="O113" t="str">
        <f>IF(N113,COUNTIF($N$5:N113,TRUE),"")</f>
        <v/>
      </c>
    </row>
    <row r="114" ht="46" customHeight="1">
      <c r="A114" s="26" t="inlineStr">
        <is>
          <t>HLT-02</t>
        </is>
      </c>
      <c r="B114" s="25" t="inlineStr">
        <is>
          <t>Healthcare</t>
        </is>
      </c>
      <c r="C114" s="25" t="inlineStr">
        <is>
          <t>Core operations &amp; service delivery</t>
        </is>
      </c>
      <c r="D114" s="26" t="inlineStr">
        <is>
          <t>Patient registration &amp; insurance eligibility</t>
        </is>
      </c>
      <c r="E114" s="25" t="inlineStr">
        <is>
          <t>Manual eligibility checks at reception</t>
        </is>
      </c>
      <c r="F114" s="25" t="inlineStr">
        <is>
          <t>Move or re-key data between systems following fixed rules</t>
        </is>
      </c>
      <c r="G114" s="25" t="inlineStr">
        <is>
          <t>Workflow automation / RPA</t>
        </is>
      </c>
      <c r="H114" s="25" t="inlineStr">
        <is>
          <t>Automated eligibility verification with payers and pre-filled registration.</t>
        </is>
      </c>
      <c r="I114" s="25" t="inlineStr">
        <is>
          <t>Patient demographics, payer portals</t>
        </is>
      </c>
      <c r="J114" s="25" t="inlineStr">
        <is>
          <t>Registration time; claim rejections for eligibility</t>
        </is>
      </c>
      <c r="K114" s="25" t="inlineStr">
        <is>
          <t>Patient data protection.</t>
        </is>
      </c>
      <c r="L114" s="25" t="inlineStr">
        <is>
          <t>Medium</t>
        </is>
      </c>
      <c r="M114" t="inlineStr">
        <is>
          <t>HLT-02 | Patient registration &amp; insurance eligibility</t>
        </is>
      </c>
      <c r="N114" t="b">
        <f>OR('1. AI Position'!$C$5="",'1. AI Position'!$C$5="Other",B114="Cross-industry",B114='1. AI Position'!$C$5)</f>
        <v>0</v>
      </c>
      <c r="O114" t="str">
        <f>IF(N114,COUNTIF($N$5:N114,TRUE),"")</f>
        <v/>
      </c>
    </row>
    <row r="115" ht="46" customHeight="1">
      <c r="A115" s="26" t="inlineStr">
        <is>
          <t>HLT-03</t>
        </is>
      </c>
      <c r="B115" s="25" t="inlineStr">
        <is>
          <t>Healthcare</t>
        </is>
      </c>
      <c r="C115" s="25" t="inlineStr">
        <is>
          <t>Core operations &amp; service delivery</t>
        </is>
      </c>
      <c r="D115" s="26" t="inlineStr">
        <is>
          <t>Prior-authorisation requests</t>
        </is>
      </c>
      <c r="E115" s="25" t="inlineStr">
        <is>
          <t>Forms and clinical documents compiled manually</t>
        </is>
      </c>
      <c r="F115" s="25" t="inlineStr">
        <is>
          <t>Extract information from documents, forms or emails</t>
        </is>
      </c>
      <c r="G115" s="25" t="inlineStr">
        <is>
          <t>Intelligent document processing (IDP)</t>
        </is>
      </c>
      <c r="H115" s="25" t="inlineStr">
        <is>
          <t>IDP assembles prior-authorisation packs from the EHR; staff verify and submit.</t>
        </is>
      </c>
      <c r="I115" s="25" t="inlineStr">
        <is>
          <t>EHR data, payer forms</t>
        </is>
      </c>
      <c r="J115" s="25" t="inlineStr">
        <is>
          <t>Authorisation turnaround; denials</t>
        </is>
      </c>
      <c r="K115" s="25" t="inlineStr">
        <is>
          <t>Health data; human submission.</t>
        </is>
      </c>
      <c r="L115" s="25" t="inlineStr">
        <is>
          <t>Medium</t>
        </is>
      </c>
      <c r="M115" t="inlineStr">
        <is>
          <t>HLT-03 | Prior-authorisation requests</t>
        </is>
      </c>
      <c r="N115" t="b">
        <f>OR('1. AI Position'!$C$5="",'1. AI Position'!$C$5="Other",B115="Cross-industry",B115='1. AI Position'!$C$5)</f>
        <v>0</v>
      </c>
      <c r="O115" t="str">
        <f>IF(N115,COUNTIF($N$5:N115,TRUE),"")</f>
        <v/>
      </c>
    </row>
    <row r="116" ht="46" customHeight="1">
      <c r="A116" s="26" t="inlineStr">
        <is>
          <t>HLT-04</t>
        </is>
      </c>
      <c r="B116" s="25" t="inlineStr">
        <is>
          <t>Healthcare</t>
        </is>
      </c>
      <c r="C116" s="25" t="inlineStr">
        <is>
          <t>Finance &amp; accounting</t>
        </is>
      </c>
      <c r="D116" s="26" t="inlineStr">
        <is>
          <t>Medical coding assistance (ICD-10 / CPT)</t>
        </is>
      </c>
      <c r="E116" s="25" t="inlineStr">
        <is>
          <t>Coding backlog and errors</t>
        </is>
      </c>
      <c r="F116" s="25" t="inlineStr">
        <is>
          <t>Draft, summarise, translate or review text</t>
        </is>
      </c>
      <c r="G116" s="25" t="inlineStr">
        <is>
          <t>Generative AI assistant (off-the-shelf)</t>
        </is>
      </c>
      <c r="H116" s="25" t="inlineStr">
        <is>
          <t>AI-suggested codes from clinical documentation for certified coders to confirm.</t>
        </is>
      </c>
      <c r="I116" s="25" t="inlineStr">
        <is>
          <t>Clinical notes, coding history</t>
        </is>
      </c>
      <c r="J116" s="25" t="inlineStr">
        <is>
          <t>Coder productivity; coding accuracy; denials</t>
        </is>
      </c>
      <c r="K116" s="25" t="inlineStr">
        <is>
          <t>Coders remain accountable; audit sampling.</t>
        </is>
      </c>
      <c r="L116" s="25" t="inlineStr">
        <is>
          <t>Medium</t>
        </is>
      </c>
      <c r="M116" t="inlineStr">
        <is>
          <t>HLT-04 | Medical coding assistance (ICD-10 / CPT)</t>
        </is>
      </c>
      <c r="N116" t="b">
        <f>OR('1. AI Position'!$C$5="",'1. AI Position'!$C$5="Other",B116="Cross-industry",B116='1. AI Position'!$C$5)</f>
        <v>0</v>
      </c>
      <c r="O116" t="str">
        <f>IF(N116,COUNTIF($N$5:N116,TRUE),"")</f>
        <v/>
      </c>
    </row>
    <row r="117" ht="46" customHeight="1">
      <c r="A117" s="26" t="inlineStr">
        <is>
          <t>HLT-05</t>
        </is>
      </c>
      <c r="B117" s="25" t="inlineStr">
        <is>
          <t>Healthcare</t>
        </is>
      </c>
      <c r="C117" s="25" t="inlineStr">
        <is>
          <t>Finance &amp; accounting</t>
        </is>
      </c>
      <c r="D117" s="26" t="inlineStr">
        <is>
          <t>Claims submission &amp; denial management</t>
        </is>
      </c>
      <c r="E117" s="25" t="inlineStr">
        <is>
          <t>Denials reworked manually</t>
        </is>
      </c>
      <c r="F117" s="25" t="inlineStr">
        <is>
          <t>Move or re-key data between systems following fixed rules</t>
        </is>
      </c>
      <c r="G117" s="25" t="inlineStr">
        <is>
          <t>Workflow automation / RPA</t>
        </is>
      </c>
      <c r="H117" s="25" t="inlineStr">
        <is>
          <t>Automated claim scrubbing and submission; denial-prediction model once history allows.</t>
        </is>
      </c>
      <c r="I117" s="25" t="inlineStr">
        <is>
          <t>Claims and remittance history</t>
        </is>
      </c>
      <c r="J117" s="25" t="inlineStr">
        <is>
          <t>First-pass acceptance; days in AR</t>
        </is>
      </c>
      <c r="K117" s="25" t="inlineStr">
        <is>
          <t>-</t>
        </is>
      </c>
      <c r="L117" s="25" t="inlineStr">
        <is>
          <t>Medium</t>
        </is>
      </c>
      <c r="M117" t="inlineStr">
        <is>
          <t>HLT-05 | Claims submission &amp; denial management</t>
        </is>
      </c>
      <c r="N117" t="b">
        <f>OR('1. AI Position'!$C$5="",'1. AI Position'!$C$5="Other",B117="Cross-industry",B117='1. AI Position'!$C$5)</f>
        <v>0</v>
      </c>
      <c r="O117" t="str">
        <f>IF(N117,COUNTIF($N$5:N117,TRUE),"")</f>
        <v/>
      </c>
    </row>
    <row r="118" ht="46" customHeight="1">
      <c r="A118" s="26" t="inlineStr">
        <is>
          <t>HLT-06</t>
        </is>
      </c>
      <c r="B118" s="25" t="inlineStr">
        <is>
          <t>Healthcare</t>
        </is>
      </c>
      <c r="C118" s="25" t="inlineStr">
        <is>
          <t>Core operations &amp; service delivery</t>
        </is>
      </c>
      <c r="D118" s="26" t="inlineStr">
        <is>
          <t>Clinical documentation (ambient scribe)</t>
        </is>
      </c>
      <c r="E118" s="25" t="inlineStr">
        <is>
          <t>Clinicians typing notes</t>
        </is>
      </c>
      <c r="F118" s="25" t="inlineStr">
        <is>
          <t>Recognise or inspect images, video or speech</t>
        </is>
      </c>
      <c r="G118" s="25" t="inlineStr">
        <is>
          <t>Computer vision / speech AI</t>
        </is>
      </c>
      <c r="H118" s="25" t="inlineStr">
        <is>
          <t>Ambient speech-to-note drafting in the EHR; clinician reviews and signs every note.</t>
        </is>
      </c>
      <c r="I118" s="25" t="inlineStr">
        <is>
          <t>Consultation audio, note templates</t>
        </is>
      </c>
      <c r="J118" s="25" t="inlineStr">
        <is>
          <t>Documentation time; clinician satisfaction</t>
        </is>
      </c>
      <c r="K118" s="25" t="inlineStr">
        <is>
          <t>Patient consent; NHRA rules; health data; clinician sign-off.</t>
        </is>
      </c>
      <c r="L118" s="25" t="inlineStr">
        <is>
          <t>Medium</t>
        </is>
      </c>
      <c r="M118" t="inlineStr">
        <is>
          <t>HLT-06 | Clinical documentation (ambient scribe)</t>
        </is>
      </c>
      <c r="N118" t="b">
        <f>OR('1. AI Position'!$C$5="",'1. AI Position'!$C$5="Other",B118="Cross-industry",B118='1. AI Position'!$C$5)</f>
        <v>0</v>
      </c>
      <c r="O118" t="str">
        <f>IF(N118,COUNTIF($N$5:N118,TRUE),"")</f>
        <v/>
      </c>
    </row>
    <row r="119" ht="46" customHeight="1">
      <c r="A119" s="26" t="inlineStr">
        <is>
          <t>HLT-07</t>
        </is>
      </c>
      <c r="B119" s="25" t="inlineStr">
        <is>
          <t>Healthcare</t>
        </is>
      </c>
      <c r="C119" s="25" t="inlineStr">
        <is>
          <t>Core operations &amp; service delivery</t>
        </is>
      </c>
      <c r="D119" s="26" t="inlineStr">
        <is>
          <t>Discharge summaries &amp; referral letters</t>
        </is>
      </c>
      <c r="E119" s="25" t="inlineStr">
        <is>
          <t>Letters delayed after discharge</t>
        </is>
      </c>
      <c r="F119" s="25" t="inlineStr">
        <is>
          <t>Draft, summarise, translate or review text</t>
        </is>
      </c>
      <c r="G119" s="25" t="inlineStr">
        <is>
          <t>Generative AI assistant (off-the-shelf)</t>
        </is>
      </c>
      <c r="H119" s="25" t="inlineStr">
        <is>
          <t>GenAI drafts from the EHR record for clinician approval.</t>
        </is>
      </c>
      <c r="I119" s="25" t="inlineStr">
        <is>
          <t>EHR record</t>
        </is>
      </c>
      <c r="J119" s="25" t="inlineStr">
        <is>
          <t>Time to discharge summary; completeness</t>
        </is>
      </c>
      <c r="K119" s="25" t="inlineStr">
        <is>
          <t>Clinical accuracy review; health data.</t>
        </is>
      </c>
      <c r="L119" s="25" t="inlineStr">
        <is>
          <t>Medium</t>
        </is>
      </c>
      <c r="M119" t="inlineStr">
        <is>
          <t>HLT-07 | Discharge summaries &amp; referral letters</t>
        </is>
      </c>
      <c r="N119" t="b">
        <f>OR('1. AI Position'!$C$5="",'1. AI Position'!$C$5="Other",B119="Cross-industry",B119='1. AI Position'!$C$5)</f>
        <v>0</v>
      </c>
      <c r="O119" t="str">
        <f>IF(N119,COUNTIF($N$5:N119,TRUE),"")</f>
        <v/>
      </c>
    </row>
    <row r="120" ht="46" customHeight="1">
      <c r="A120" s="26" t="inlineStr">
        <is>
          <t>HLT-08</t>
        </is>
      </c>
      <c r="B120" s="25" t="inlineStr">
        <is>
          <t>Healthcare</t>
        </is>
      </c>
      <c r="C120" s="25" t="inlineStr">
        <is>
          <t>Core operations &amp; service delivery</t>
        </is>
      </c>
      <c r="D120" s="26" t="inlineStr">
        <is>
          <t>Radiology image triage</t>
        </is>
      </c>
      <c r="E120" s="25" t="inlineStr">
        <is>
          <t>Reporting backlogs</t>
        </is>
      </c>
      <c r="F120" s="25" t="inlineStr">
        <is>
          <t>Recognise or inspect images, video or speech</t>
        </is>
      </c>
      <c r="G120" s="25" t="inlineStr">
        <is>
          <t>Computer vision / speech AI</t>
        </is>
      </c>
      <c r="H120" s="25" t="inlineStr">
        <is>
          <t>Regulated (cleared) AI triage software prioritising worklists; radiologist reports every study.</t>
        </is>
      </c>
      <c r="I120" s="25" t="inlineStr">
        <is>
          <t>Imaging studies (DICOM) with reports</t>
        </is>
      </c>
      <c r="J120" s="25" t="inlineStr">
        <is>
          <t>Turnaround for critical findings; backlog</t>
        </is>
      </c>
      <c r="K120" s="25" t="inlineStr">
        <is>
          <t>Medical-device AI: NHRA registration; EU MDR / FDA clearance; EU AI Act Annex I high-risk.</t>
        </is>
      </c>
      <c r="L120" s="25" t="inlineStr">
        <is>
          <t>High</t>
        </is>
      </c>
      <c r="M120" t="inlineStr">
        <is>
          <t>HLT-08 | Radiology image triage</t>
        </is>
      </c>
      <c r="N120" t="b">
        <f>OR('1. AI Position'!$C$5="",'1. AI Position'!$C$5="Other",B120="Cross-industry",B120='1. AI Position'!$C$5)</f>
        <v>0</v>
      </c>
      <c r="O120" t="str">
        <f>IF(N120,COUNTIF($N$5:N120,TRUE),"")</f>
        <v/>
      </c>
    </row>
    <row r="121" ht="46" customHeight="1">
      <c r="A121" s="26" t="inlineStr">
        <is>
          <t>HLT-09</t>
        </is>
      </c>
      <c r="B121" s="25" t="inlineStr">
        <is>
          <t>Healthcare</t>
        </is>
      </c>
      <c r="C121" s="25" t="inlineStr">
        <is>
          <t>Core operations &amp; service delivery</t>
        </is>
      </c>
      <c r="D121" s="26" t="inlineStr">
        <is>
          <t>Patient deterioration early warning</t>
        </is>
      </c>
      <c r="E121" s="25" t="inlineStr">
        <is>
          <t>Late recognition of deterioration (e.g., sepsis)</t>
        </is>
      </c>
      <c r="F121" s="25" t="inlineStr">
        <is>
          <t>Forecast, score, classify or detect anomalies from historical data</t>
        </is>
      </c>
      <c r="G121" s="25" t="inlineStr">
        <is>
          <t>Predictive analytics / machine learning</t>
        </is>
      </c>
      <c r="H121" s="25" t="inlineStr">
        <is>
          <t>Validated early-warning model in the EHR with clinical escalation protocol; local validation before go-live.</t>
        </is>
      </c>
      <c r="I121" s="25" t="inlineStr">
        <is>
          <t>Vital signs, labs, outcomes</t>
        </is>
      </c>
      <c r="J121" s="25" t="inlineStr">
        <is>
          <t>Time to intervention; ICU transfers; alert burden</t>
        </is>
      </c>
      <c r="K121" s="25" t="inlineStr">
        <is>
          <t>Clinical decision support - medical-device rules may apply; bias and alert-fatigue testing.</t>
        </is>
      </c>
      <c r="L121" s="25" t="inlineStr">
        <is>
          <t>High</t>
        </is>
      </c>
      <c r="M121" t="inlineStr">
        <is>
          <t>HLT-09 | Patient deterioration early warning</t>
        </is>
      </c>
      <c r="N121" t="b">
        <f>OR('1. AI Position'!$C$5="",'1. AI Position'!$C$5="Other",B121="Cross-industry",B121='1. AI Position'!$C$5)</f>
        <v>0</v>
      </c>
      <c r="O121" t="str">
        <f>IF(N121,COUNTIF($N$5:N121,TRUE),"")</f>
        <v/>
      </c>
    </row>
    <row r="122" ht="46" customHeight="1">
      <c r="A122" s="26" t="inlineStr">
        <is>
          <t>HLT-10</t>
        </is>
      </c>
      <c r="B122" s="25" t="inlineStr">
        <is>
          <t>Healthcare</t>
        </is>
      </c>
      <c r="C122" s="25" t="inlineStr">
        <is>
          <t>Core operations &amp; service delivery</t>
        </is>
      </c>
      <c r="D122" s="26" t="inlineStr">
        <is>
          <t>Bed &amp; capacity management</t>
        </is>
      </c>
      <c r="E122" s="25" t="inlineStr">
        <is>
          <t>Bed shortages and delays</t>
        </is>
      </c>
      <c r="F122" s="25" t="inlineStr">
        <is>
          <t>Forecast, score, classify or detect anomalies from historical data</t>
        </is>
      </c>
      <c r="G122" s="25" t="inlineStr">
        <is>
          <t>Predictive analytics / machine learning</t>
        </is>
      </c>
      <c r="H122" s="25" t="inlineStr">
        <is>
          <t>Admission / discharge forecasting with bed-management dashboard.</t>
        </is>
      </c>
      <c r="I122" s="25" t="inlineStr">
        <is>
          <t>ADT history</t>
        </is>
      </c>
      <c r="J122" s="25" t="inlineStr">
        <is>
          <t>Bed occupancy; ED boarding time</t>
        </is>
      </c>
      <c r="K122" s="25" t="inlineStr">
        <is>
          <t>-</t>
        </is>
      </c>
      <c r="L122" s="25" t="inlineStr">
        <is>
          <t>Low</t>
        </is>
      </c>
      <c r="M122" t="inlineStr">
        <is>
          <t>HLT-10 | Bed &amp; capacity management</t>
        </is>
      </c>
      <c r="N122" t="b">
        <f>OR('1. AI Position'!$C$5="",'1. AI Position'!$C$5="Other",B122="Cross-industry",B122='1. AI Position'!$C$5)</f>
        <v>0</v>
      </c>
      <c r="O122" t="str">
        <f>IF(N122,COUNTIF($N$5:N122,TRUE),"")</f>
        <v/>
      </c>
    </row>
    <row r="123" ht="46" customHeight="1">
      <c r="A123" s="26" t="inlineStr">
        <is>
          <t>HLT-11</t>
        </is>
      </c>
      <c r="B123" s="25" t="inlineStr">
        <is>
          <t>Healthcare</t>
        </is>
      </c>
      <c r="C123" s="25" t="inlineStr">
        <is>
          <t>Procurement &amp; supply chain</t>
        </is>
      </c>
      <c r="D123" s="26" t="inlineStr">
        <is>
          <t>Pharmacy inventory &amp; expiry</t>
        </is>
      </c>
      <c r="E123" s="25" t="inlineStr">
        <is>
          <t>Stock-outs and expired drugs</t>
        </is>
      </c>
      <c r="F123" s="25" t="inlineStr">
        <is>
          <t>Forecast, score, classify or detect anomalies from historical data</t>
        </is>
      </c>
      <c r="G123" s="25" t="inlineStr">
        <is>
          <t>Predictive analytics / machine learning</t>
        </is>
      </c>
      <c r="H123" s="25" t="inlineStr">
        <is>
          <t>Demand forecasting and expiry alerts for pharmacy stock.</t>
        </is>
      </c>
      <c r="I123" s="25" t="inlineStr">
        <is>
          <t>Dispensing and stock history</t>
        </is>
      </c>
      <c r="J123" s="25" t="inlineStr">
        <is>
          <t>Stock-outs; expiry write-offs</t>
        </is>
      </c>
      <c r="K123" s="25" t="inlineStr">
        <is>
          <t>Controlled-drug rules unaffected.</t>
        </is>
      </c>
      <c r="L123" s="25" t="inlineStr">
        <is>
          <t>Low</t>
        </is>
      </c>
      <c r="M123" t="inlineStr">
        <is>
          <t>HLT-11 | Pharmacy inventory &amp; expiry</t>
        </is>
      </c>
      <c r="N123" t="b">
        <f>OR('1. AI Position'!$C$5="",'1. AI Position'!$C$5="Other",B123="Cross-industry",B123='1. AI Position'!$C$5)</f>
        <v>0</v>
      </c>
      <c r="O123" t="str">
        <f>IF(N123,COUNTIF($N$5:N123,TRUE),"")</f>
        <v/>
      </c>
    </row>
    <row r="124" ht="46" customHeight="1">
      <c r="A124" s="26" t="inlineStr">
        <is>
          <t>HLT-12</t>
        </is>
      </c>
      <c r="B124" s="25" t="inlineStr">
        <is>
          <t>Healthcare</t>
        </is>
      </c>
      <c r="C124" s="25" t="inlineStr">
        <is>
          <t>Core operations &amp; service delivery</t>
        </is>
      </c>
      <c r="D124" s="26" t="inlineStr">
        <is>
          <t>Lab critical-value alerts &amp; result routing</t>
        </is>
      </c>
      <c r="E124" s="25" t="inlineStr">
        <is>
          <t>Critical results communicated late</t>
        </is>
      </c>
      <c r="F124" s="25" t="inlineStr">
        <is>
          <t>Check or approve items against fixed criteria (rules, thresholds, checklists)</t>
        </is>
      </c>
      <c r="G124" s="25" t="inlineStr">
        <is>
          <t>Rules engine / workflow automation</t>
        </is>
      </c>
      <c r="H124" s="25" t="inlineStr">
        <is>
          <t>Rules-based routing and escalation of critical values with acknowledgement tracking.</t>
        </is>
      </c>
      <c r="I124" s="25" t="inlineStr">
        <is>
          <t>LIS results, escalation rules</t>
        </is>
      </c>
      <c r="J124" s="25" t="inlineStr">
        <is>
          <t>Time to acknowledgement</t>
        </is>
      </c>
      <c r="K124" s="25" t="inlineStr">
        <is>
          <t>Patient safety - validated rules.</t>
        </is>
      </c>
      <c r="L124" s="25" t="inlineStr">
        <is>
          <t>Medium</t>
        </is>
      </c>
      <c r="M124" t="inlineStr">
        <is>
          <t>HLT-12 | Lab critical-value alerts &amp; result routing</t>
        </is>
      </c>
      <c r="N124" t="b">
        <f>OR('1. AI Position'!$C$5="",'1. AI Position'!$C$5="Other",B124="Cross-industry",B124='1. AI Position'!$C$5)</f>
        <v>0</v>
      </c>
      <c r="O124" t="str">
        <f>IF(N124,COUNTIF($N$5:N124,TRUE),"")</f>
        <v/>
      </c>
    </row>
    <row r="125" ht="46" customHeight="1">
      <c r="A125" s="26" t="inlineStr">
        <is>
          <t>HLT-13</t>
        </is>
      </c>
      <c r="B125" s="25" t="inlineStr">
        <is>
          <t>Healthcare</t>
        </is>
      </c>
      <c r="C125" s="25" t="inlineStr">
        <is>
          <t>Customer service</t>
        </is>
      </c>
      <c r="D125" s="26" t="inlineStr">
        <is>
          <t>Patient enquiries (non-clinical)</t>
        </is>
      </c>
      <c r="E125" s="25" t="inlineStr">
        <is>
          <t>Call centre overloaded with routine questions</t>
        </is>
      </c>
      <c r="F125" s="25" t="inlineStr">
        <is>
          <t>Converse with customers, citizens or staff (chat, voice, WhatsApp)</t>
        </is>
      </c>
      <c r="G125" s="25" t="inlineStr">
        <is>
          <t>Conversational AI / virtual agent</t>
        </is>
      </c>
      <c r="H125" s="25" t="inlineStr">
        <is>
          <t>Virtual assistant for directions, preparation instructions, billing; no symptom triage.</t>
        </is>
      </c>
      <c r="I125" s="25" t="inlineStr">
        <is>
          <t>FAQs, service information</t>
        </is>
      </c>
      <c r="J125" s="25" t="inlineStr">
        <is>
          <t>Containment; call volumes</t>
        </is>
      </c>
      <c r="K125" s="25" t="inlineStr">
        <is>
          <t>Clear boundary: no medical advice; disclose AI.</t>
        </is>
      </c>
      <c r="L125" s="25" t="inlineStr">
        <is>
          <t>Medium</t>
        </is>
      </c>
      <c r="M125" t="inlineStr">
        <is>
          <t>HLT-13 | Patient enquiries (non-clinical)</t>
        </is>
      </c>
      <c r="N125" t="b">
        <f>OR('1. AI Position'!$C$5="",'1. AI Position'!$C$5="Other",B125="Cross-industry",B125='1. AI Position'!$C$5)</f>
        <v>0</v>
      </c>
      <c r="O125" t="str">
        <f>IF(N125,COUNTIF($N$5:N125,TRUE),"")</f>
        <v/>
      </c>
    </row>
    <row r="126" ht="46" customHeight="1">
      <c r="A126" s="26" t="inlineStr">
        <is>
          <t>HLT-14</t>
        </is>
      </c>
      <c r="B126" s="25" t="inlineStr">
        <is>
          <t>Healthcare</t>
        </is>
      </c>
      <c r="C126" s="25" t="inlineStr">
        <is>
          <t>Knowledge &amp; collaboration</t>
        </is>
      </c>
      <c r="D126" s="26" t="inlineStr">
        <is>
          <t>Clinical guideline Q&amp;A for staff</t>
        </is>
      </c>
      <c r="E126" s="25" t="inlineStr">
        <is>
          <t>Staff search protocols manually</t>
        </is>
      </c>
      <c r="F126" s="25" t="inlineStr">
        <is>
          <t>Answer questions from internal knowledge, policies or past work</t>
        </is>
      </c>
      <c r="G126" s="25" t="inlineStr">
        <is>
          <t>GenAI knowledge assistant (RAG on own content)</t>
        </is>
      </c>
      <c r="H126" s="25" t="inlineStr">
        <is>
          <t>Grounded assistant over approved clinical guidelines and protocols with citations.</t>
        </is>
      </c>
      <c r="I126" s="25" t="inlineStr">
        <is>
          <t>Approved guidelines</t>
        </is>
      </c>
      <c r="J126" s="25" t="inlineStr">
        <is>
          <t>Time to answer; protocol adherence</t>
        </is>
      </c>
      <c r="K126" s="25" t="inlineStr">
        <is>
          <t>Content governance; clinician judgement; not for diagnosis.</t>
        </is>
      </c>
      <c r="L126" s="25" t="inlineStr">
        <is>
          <t>Medium</t>
        </is>
      </c>
      <c r="M126" t="inlineStr">
        <is>
          <t>HLT-14 | Clinical guideline Q&amp;A for staff</t>
        </is>
      </c>
      <c r="N126" t="b">
        <f>OR('1. AI Position'!$C$5="",'1. AI Position'!$C$5="Other",B126="Cross-industry",B126='1. AI Position'!$C$5)</f>
        <v>0</v>
      </c>
      <c r="O126" t="str">
        <f>IF(N126,COUNTIF($N$5:N126,TRUE),"")</f>
        <v/>
      </c>
    </row>
    <row r="127" ht="46" customHeight="1">
      <c r="A127" s="26" t="inlineStr">
        <is>
          <t>HLT-15</t>
        </is>
      </c>
      <c r="B127" s="25" t="inlineStr">
        <is>
          <t>Healthcare</t>
        </is>
      </c>
      <c r="C127" s="25" t="inlineStr">
        <is>
          <t>Finance &amp; accounting</t>
        </is>
      </c>
      <c r="D127" s="26" t="inlineStr">
        <is>
          <t>Revenue-cycle analytics</t>
        </is>
      </c>
      <c r="E127" s="25" t="inlineStr">
        <is>
          <t>No view of leakage</t>
        </is>
      </c>
      <c r="F127" s="25" t="inlineStr">
        <is>
          <t>Produce reports, dashboards or reconciliations from existing data</t>
        </is>
      </c>
      <c r="G127" s="25" t="inlineStr">
        <is>
          <t>BI, dashboards &amp; reconciliation automation</t>
        </is>
      </c>
      <c r="H127" s="25" t="inlineStr">
        <is>
          <t>Revenue-cycle dashboards on charges, denials and collections.</t>
        </is>
      </c>
      <c r="I127" s="25" t="inlineStr">
        <is>
          <t>Billing and claims data</t>
        </is>
      </c>
      <c r="J127" s="25" t="inlineStr">
        <is>
          <t>Leakage identified; days in AR</t>
        </is>
      </c>
      <c r="K127" s="25" t="inlineStr">
        <is>
          <t>-</t>
        </is>
      </c>
      <c r="L127" s="25" t="inlineStr">
        <is>
          <t>Low</t>
        </is>
      </c>
      <c r="M127" t="inlineStr">
        <is>
          <t>HLT-15 | Revenue-cycle analytics</t>
        </is>
      </c>
      <c r="N127" t="b">
        <f>OR('1. AI Position'!$C$5="",'1. AI Position'!$C$5="Other",B127="Cross-industry",B127='1. AI Position'!$C$5)</f>
        <v>0</v>
      </c>
      <c r="O127" t="str">
        <f>IF(N127,COUNTIF($N$5:N127,TRUE),"")</f>
        <v/>
      </c>
    </row>
    <row r="128" ht="46" customHeight="1">
      <c r="A128" s="26" t="inlineStr">
        <is>
          <t>HLT-16</t>
        </is>
      </c>
      <c r="B128" s="25" t="inlineStr">
        <is>
          <t>Healthcare</t>
        </is>
      </c>
      <c r="C128" s="25" t="inlineStr">
        <is>
          <t>Core operations &amp; service delivery</t>
        </is>
      </c>
      <c r="D128" s="26" t="inlineStr">
        <is>
          <t>Medical-records digitisation</t>
        </is>
      </c>
      <c r="E128" s="25" t="inlineStr">
        <is>
          <t>Paper records hard to retrieve</t>
        </is>
      </c>
      <c r="F128" s="25" t="inlineStr">
        <is>
          <t>Extract information from documents, forms or emails</t>
        </is>
      </c>
      <c r="G128" s="25" t="inlineStr">
        <is>
          <t>Intelligent document processing (IDP)</t>
        </is>
      </c>
      <c r="H128" s="25" t="inlineStr">
        <is>
          <t>Scanning with IDP indexing into the EHR / document system.</t>
        </is>
      </c>
      <c r="I128" s="25" t="inlineStr">
        <is>
          <t>Paper records</t>
        </is>
      </c>
      <c r="J128" s="25" t="inlineStr">
        <is>
          <t>Retrieval time; records digitised</t>
        </is>
      </c>
      <c r="K128" s="25" t="inlineStr">
        <is>
          <t>Health data security; retention rules.</t>
        </is>
      </c>
      <c r="L128" s="25" t="inlineStr">
        <is>
          <t>Medium</t>
        </is>
      </c>
      <c r="M128" t="inlineStr">
        <is>
          <t>HLT-16 | Medical-records digitisation</t>
        </is>
      </c>
      <c r="N128" t="b">
        <f>OR('1. AI Position'!$C$5="",'1. AI Position'!$C$5="Other",B128="Cross-industry",B128='1. AI Position'!$C$5)</f>
        <v>0</v>
      </c>
      <c r="O128" t="str">
        <f>IF(N128,COUNTIF($N$5:N128,TRUE),"")</f>
        <v/>
      </c>
    </row>
    <row r="129" ht="46" customHeight="1">
      <c r="A129" s="26" t="inlineStr">
        <is>
          <t>HLT-17</t>
        </is>
      </c>
      <c r="B129" s="25" t="inlineStr">
        <is>
          <t>Healthcare</t>
        </is>
      </c>
      <c r="C129" s="25" t="inlineStr">
        <is>
          <t>HR &amp; people</t>
        </is>
      </c>
      <c r="D129" s="26" t="inlineStr">
        <is>
          <t>Staff rostering optimisation</t>
        </is>
      </c>
      <c r="E129" s="25" t="inlineStr">
        <is>
          <t>Rosters built manually; overtime high</t>
        </is>
      </c>
      <c r="F129" s="25" t="inlineStr">
        <is>
          <t>Forecast, score, classify or detect anomalies from historical data</t>
        </is>
      </c>
      <c r="G129" s="25" t="inlineStr">
        <is>
          <t>Predictive analytics / machine learning</t>
        </is>
      </c>
      <c r="H129" s="25" t="inlineStr">
        <is>
          <t>Optimisation-based rostering respecting skills, rules and preferences.</t>
        </is>
      </c>
      <c r="I129" s="25" t="inlineStr">
        <is>
          <t>Demand patterns, staff skills, rules</t>
        </is>
      </c>
      <c r="J129" s="25" t="inlineStr">
        <is>
          <t>Overtime; vacancy fill; staff satisfaction</t>
        </is>
      </c>
      <c r="K129" s="25" t="inlineStr">
        <is>
          <t>Fairness and labour rules.</t>
        </is>
      </c>
      <c r="L129" s="25" t="inlineStr">
        <is>
          <t>Low</t>
        </is>
      </c>
      <c r="M129" t="inlineStr">
        <is>
          <t>HLT-17 | Staff rostering optimisation</t>
        </is>
      </c>
      <c r="N129" t="b">
        <f>OR('1. AI Position'!$C$5="",'1. AI Position'!$C$5="Other",B129="Cross-industry",B129='1. AI Position'!$C$5)</f>
        <v>0</v>
      </c>
      <c r="O129" t="str">
        <f>IF(N129,COUNTIF($N$5:N129,TRUE),"")</f>
        <v/>
      </c>
    </row>
    <row r="130" ht="46" customHeight="1">
      <c r="A130" s="26" t="inlineStr">
        <is>
          <t>HLT-18</t>
        </is>
      </c>
      <c r="B130" s="25" t="inlineStr">
        <is>
          <t>Healthcare</t>
        </is>
      </c>
      <c r="C130" s="25" t="inlineStr">
        <is>
          <t>Customer service</t>
        </is>
      </c>
      <c r="D130" s="26" t="inlineStr">
        <is>
          <t>Patient-feedback analysis</t>
        </is>
      </c>
      <c r="E130" s="25" t="inlineStr">
        <is>
          <t>Feedback not analysed</t>
        </is>
      </c>
      <c r="F130" s="25" t="inlineStr">
        <is>
          <t>Draft, summarise, translate or review text</t>
        </is>
      </c>
      <c r="G130" s="25" t="inlineStr">
        <is>
          <t>Generative AI assistant (off-the-shelf)</t>
        </is>
      </c>
      <c r="H130" s="25" t="inlineStr">
        <is>
          <t>GenAI theme and sentiment analysis of patient feedback.</t>
        </is>
      </c>
      <c r="I130" s="25" t="inlineStr">
        <is>
          <t>Survey and complaint text</t>
        </is>
      </c>
      <c r="J130" s="25" t="inlineStr">
        <is>
          <t>Themes actioned; satisfaction</t>
        </is>
      </c>
      <c r="K130" s="25" t="inlineStr">
        <is>
          <t>De-identify patient data.</t>
        </is>
      </c>
      <c r="L130" s="25" t="inlineStr">
        <is>
          <t>Low</t>
        </is>
      </c>
      <c r="M130" t="inlineStr">
        <is>
          <t>HLT-18 | Patient-feedback analysis</t>
        </is>
      </c>
      <c r="N130" t="b">
        <f>OR('1. AI Position'!$C$5="",'1. AI Position'!$C$5="Other",B130="Cross-industry",B130='1. AI Position'!$C$5)</f>
        <v>0</v>
      </c>
      <c r="O130" t="str">
        <f>IF(N130,COUNTIF($N$5:N130,TRUE),"")</f>
        <v/>
      </c>
    </row>
    <row r="131" ht="46" customHeight="1">
      <c r="A131" s="26" t="inlineStr">
        <is>
          <t>HLT-19</t>
        </is>
      </c>
      <c r="B131" s="25" t="inlineStr">
        <is>
          <t>Healthcare</t>
        </is>
      </c>
      <c r="C131" s="25" t="inlineStr">
        <is>
          <t>Knowledge &amp; collaboration</t>
        </is>
      </c>
      <c r="D131" s="26" t="inlineStr">
        <is>
          <t>Research &amp; literature review</t>
        </is>
      </c>
      <c r="E131" s="25" t="inlineStr">
        <is>
          <t>Literature reviews take weeks</t>
        </is>
      </c>
      <c r="F131" s="25" t="inlineStr">
        <is>
          <t>Answer questions from internal knowledge, policies or past work</t>
        </is>
      </c>
      <c r="G131" s="25" t="inlineStr">
        <is>
          <t>GenAI knowledge assistant (RAG on own content)</t>
        </is>
      </c>
      <c r="H131" s="25" t="inlineStr">
        <is>
          <t>Research assistant over licensed literature databases with citations.</t>
        </is>
      </c>
      <c r="I131" s="25" t="inlineStr">
        <is>
          <t>Licensed databases</t>
        </is>
      </c>
      <c r="J131" s="25" t="inlineStr">
        <is>
          <t>Review time</t>
        </is>
      </c>
      <c r="K131" s="25" t="inlineStr">
        <is>
          <t>Verify citations; research ethics.</t>
        </is>
      </c>
      <c r="L131" s="25" t="inlineStr">
        <is>
          <t>Low</t>
        </is>
      </c>
      <c r="M131" t="inlineStr">
        <is>
          <t>HLT-19 | Research &amp; literature review</t>
        </is>
      </c>
      <c r="N131" t="b">
        <f>OR('1. AI Position'!$C$5="",'1. AI Position'!$C$5="Other",B131="Cross-industry",B131='1. AI Position'!$C$5)</f>
        <v>0</v>
      </c>
      <c r="O131" t="str">
        <f>IF(N131,COUNTIF($N$5:N131,TRUE),"")</f>
        <v/>
      </c>
    </row>
    <row r="132" ht="46" customHeight="1">
      <c r="A132" s="26" t="inlineStr">
        <is>
          <t>HLT-20</t>
        </is>
      </c>
      <c r="B132" s="25" t="inlineStr">
        <is>
          <t>Healthcare</t>
        </is>
      </c>
      <c r="C132" s="25" t="inlineStr">
        <is>
          <t>Customer service</t>
        </is>
      </c>
      <c r="D132" s="26" t="inlineStr">
        <is>
          <t>Post-discharge follow-up</t>
        </is>
      </c>
      <c r="E132" s="25" t="inlineStr">
        <is>
          <t>Follow-up calls not made</t>
        </is>
      </c>
      <c r="F132" s="25" t="inlineStr">
        <is>
          <t>Converse with customers, citizens or staff (chat, voice, WhatsApp)</t>
        </is>
      </c>
      <c r="G132" s="25" t="inlineStr">
        <is>
          <t>Conversational AI / virtual agent</t>
        </is>
      </c>
      <c r="H132" s="25" t="inlineStr">
        <is>
          <t>Automated follow-up messages with escalation to nurses on red-flag answers.</t>
        </is>
      </c>
      <c r="I132" s="25" t="inlineStr">
        <is>
          <t>Discharge lists, question protocol</t>
        </is>
      </c>
      <c r="J132" s="25" t="inlineStr">
        <is>
          <t>Readmissions; follow-up coverage</t>
        </is>
      </c>
      <c r="K132" s="25" t="inlineStr">
        <is>
          <t>Clinical escalation protocol; patient consent.</t>
        </is>
      </c>
      <c r="L132" s="25" t="inlineStr">
        <is>
          <t>Medium</t>
        </is>
      </c>
      <c r="M132" t="inlineStr">
        <is>
          <t>HLT-20 | Post-discharge follow-up</t>
        </is>
      </c>
      <c r="N132" t="b">
        <f>OR('1. AI Position'!$C$5="",'1. AI Position'!$C$5="Other",B132="Cross-industry",B132='1. AI Position'!$C$5)</f>
        <v>0</v>
      </c>
      <c r="O132" t="str">
        <f>IF(N132,COUNTIF($N$5:N132,TRUE),"")</f>
        <v/>
      </c>
    </row>
    <row r="133" ht="46" customHeight="1">
      <c r="A133" s="26" t="inlineStr">
        <is>
          <t>TEL-01</t>
        </is>
      </c>
      <c r="B133" s="25" t="inlineStr">
        <is>
          <t>Telecommunications</t>
        </is>
      </c>
      <c r="C133" s="25" t="inlineStr">
        <is>
          <t>Assets, facilities &amp; maintenance</t>
        </is>
      </c>
      <c r="D133" s="26" t="inlineStr">
        <is>
          <t>Network fault prediction &amp; predictive maintenance</t>
        </is>
      </c>
      <c r="E133" s="25" t="inlineStr">
        <is>
          <t>Outages detected by customers</t>
        </is>
      </c>
      <c r="F133" s="25" t="inlineStr">
        <is>
          <t>Forecast, score, classify or detect anomalies from historical data</t>
        </is>
      </c>
      <c r="G133" s="25" t="inlineStr">
        <is>
          <t>Predictive analytics / machine learning</t>
        </is>
      </c>
      <c r="H133" s="25" t="inlineStr">
        <is>
          <t>ML on network telemetry to predict faults and trigger proactive maintenance.</t>
        </is>
      </c>
      <c r="I133" s="25" t="inlineStr">
        <is>
          <t>Alarm and performance history, tickets</t>
        </is>
      </c>
      <c r="J133" s="25" t="inlineStr">
        <is>
          <t>Network availability; MTTR; truck rolls</t>
        </is>
      </c>
      <c r="K133" s="25" t="inlineStr">
        <is>
          <t>Critical infrastructure - resilience controls.</t>
        </is>
      </c>
      <c r="L133" s="25" t="inlineStr">
        <is>
          <t>Medium</t>
        </is>
      </c>
      <c r="M133" t="inlineStr">
        <is>
          <t>TEL-01 | Network fault prediction &amp; predictive maintenance</t>
        </is>
      </c>
      <c r="N133" t="b">
        <f>OR('1. AI Position'!$C$5="",'1. AI Position'!$C$5="Other",B133="Cross-industry",B133='1. AI Position'!$C$5)</f>
        <v>0</v>
      </c>
      <c r="O133" t="str">
        <f>IF(N133,COUNTIF($N$5:N133,TRUE),"")</f>
        <v/>
      </c>
    </row>
    <row r="134" ht="46" customHeight="1">
      <c r="A134" s="26" t="inlineStr">
        <is>
          <t>TEL-02</t>
        </is>
      </c>
      <c r="B134" s="25" t="inlineStr">
        <is>
          <t>Telecommunications</t>
        </is>
      </c>
      <c r="C134" s="25" t="inlineStr">
        <is>
          <t>Core operations &amp; service delivery</t>
        </is>
      </c>
      <c r="D134" s="26" t="inlineStr">
        <is>
          <t>Alarm correlation &amp; root cause (AIOps)</t>
        </is>
      </c>
      <c r="E134" s="25" t="inlineStr">
        <is>
          <t>NOC flooded with alarms</t>
        </is>
      </c>
      <c r="F134" s="25" t="inlineStr">
        <is>
          <t>Forecast, score, classify or detect anomalies from historical data</t>
        </is>
      </c>
      <c r="G134" s="25" t="inlineStr">
        <is>
          <t>Predictive analytics / machine learning</t>
        </is>
      </c>
      <c r="H134" s="25" t="inlineStr">
        <is>
          <t>AIOps correlation and probable-root-cause suggestions for NOC engineers.</t>
        </is>
      </c>
      <c r="I134" s="25" t="inlineStr">
        <is>
          <t>Alarms, topology, incident history</t>
        </is>
      </c>
      <c r="J134" s="25" t="inlineStr">
        <is>
          <t>Alarm reduction; MTTR</t>
        </is>
      </c>
      <c r="K134" s="25" t="inlineStr">
        <is>
          <t>-</t>
        </is>
      </c>
      <c r="L134" s="25" t="inlineStr">
        <is>
          <t>Low</t>
        </is>
      </c>
      <c r="M134" t="inlineStr">
        <is>
          <t>TEL-02 | Alarm correlation &amp; root cause (AIOps)</t>
        </is>
      </c>
      <c r="N134" t="b">
        <f>OR('1. AI Position'!$C$5="",'1. AI Position'!$C$5="Other",B134="Cross-industry",B134='1. AI Position'!$C$5)</f>
        <v>0</v>
      </c>
      <c r="O134" t="str">
        <f>IF(N134,COUNTIF($N$5:N134,TRUE),"")</f>
        <v/>
      </c>
    </row>
    <row r="135" ht="46" customHeight="1">
      <c r="A135" s="26" t="inlineStr">
        <is>
          <t>TEL-03</t>
        </is>
      </c>
      <c r="B135" s="25" t="inlineStr">
        <is>
          <t>Telecommunications</t>
        </is>
      </c>
      <c r="C135" s="25" t="inlineStr">
        <is>
          <t>Sales &amp; marketing</t>
        </is>
      </c>
      <c r="D135" s="26" t="inlineStr">
        <is>
          <t>Churn prediction &amp; retention offers</t>
        </is>
      </c>
      <c r="E135" s="25" t="inlineStr">
        <is>
          <t>Postpaid churn at contract end</t>
        </is>
      </c>
      <c r="F135" s="25" t="inlineStr">
        <is>
          <t>Forecast, score, classify or detect anomalies from historical data</t>
        </is>
      </c>
      <c r="G135" s="25" t="inlineStr">
        <is>
          <t>Predictive analytics / machine learning</t>
        </is>
      </c>
      <c r="H135" s="25" t="inlineStr">
        <is>
          <t>Churn propensity with next-best-retention-offer and controlled experiments.</t>
        </is>
      </c>
      <c r="I135" s="25" t="inlineStr">
        <is>
          <t>Usage, billing, care interactions, churn labels</t>
        </is>
      </c>
      <c r="J135" s="25" t="inlineStr">
        <is>
          <t>Churn rate; retention ROI</t>
        </is>
      </c>
      <c r="K135" s="25" t="inlineStr">
        <is>
          <t>Consent for marketing; fairness of offers; TRA consumer rules.</t>
        </is>
      </c>
      <c r="L135" s="25" t="inlineStr">
        <is>
          <t>Medium</t>
        </is>
      </c>
      <c r="M135" t="inlineStr">
        <is>
          <t>TEL-03 | Churn prediction &amp; retention offers</t>
        </is>
      </c>
      <c r="N135" t="b">
        <f>OR('1. AI Position'!$C$5="",'1. AI Position'!$C$5="Other",B135="Cross-industry",B135='1. AI Position'!$C$5)</f>
        <v>0</v>
      </c>
      <c r="O135" t="str">
        <f>IF(N135,COUNTIF($N$5:N135,TRUE),"")</f>
        <v/>
      </c>
    </row>
    <row r="136" ht="46" customHeight="1">
      <c r="A136" s="26" t="inlineStr">
        <is>
          <t>TEL-04</t>
        </is>
      </c>
      <c r="B136" s="25" t="inlineStr">
        <is>
          <t>Telecommunications</t>
        </is>
      </c>
      <c r="C136" s="25" t="inlineStr">
        <is>
          <t>Customer service</t>
        </is>
      </c>
      <c r="D136" s="26" t="inlineStr">
        <is>
          <t>Customer-care virtual agent</t>
        </is>
      </c>
      <c r="E136" s="25" t="inlineStr">
        <is>
          <t>Calls on bills, plans and roaming</t>
        </is>
      </c>
      <c r="F136" s="25" t="inlineStr">
        <is>
          <t>Converse with customers, citizens or staff (chat, voice, WhatsApp)</t>
        </is>
      </c>
      <c r="G136" s="25" t="inlineStr">
        <is>
          <t>Conversational AI / virtual agent</t>
        </is>
      </c>
      <c r="H136" s="25" t="inlineStr">
        <is>
          <t>Bilingual virtual agent with account integration for bills, plans and troubleshooting.</t>
        </is>
      </c>
      <c r="I136" s="25" t="inlineStr">
        <is>
          <t>FAQs, BSS / OSS APIs</t>
        </is>
      </c>
      <c r="J136" s="25" t="inlineStr">
        <is>
          <t>Containment; AHT; CSAT</t>
        </is>
      </c>
      <c r="K136" s="25" t="inlineStr">
        <is>
          <t>Disclose AI; authentication; TRA consumer protection.</t>
        </is>
      </c>
      <c r="L136" s="25" t="inlineStr">
        <is>
          <t>Medium</t>
        </is>
      </c>
      <c r="M136" t="inlineStr">
        <is>
          <t>TEL-04 | Customer-care virtual agent</t>
        </is>
      </c>
      <c r="N136" t="b">
        <f>OR('1. AI Position'!$C$5="",'1. AI Position'!$C$5="Other",B136="Cross-industry",B136='1. AI Position'!$C$5)</f>
        <v>0</v>
      </c>
      <c r="O136" t="str">
        <f>IF(N136,COUNTIF($N$5:N136,TRUE),"")</f>
        <v/>
      </c>
    </row>
    <row r="137" ht="46" customHeight="1">
      <c r="A137" s="26" t="inlineStr">
        <is>
          <t>TEL-05</t>
        </is>
      </c>
      <c r="B137" s="25" t="inlineStr">
        <is>
          <t>Telecommunications</t>
        </is>
      </c>
      <c r="C137" s="25" t="inlineStr">
        <is>
          <t>Core operations &amp; service delivery</t>
        </is>
      </c>
      <c r="D137" s="26" t="inlineStr">
        <is>
          <t>Field-force dispatch &amp; scheduling</t>
        </is>
      </c>
      <c r="E137" s="25" t="inlineStr">
        <is>
          <t>Inefficient technician routing</t>
        </is>
      </c>
      <c r="F137" s="25" t="inlineStr">
        <is>
          <t>Forecast, score, classify or detect anomalies from historical data</t>
        </is>
      </c>
      <c r="G137" s="25" t="inlineStr">
        <is>
          <t>Predictive analytics / machine learning</t>
        </is>
      </c>
      <c r="H137" s="25" t="inlineStr">
        <is>
          <t>Optimisation of dispatch and routes with skills and SLA constraints.</t>
        </is>
      </c>
      <c r="I137" s="25" t="inlineStr">
        <is>
          <t>Work orders, locations, skills</t>
        </is>
      </c>
      <c r="J137" s="25" t="inlineStr">
        <is>
          <t>Jobs per technician; SLA met</t>
        </is>
      </c>
      <c r="K137" s="25" t="inlineStr">
        <is>
          <t>-</t>
        </is>
      </c>
      <c r="L137" s="25" t="inlineStr">
        <is>
          <t>Low</t>
        </is>
      </c>
      <c r="M137" t="inlineStr">
        <is>
          <t>TEL-05 | Field-force dispatch &amp; scheduling</t>
        </is>
      </c>
      <c r="N137" t="b">
        <f>OR('1. AI Position'!$C$5="",'1. AI Position'!$C$5="Other",B137="Cross-industry",B137='1. AI Position'!$C$5)</f>
        <v>0</v>
      </c>
      <c r="O137" t="str">
        <f>IF(N137,COUNTIF($N$5:N137,TRUE),"")</f>
        <v/>
      </c>
    </row>
    <row r="138" ht="46" customHeight="1">
      <c r="A138" s="26" t="inlineStr">
        <is>
          <t>TEL-06</t>
        </is>
      </c>
      <c r="B138" s="25" t="inlineStr">
        <is>
          <t>Telecommunications</t>
        </is>
      </c>
      <c r="C138" s="25" t="inlineStr">
        <is>
          <t>Core operations &amp; service delivery</t>
        </is>
      </c>
      <c r="D138" s="26" t="inlineStr">
        <is>
          <t>Order-to-activation provisioning</t>
        </is>
      </c>
      <c r="E138" s="25" t="inlineStr">
        <is>
          <t>Orders re-keyed across systems</t>
        </is>
      </c>
      <c r="F138" s="25" t="inlineStr">
        <is>
          <t>Move or re-key data between systems following fixed rules</t>
        </is>
      </c>
      <c r="G138" s="25" t="inlineStr">
        <is>
          <t>Workflow automation / RPA</t>
        </is>
      </c>
      <c r="H138" s="25" t="inlineStr">
        <is>
          <t>End-to-end order orchestration with RPA for legacy steps.</t>
        </is>
      </c>
      <c r="I138" s="25" t="inlineStr">
        <is>
          <t>Order and provisioning systems</t>
        </is>
      </c>
      <c r="J138" s="25" t="inlineStr">
        <is>
          <t>Activation time; fallout rate</t>
        </is>
      </c>
      <c r="K138" s="25" t="inlineStr">
        <is>
          <t>-</t>
        </is>
      </c>
      <c r="L138" s="25" t="inlineStr">
        <is>
          <t>Low</t>
        </is>
      </c>
      <c r="M138" t="inlineStr">
        <is>
          <t>TEL-06 | Order-to-activation provisioning</t>
        </is>
      </c>
      <c r="N138" t="b">
        <f>OR('1. AI Position'!$C$5="",'1. AI Position'!$C$5="Other",B138="Cross-industry",B138='1. AI Position'!$C$5)</f>
        <v>0</v>
      </c>
      <c r="O138" t="str">
        <f>IF(N138,COUNTIF($N$5:N138,TRUE),"")</f>
        <v/>
      </c>
    </row>
    <row r="139" ht="46" customHeight="1">
      <c r="A139" s="26" t="inlineStr">
        <is>
          <t>TEL-07</t>
        </is>
      </c>
      <c r="B139" s="25" t="inlineStr">
        <is>
          <t>Telecommunications</t>
        </is>
      </c>
      <c r="C139" s="25" t="inlineStr">
        <is>
          <t>Customer service</t>
        </is>
      </c>
      <c r="D139" s="26" t="inlineStr">
        <is>
          <t>Billing disputes &amp; adjustments</t>
        </is>
      </c>
      <c r="E139" s="25" t="inlineStr">
        <is>
          <t>Disputes handled case by case</t>
        </is>
      </c>
      <c r="F139" s="25" t="inlineStr">
        <is>
          <t>Check or approve items against fixed criteria (rules, thresholds, checklists)</t>
        </is>
      </c>
      <c r="G139" s="25" t="inlineStr">
        <is>
          <t>Rules engine / workflow automation</t>
        </is>
      </c>
      <c r="H139" s="25" t="inlineStr">
        <is>
          <t>Rules-based adjustment approval within limits; GenAI case summary for complex disputes.</t>
        </is>
      </c>
      <c r="I139" s="25" t="inlineStr">
        <is>
          <t>Billing records, dispute history</t>
        </is>
      </c>
      <c r="J139" s="25" t="inlineStr">
        <is>
          <t>Resolution time; adjustment leakage</t>
        </is>
      </c>
      <c r="K139" s="25" t="inlineStr">
        <is>
          <t>Approval limits.</t>
        </is>
      </c>
      <c r="L139" s="25" t="inlineStr">
        <is>
          <t>Low</t>
        </is>
      </c>
      <c r="M139" t="inlineStr">
        <is>
          <t>TEL-07 | Billing disputes &amp; adjustments</t>
        </is>
      </c>
      <c r="N139" t="b">
        <f>OR('1. AI Position'!$C$5="",'1. AI Position'!$C$5="Other",B139="Cross-industry",B139='1. AI Position'!$C$5)</f>
        <v>0</v>
      </c>
      <c r="O139" t="str">
        <f>IF(N139,COUNTIF($N$5:N139,TRUE),"")</f>
        <v/>
      </c>
    </row>
    <row r="140" ht="46" customHeight="1">
      <c r="A140" s="26" t="inlineStr">
        <is>
          <t>TEL-08</t>
        </is>
      </c>
      <c r="B140" s="25" t="inlineStr">
        <is>
          <t>Telecommunications</t>
        </is>
      </c>
      <c r="C140" s="25" t="inlineStr">
        <is>
          <t>Finance &amp; accounting</t>
        </is>
      </c>
      <c r="D140" s="26" t="inlineStr">
        <is>
          <t>Revenue assurance &amp; leakage detection</t>
        </is>
      </c>
      <c r="E140" s="25" t="inlineStr">
        <is>
          <t>Unbilled usage and rating errors</t>
        </is>
      </c>
      <c r="F140" s="25" t="inlineStr">
        <is>
          <t>Forecast, score, classify or detect anomalies from historical data</t>
        </is>
      </c>
      <c r="G140" s="25" t="inlineStr">
        <is>
          <t>Predictive analytics / machine learning</t>
        </is>
      </c>
      <c r="H140" s="25" t="inlineStr">
        <is>
          <t>Automated reconciliation of network usage to billing with ML anomaly detection.</t>
        </is>
      </c>
      <c r="I140" s="25" t="inlineStr">
        <is>
          <t>CDRs, billing data</t>
        </is>
      </c>
      <c r="J140" s="25" t="inlineStr">
        <is>
          <t>Leakage recovered; detection time</t>
        </is>
      </c>
      <c r="K140" s="25" t="inlineStr">
        <is>
          <t>-</t>
        </is>
      </c>
      <c r="L140" s="25" t="inlineStr">
        <is>
          <t>Low</t>
        </is>
      </c>
      <c r="M140" t="inlineStr">
        <is>
          <t>TEL-08 | Revenue assurance &amp; leakage detection</t>
        </is>
      </c>
      <c r="N140" t="b">
        <f>OR('1. AI Position'!$C$5="",'1. AI Position'!$C$5="Other",B140="Cross-industry",B140='1. AI Position'!$C$5)</f>
        <v>0</v>
      </c>
      <c r="O140" t="str">
        <f>IF(N140,COUNTIF($N$5:N140,TRUE),"")</f>
        <v/>
      </c>
    </row>
    <row r="141" ht="46" customHeight="1">
      <c r="A141" s="26" t="inlineStr">
        <is>
          <t>TEL-09</t>
        </is>
      </c>
      <c r="B141" s="25" t="inlineStr">
        <is>
          <t>Telecommunications</t>
        </is>
      </c>
      <c r="C141" s="25" t="inlineStr">
        <is>
          <t>Risk, compliance &amp; legal</t>
        </is>
      </c>
      <c r="D141" s="26" t="inlineStr">
        <is>
          <t>Telecom fraud detection (SIM-swap, IRSF, wangiri)</t>
        </is>
      </c>
      <c r="E141" s="25" t="inlineStr">
        <is>
          <t>Fraud losses and customer account takeovers</t>
        </is>
      </c>
      <c r="F141" s="25" t="inlineStr">
        <is>
          <t>Forecast, score, classify or detect anomalies from historical data</t>
        </is>
      </c>
      <c r="G141" s="25" t="inlineStr">
        <is>
          <t>Predictive analytics / machine learning</t>
        </is>
      </c>
      <c r="H141" s="25" t="inlineStr">
        <is>
          <t>Real-time fraud scoring with automated blocking rules for high-confidence patterns and analyst review.</t>
        </is>
      </c>
      <c r="I141" s="25" t="inlineStr">
        <is>
          <t>CDRs, SIM events, fraud cases</t>
        </is>
      </c>
      <c r="J141" s="25" t="inlineStr">
        <is>
          <t>Fraud losses; detection time; false blocks</t>
        </is>
      </c>
      <c r="K141" s="25" t="inlineStr">
        <is>
          <t>Customer-impact review; TRA requirements.</t>
        </is>
      </c>
      <c r="L141" s="25" t="inlineStr">
        <is>
          <t>Medium</t>
        </is>
      </c>
      <c r="M141" t="inlineStr">
        <is>
          <t>TEL-09 | Telecom fraud detection (SIM-swap, IRSF, wangiri)</t>
        </is>
      </c>
      <c r="N141" t="b">
        <f>OR('1. AI Position'!$C$5="",'1. AI Position'!$C$5="Other",B141="Cross-industry",B141='1. AI Position'!$C$5)</f>
        <v>0</v>
      </c>
      <c r="O141" t="str">
        <f>IF(N141,COUNTIF($N$5:N141,TRUE),"")</f>
        <v/>
      </c>
    </row>
    <row r="142" ht="46" customHeight="1">
      <c r="A142" s="26" t="inlineStr">
        <is>
          <t>TEL-10</t>
        </is>
      </c>
      <c r="B142" s="25" t="inlineStr">
        <is>
          <t>Telecommunications</t>
        </is>
      </c>
      <c r="C142" s="25" t="inlineStr">
        <is>
          <t>Sales &amp; marketing</t>
        </is>
      </c>
      <c r="D142" s="26" t="inlineStr">
        <is>
          <t>Next-best offer &amp; personalisation</t>
        </is>
      </c>
      <c r="E142" s="25" t="inlineStr">
        <is>
          <t>Generic offers</t>
        </is>
      </c>
      <c r="F142" s="25" t="inlineStr">
        <is>
          <t>Forecast, score, classify or detect anomalies from historical data</t>
        </is>
      </c>
      <c r="G142" s="25" t="inlineStr">
        <is>
          <t>Predictive analytics / machine learning</t>
        </is>
      </c>
      <c r="H142" s="25" t="inlineStr">
        <is>
          <t>Propensity models and offer engine across app and care channels.</t>
        </is>
      </c>
      <c r="I142" s="25" t="inlineStr">
        <is>
          <t>Usage and campaign history</t>
        </is>
      </c>
      <c r="J142" s="25" t="inlineStr">
        <is>
          <t>Take-up rate; ARPU uplift</t>
        </is>
      </c>
      <c r="K142" s="25" t="inlineStr">
        <is>
          <t>Consent and profiling transparency (PDPL).</t>
        </is>
      </c>
      <c r="L142" s="25" t="inlineStr">
        <is>
          <t>Medium</t>
        </is>
      </c>
      <c r="M142" t="inlineStr">
        <is>
          <t>TEL-10 | Next-best offer &amp; personalisation</t>
        </is>
      </c>
      <c r="N142" t="b">
        <f>OR('1. AI Position'!$C$5="",'1. AI Position'!$C$5="Other",B142="Cross-industry",B142='1. AI Position'!$C$5)</f>
        <v>0</v>
      </c>
      <c r="O142" t="str">
        <f>IF(N142,COUNTIF($N$5:N142,TRUE),"")</f>
        <v/>
      </c>
    </row>
    <row r="143" ht="46" customHeight="1">
      <c r="A143" s="26" t="inlineStr">
        <is>
          <t>TEL-11</t>
        </is>
      </c>
      <c r="B143" s="25" t="inlineStr">
        <is>
          <t>Telecommunications</t>
        </is>
      </c>
      <c r="C143" s="25" t="inlineStr">
        <is>
          <t>Customer service</t>
        </is>
      </c>
      <c r="D143" s="26" t="inlineStr">
        <is>
          <t>Contact-centre speech analytics</t>
        </is>
      </c>
      <c r="E143" s="25" t="inlineStr">
        <is>
          <t>Limited QA coverage</t>
        </is>
      </c>
      <c r="F143" s="25" t="inlineStr">
        <is>
          <t>Recognise or inspect images, video or speech</t>
        </is>
      </c>
      <c r="G143" s="25" t="inlineStr">
        <is>
          <t>Computer vision / speech AI</t>
        </is>
      </c>
      <c r="H143" s="25" t="inlineStr">
        <is>
          <t>Speech analytics for 100% call QA, topic trends and compliance.</t>
        </is>
      </c>
      <c r="I143" s="25" t="inlineStr">
        <is>
          <t>Call recordings</t>
        </is>
      </c>
      <c r="J143" s="25" t="inlineStr">
        <is>
          <t>QA coverage; repeat calls</t>
        </is>
      </c>
      <c r="K143" s="25" t="inlineStr">
        <is>
          <t>Recording consent; no employee emotion recognition.</t>
        </is>
      </c>
      <c r="L143" s="25" t="inlineStr">
        <is>
          <t>Medium</t>
        </is>
      </c>
      <c r="M143" t="inlineStr">
        <is>
          <t>TEL-11 | Contact-centre speech analytics</t>
        </is>
      </c>
      <c r="N143" t="b">
        <f>OR('1. AI Position'!$C$5="",'1. AI Position'!$C$5="Other",B143="Cross-industry",B143='1. AI Position'!$C$5)</f>
        <v>0</v>
      </c>
      <c r="O143" t="str">
        <f>IF(N143,COUNTIF($N$5:N143,TRUE),"")</f>
        <v/>
      </c>
    </row>
    <row r="144" ht="46" customHeight="1">
      <c r="A144" s="26" t="inlineStr">
        <is>
          <t>TEL-12</t>
        </is>
      </c>
      <c r="B144" s="25" t="inlineStr">
        <is>
          <t>Telecommunications</t>
        </is>
      </c>
      <c r="C144" s="25" t="inlineStr">
        <is>
          <t>Strategy, management &amp; reporting</t>
        </is>
      </c>
      <c r="D144" s="26" t="inlineStr">
        <is>
          <t>Network capacity planning</t>
        </is>
      </c>
      <c r="E144" s="25" t="inlineStr">
        <is>
          <t>Capacity added late or early</t>
        </is>
      </c>
      <c r="F144" s="25" t="inlineStr">
        <is>
          <t>Forecast, score, classify or detect anomalies from historical data</t>
        </is>
      </c>
      <c r="G144" s="25" t="inlineStr">
        <is>
          <t>Predictive analytics / machine learning</t>
        </is>
      </c>
      <c r="H144" s="25" t="inlineStr">
        <is>
          <t>Traffic forecasting by cell and site for capex planning.</t>
        </is>
      </c>
      <c r="I144" s="25" t="inlineStr">
        <is>
          <t>Traffic history, growth drivers</t>
        </is>
      </c>
      <c r="J144" s="25" t="inlineStr">
        <is>
          <t>Congested cells; capex efficiency</t>
        </is>
      </c>
      <c r="K144" s="25" t="inlineStr">
        <is>
          <t>-</t>
        </is>
      </c>
      <c r="L144" s="25" t="inlineStr">
        <is>
          <t>Low</t>
        </is>
      </c>
      <c r="M144" t="inlineStr">
        <is>
          <t>TEL-12 | Network capacity planning</t>
        </is>
      </c>
      <c r="N144" t="b">
        <f>OR('1. AI Position'!$C$5="",'1. AI Position'!$C$5="Other",B144="Cross-industry",B144='1. AI Position'!$C$5)</f>
        <v>0</v>
      </c>
      <c r="O144" t="str">
        <f>IF(N144,COUNTIF($N$5:N144,TRUE),"")</f>
        <v/>
      </c>
    </row>
    <row r="145" ht="46" customHeight="1">
      <c r="A145" s="26" t="inlineStr">
        <is>
          <t>TEL-13</t>
        </is>
      </c>
      <c r="B145" s="25" t="inlineStr">
        <is>
          <t>Telecommunications</t>
        </is>
      </c>
      <c r="C145" s="25" t="inlineStr">
        <is>
          <t>Assets, facilities &amp; maintenance</t>
        </is>
      </c>
      <c r="D145" s="26" t="inlineStr">
        <is>
          <t>Site lease &amp; tower document management</t>
        </is>
      </c>
      <c r="E145" s="25" t="inlineStr">
        <is>
          <t>Lease terms scattered</t>
        </is>
      </c>
      <c r="F145" s="25" t="inlineStr">
        <is>
          <t>Extract information from documents, forms or emails</t>
        </is>
      </c>
      <c r="G145" s="25" t="inlineStr">
        <is>
          <t>Intelligent document processing (IDP)</t>
        </is>
      </c>
      <c r="H145" s="25" t="inlineStr">
        <is>
          <t>IDP abstraction of site leases with renewal and payment alerts.</t>
        </is>
      </c>
      <c r="I145" s="25" t="inlineStr">
        <is>
          <t>Lease documents</t>
        </is>
      </c>
      <c r="J145" s="25" t="inlineStr">
        <is>
          <t>Missed renewals; abstraction time</t>
        </is>
      </c>
      <c r="K145" s="25" t="inlineStr">
        <is>
          <t>-</t>
        </is>
      </c>
      <c r="L145" s="25" t="inlineStr">
        <is>
          <t>Low</t>
        </is>
      </c>
      <c r="M145" t="inlineStr">
        <is>
          <t>TEL-13 | Site lease &amp; tower document management</t>
        </is>
      </c>
      <c r="N145" t="b">
        <f>OR('1. AI Position'!$C$5="",'1. AI Position'!$C$5="Other",B145="Cross-industry",B145='1. AI Position'!$C$5)</f>
        <v>0</v>
      </c>
      <c r="O145" t="str">
        <f>IF(N145,COUNTIF($N$5:N145,TRUE),"")</f>
        <v/>
      </c>
    </row>
    <row r="146" ht="46" customHeight="1">
      <c r="A146" s="26" t="inlineStr">
        <is>
          <t>TEL-14</t>
        </is>
      </c>
      <c r="B146" s="25" t="inlineStr">
        <is>
          <t>Telecommunications</t>
        </is>
      </c>
      <c r="C146" s="25" t="inlineStr">
        <is>
          <t>Risk, compliance &amp; legal</t>
        </is>
      </c>
      <c r="D146" s="26" t="inlineStr">
        <is>
          <t>Regulatory &amp; QoS reporting (TRA)</t>
        </is>
      </c>
      <c r="E146" s="25" t="inlineStr">
        <is>
          <t>Manual compilation of returns</t>
        </is>
      </c>
      <c r="F146" s="25" t="inlineStr">
        <is>
          <t>Produce reports, dashboards or reconciliations from existing data</t>
        </is>
      </c>
      <c r="G146" s="25" t="inlineStr">
        <is>
          <t>BI, dashboards &amp; reconciliation automation</t>
        </is>
      </c>
      <c r="H146" s="25" t="inlineStr">
        <is>
          <t>Automated QoS and regulatory reporting pipelines with validation.</t>
        </is>
      </c>
      <c r="I146" s="25" t="inlineStr">
        <is>
          <t>Network KPIs, customer data</t>
        </is>
      </c>
      <c r="J146" s="25" t="inlineStr">
        <is>
          <t>Reporting time; resubmissions</t>
        </is>
      </c>
      <c r="K146" s="25" t="inlineStr">
        <is>
          <t>TRA reporting accuracy.</t>
        </is>
      </c>
      <c r="L146" s="25" t="inlineStr">
        <is>
          <t>Low</t>
        </is>
      </c>
      <c r="M146" t="inlineStr">
        <is>
          <t>TEL-14 | Regulatory &amp; QoS reporting (TRA)</t>
        </is>
      </c>
      <c r="N146" t="b">
        <f>OR('1. AI Position'!$C$5="",'1. AI Position'!$C$5="Other",B146="Cross-industry",B146='1. AI Position'!$C$5)</f>
        <v>0</v>
      </c>
      <c r="O146" t="str">
        <f>IF(N146,COUNTIF($N$5:N146,TRUE),"")</f>
        <v/>
      </c>
    </row>
    <row r="147" ht="46" customHeight="1">
      <c r="A147" s="26" t="inlineStr">
        <is>
          <t>TEL-15</t>
        </is>
      </c>
      <c r="B147" s="25" t="inlineStr">
        <is>
          <t>Telecommunications</t>
        </is>
      </c>
      <c r="C147" s="25" t="inlineStr">
        <is>
          <t>Customer service</t>
        </is>
      </c>
      <c r="D147" s="26" t="inlineStr">
        <is>
          <t>Agentic self-service (plan changes, troubleshooting)</t>
        </is>
      </c>
      <c r="E147" s="25" t="inlineStr">
        <is>
          <t>Customers need an agent for simple changes</t>
        </is>
      </c>
      <c r="F147" s="25" t="inlineStr">
        <is>
          <t>Coordinate multi-step work across systems that needs judgement</t>
        </is>
      </c>
      <c r="G147" s="25" t="inlineStr">
        <is>
          <t>Agentic AI (supervised agents)</t>
        </is>
      </c>
      <c r="H147" s="25" t="inlineStr">
        <is>
          <t>Supervised agent executing plan changes and guided troubleshooting within strict permissions; confirmation before any charge.</t>
        </is>
      </c>
      <c r="I147" s="25" t="inlineStr">
        <is>
          <t>BSS / OSS APIs, product catalogue</t>
        </is>
      </c>
      <c r="J147" s="25" t="inlineStr">
        <is>
          <t>Self-service completion; cost per contact</t>
        </is>
      </c>
      <c r="K147" s="25" t="inlineStr">
        <is>
          <t>Least privilege; customer confirmation; logging (ISACA 2026; OWASP LLM06).</t>
        </is>
      </c>
      <c r="L147" s="25" t="inlineStr">
        <is>
          <t>Medium</t>
        </is>
      </c>
      <c r="M147" t="inlineStr">
        <is>
          <t>TEL-15 | Agentic self-service (plan changes, troubleshooting)</t>
        </is>
      </c>
      <c r="N147" t="b">
        <f>OR('1. AI Position'!$C$5="",'1. AI Position'!$C$5="Other",B147="Cross-industry",B147='1. AI Position'!$C$5)</f>
        <v>0</v>
      </c>
      <c r="O147" t="str">
        <f>IF(N147,COUNTIF($N$5:N147,TRUE),"")</f>
        <v/>
      </c>
    </row>
    <row r="148" ht="46" customHeight="1">
      <c r="A148" s="26" t="inlineStr">
        <is>
          <t>TEL-16</t>
        </is>
      </c>
      <c r="B148" s="25" t="inlineStr">
        <is>
          <t>Telecommunications</t>
        </is>
      </c>
      <c r="C148" s="25" t="inlineStr">
        <is>
          <t>Core operations &amp; service delivery</t>
        </is>
      </c>
      <c r="D148" s="26" t="inlineStr">
        <is>
          <t>SIM registration &amp; ID verification</t>
        </is>
      </c>
      <c r="E148" s="25" t="inlineStr">
        <is>
          <t>Manual ID checks in stores</t>
        </is>
      </c>
      <c r="F148" s="25" t="inlineStr">
        <is>
          <t>Extract information from documents, forms or emails</t>
        </is>
      </c>
      <c r="G148" s="25" t="inlineStr">
        <is>
          <t>Intelligent document processing (IDP)</t>
        </is>
      </c>
      <c r="H148" s="25" t="inlineStr">
        <is>
          <t>ID capture and verification with automated data entry; staff confirm.</t>
        </is>
      </c>
      <c r="I148" s="25" t="inlineStr">
        <is>
          <t>ID documents</t>
        </is>
      </c>
      <c r="J148" s="25" t="inlineStr">
        <is>
          <t>Registration time; errors</t>
        </is>
      </c>
      <c r="K148" s="25" t="inlineStr">
        <is>
          <t>Telecom KYC / SIM-registration requirements; biometric data sensitive.</t>
        </is>
      </c>
      <c r="L148" s="25" t="inlineStr">
        <is>
          <t>Medium</t>
        </is>
      </c>
      <c r="M148" t="inlineStr">
        <is>
          <t>TEL-16 | SIM registration &amp; ID verification</t>
        </is>
      </c>
      <c r="N148" t="b">
        <f>OR('1. AI Position'!$C$5="",'1. AI Position'!$C$5="Other",B148="Cross-industry",B148='1. AI Position'!$C$5)</f>
        <v>0</v>
      </c>
      <c r="O148" t="str">
        <f>IF(N148,COUNTIF($N$5:N148,TRUE),"")</f>
        <v/>
      </c>
    </row>
    <row r="149" ht="46" customHeight="1">
      <c r="A149" s="26" t="inlineStr">
        <is>
          <t>TEL-17</t>
        </is>
      </c>
      <c r="B149" s="25" t="inlineStr">
        <is>
          <t>Telecommunications</t>
        </is>
      </c>
      <c r="C149" s="25" t="inlineStr">
        <is>
          <t>IT &amp; cybersecurity</t>
        </is>
      </c>
      <c r="D149" s="26" t="inlineStr">
        <is>
          <t>Network-configuration change co-pilot</t>
        </is>
      </c>
      <c r="E149" s="25" t="inlineStr">
        <is>
          <t>Change errors cause outages</t>
        </is>
      </c>
      <c r="F149" s="25" t="inlineStr">
        <is>
          <t>Draft, summarise, translate or review text</t>
        </is>
      </c>
      <c r="G149" s="25" t="inlineStr">
        <is>
          <t>Generative AI assistant (off-the-shelf)</t>
        </is>
      </c>
      <c r="H149" s="25" t="inlineStr">
        <is>
          <t>GenAI reviews configuration changes against standards and drafts method statements; engineer approves.</t>
        </is>
      </c>
      <c r="I149" s="25" t="inlineStr">
        <is>
          <t>Configs, standards, change history</t>
        </is>
      </c>
      <c r="J149" s="25" t="inlineStr">
        <is>
          <t>Change failure rate</t>
        </is>
      </c>
      <c r="K149" s="25" t="inlineStr">
        <is>
          <t>No autonomous changes on production network.</t>
        </is>
      </c>
      <c r="L149" s="25" t="inlineStr">
        <is>
          <t>Medium</t>
        </is>
      </c>
      <c r="M149" t="inlineStr">
        <is>
          <t>TEL-17 | Network-configuration change co-pilot</t>
        </is>
      </c>
      <c r="N149" t="b">
        <f>OR('1. AI Position'!$C$5="",'1. AI Position'!$C$5="Other",B149="Cross-industry",B149='1. AI Position'!$C$5)</f>
        <v>0</v>
      </c>
      <c r="O149" t="str">
        <f>IF(N149,COUNTIF($N$5:N149,TRUE),"")</f>
        <v/>
      </c>
    </row>
    <row r="150" ht="46" customHeight="1">
      <c r="A150" s="26" t="inlineStr">
        <is>
          <t>GOV-01</t>
        </is>
      </c>
      <c r="B150" s="25" t="inlineStr">
        <is>
          <t>Government &amp; public sector</t>
        </is>
      </c>
      <c r="C150" s="25" t="inlineStr">
        <is>
          <t>Customer service</t>
        </is>
      </c>
      <c r="D150" s="26" t="inlineStr">
        <is>
          <t>Citizen enquiries (multi-channel)</t>
        </is>
      </c>
      <c r="E150" s="25" t="inlineStr">
        <is>
          <t>Call-centre peaks; repeated questions</t>
        </is>
      </c>
      <c r="F150" s="25" t="inlineStr">
        <is>
          <t>Converse with customers, citizens or staff (chat, voice, WhatsApp)</t>
        </is>
      </c>
      <c r="G150" s="25" t="inlineStr">
        <is>
          <t>Conversational AI / virtual agent</t>
        </is>
      </c>
      <c r="H150" s="25" t="inlineStr">
        <is>
          <t>Bilingual virtual assistant grounded on official service information with hand-off to staff.</t>
        </is>
      </c>
      <c r="I150" s="25" t="inlineStr">
        <is>
          <t>Service catalogue, FAQs</t>
        </is>
      </c>
      <c r="J150" s="25" t="inlineStr">
        <is>
          <t>Containment; waiting time; satisfaction</t>
        </is>
      </c>
      <c r="K150" s="25" t="inlineStr">
        <is>
          <t>Disclose AI; accessibility; iGA AI policy.</t>
        </is>
      </c>
      <c r="L150" s="25" t="inlineStr">
        <is>
          <t>Medium</t>
        </is>
      </c>
      <c r="M150" t="inlineStr">
        <is>
          <t>GOV-01 | Citizen enquiries (multi-channel)</t>
        </is>
      </c>
      <c r="N150" t="b">
        <f>OR('1. AI Position'!$C$5="",'1. AI Position'!$C$5="Other",B150="Cross-industry",B150='1. AI Position'!$C$5)</f>
        <v>0</v>
      </c>
      <c r="O150" t="str">
        <f>IF(N150,COUNTIF($N$5:N150,TRUE),"")</f>
        <v/>
      </c>
    </row>
    <row r="151" ht="46" customHeight="1">
      <c r="A151" s="26" t="inlineStr">
        <is>
          <t>GOV-02</t>
        </is>
      </c>
      <c r="B151" s="25" t="inlineStr">
        <is>
          <t>Government &amp; public sector</t>
        </is>
      </c>
      <c r="C151" s="25" t="inlineStr">
        <is>
          <t>Core operations &amp; service delivery</t>
        </is>
      </c>
      <c r="D151" s="26" t="inlineStr">
        <is>
          <t>Permit &amp; licence application processing</t>
        </is>
      </c>
      <c r="E151" s="25" t="inlineStr">
        <is>
          <t>Paper-heavy applications and checks</t>
        </is>
      </c>
      <c r="F151" s="25" t="inlineStr">
        <is>
          <t>Extract information from documents, forms or emails</t>
        </is>
      </c>
      <c r="G151" s="25" t="inlineStr">
        <is>
          <t>Intelligent document processing (IDP)</t>
        </is>
      </c>
      <c r="H151" s="25" t="inlineStr">
        <is>
          <t>Digital application with IDP of attachments and rules-based completeness checks; officer decides.</t>
        </is>
      </c>
      <c r="I151" s="25" t="inlineStr">
        <is>
          <t>Application forms, attachments, rules</t>
        </is>
      </c>
      <c r="J151" s="25" t="inlineStr">
        <is>
          <t>Processing time; returned applications</t>
        </is>
      </c>
      <c r="K151" s="25" t="inlineStr">
        <is>
          <t>Transparency of decisions; appeal route.</t>
        </is>
      </c>
      <c r="L151" s="25" t="inlineStr">
        <is>
          <t>Medium</t>
        </is>
      </c>
      <c r="M151" t="inlineStr">
        <is>
          <t>GOV-02 | Permit &amp; licence application processing</t>
        </is>
      </c>
      <c r="N151" t="b">
        <f>OR('1. AI Position'!$C$5="",'1. AI Position'!$C$5="Other",B151="Cross-industry",B151='1. AI Position'!$C$5)</f>
        <v>0</v>
      </c>
      <c r="O151" t="str">
        <f>IF(N151,COUNTIF($N$5:N151,TRUE),"")</f>
        <v/>
      </c>
    </row>
    <row r="152" ht="46" customHeight="1">
      <c r="A152" s="26" t="inlineStr">
        <is>
          <t>GOV-03</t>
        </is>
      </c>
      <c r="B152" s="25" t="inlineStr">
        <is>
          <t>Government &amp; public sector</t>
        </is>
      </c>
      <c r="C152" s="25" t="inlineStr">
        <is>
          <t>Core operations &amp; service delivery</t>
        </is>
      </c>
      <c r="D152" s="26" t="inlineStr">
        <is>
          <t>Eligibility assessment for services / benefits</t>
        </is>
      </c>
      <c r="E152" s="25" t="inlineStr">
        <is>
          <t>Inconsistent eligibility checks</t>
        </is>
      </c>
      <c r="F152" s="25" t="inlineStr">
        <is>
          <t>Check or approve items against fixed criteria (rules, thresholds, checklists)</t>
        </is>
      </c>
      <c r="G152" s="25" t="inlineStr">
        <is>
          <t>Rules engine / workflow automation</t>
        </is>
      </c>
      <c r="H152" s="25" t="inlineStr">
        <is>
          <t>Transparent rules engine for eligibility with human review of refusals; ML only with full impact assessment.</t>
        </is>
      </c>
      <c r="I152" s="25" t="inlineStr">
        <is>
          <t>Policy rules, applicant data</t>
        </is>
      </c>
      <c r="J152" s="25" t="inlineStr">
        <is>
          <t>Processing time; error rate; appeals</t>
        </is>
      </c>
      <c r="K152" s="25" t="inlineStr">
        <is>
          <t>HIGH-RISK: EU AI Act Annex III 5(a) eligibility for public assistance; fairness, explainability.</t>
        </is>
      </c>
      <c r="L152" s="25" t="inlineStr">
        <is>
          <t>High</t>
        </is>
      </c>
      <c r="M152" t="inlineStr">
        <is>
          <t>GOV-03 | Eligibility assessment for services / benefits</t>
        </is>
      </c>
      <c r="N152" t="b">
        <f>OR('1. AI Position'!$C$5="",'1. AI Position'!$C$5="Other",B152="Cross-industry",B152='1. AI Position'!$C$5)</f>
        <v>0</v>
      </c>
      <c r="O152" t="str">
        <f>IF(N152,COUNTIF($N$5:N152,TRUE),"")</f>
        <v/>
      </c>
    </row>
    <row r="153" ht="46" customHeight="1">
      <c r="A153" s="26" t="inlineStr">
        <is>
          <t>GOV-04</t>
        </is>
      </c>
      <c r="B153" s="25" t="inlineStr">
        <is>
          <t>Government &amp; public sector</t>
        </is>
      </c>
      <c r="C153" s="25" t="inlineStr">
        <is>
          <t>Core operations &amp; service delivery</t>
        </is>
      </c>
      <c r="D153" s="26" t="inlineStr">
        <is>
          <t>Risk-based inspection targeting</t>
        </is>
      </c>
      <c r="E153" s="25" t="inlineStr">
        <is>
          <t>Inspections not risk-based</t>
        </is>
      </c>
      <c r="F153" s="25" t="inlineStr">
        <is>
          <t>Forecast, score, classify or detect anomalies from historical data</t>
        </is>
      </c>
      <c r="G153" s="25" t="inlineStr">
        <is>
          <t>Predictive analytics / machine learning</t>
        </is>
      </c>
      <c r="H153" s="25" t="inlineStr">
        <is>
          <t>Risk scoring of premises / entities to prioritise inspections; inspectors retain discretion.</t>
        </is>
      </c>
      <c r="I153" s="25" t="inlineStr">
        <is>
          <t>Inspection history, outcomes</t>
        </is>
      </c>
      <c r="J153" s="25" t="inlineStr">
        <is>
          <t>Hit rate; inspections per inspector</t>
        </is>
      </c>
      <c r="K153" s="25" t="inlineStr">
        <is>
          <t>Fairness; explainable criteria.</t>
        </is>
      </c>
      <c r="L153" s="25" t="inlineStr">
        <is>
          <t>Medium</t>
        </is>
      </c>
      <c r="M153" t="inlineStr">
        <is>
          <t>GOV-04 | Risk-based inspection targeting</t>
        </is>
      </c>
      <c r="N153" t="b">
        <f>OR('1. AI Position'!$C$5="",'1. AI Position'!$C$5="Other",B153="Cross-industry",B153='1. AI Position'!$C$5)</f>
        <v>0</v>
      </c>
      <c r="O153" t="str">
        <f>IF(N153,COUNTIF($N$5:N153,TRUE),"")</f>
        <v/>
      </c>
    </row>
    <row r="154" ht="46" customHeight="1">
      <c r="A154" s="26" t="inlineStr">
        <is>
          <t>GOV-05</t>
        </is>
      </c>
      <c r="B154" s="25" t="inlineStr">
        <is>
          <t>Government &amp; public sector</t>
        </is>
      </c>
      <c r="C154" s="25" t="inlineStr">
        <is>
          <t>Strategy, management &amp; reporting</t>
        </is>
      </c>
      <c r="D154" s="26" t="inlineStr">
        <is>
          <t>Correspondence &amp; briefing notes</t>
        </is>
      </c>
      <c r="E154" s="25" t="inlineStr">
        <is>
          <t>Drafting consumes senior time</t>
        </is>
      </c>
      <c r="F154" s="25" t="inlineStr">
        <is>
          <t>Draft, summarise, translate or review text</t>
        </is>
      </c>
      <c r="G154" s="25" t="inlineStr">
        <is>
          <t>Generative AI assistant (off-the-shelf)</t>
        </is>
      </c>
      <c r="H154" s="25" t="inlineStr">
        <is>
          <t>GenAI drafting of letters and briefing notes in a government-approved environment.</t>
        </is>
      </c>
      <c r="I154" s="25" t="inlineStr">
        <is>
          <t>Templates, prior correspondence</t>
        </is>
      </c>
      <c r="J154" s="25" t="inlineStr">
        <is>
          <t>Drafting time</t>
        </is>
      </c>
      <c r="K154" s="25" t="inlineStr">
        <is>
          <t>Classified data never in public tools; iGA policy.</t>
        </is>
      </c>
      <c r="L154" s="25" t="inlineStr">
        <is>
          <t>Medium</t>
        </is>
      </c>
      <c r="M154" t="inlineStr">
        <is>
          <t>GOV-05 | Correspondence &amp; briefing notes</t>
        </is>
      </c>
      <c r="N154" t="b">
        <f>OR('1. AI Position'!$C$5="",'1. AI Position'!$C$5="Other",B154="Cross-industry",B154='1. AI Position'!$C$5)</f>
        <v>0</v>
      </c>
      <c r="O154" t="str">
        <f>IF(N154,COUNTIF($N$5:N154,TRUE),"")</f>
        <v/>
      </c>
    </row>
    <row r="155" ht="46" customHeight="1">
      <c r="A155" s="26" t="inlineStr">
        <is>
          <t>GOV-06</t>
        </is>
      </c>
      <c r="B155" s="25" t="inlineStr">
        <is>
          <t>Government &amp; public sector</t>
        </is>
      </c>
      <c r="C155" s="25" t="inlineStr">
        <is>
          <t>Risk, compliance &amp; legal</t>
        </is>
      </c>
      <c r="D155" s="26" t="inlineStr">
        <is>
          <t>Policy &amp; legislation research</t>
        </is>
      </c>
      <c r="E155" s="25" t="inlineStr">
        <is>
          <t>Research across many sources</t>
        </is>
      </c>
      <c r="F155" s="25" t="inlineStr">
        <is>
          <t>Answer questions from internal knowledge, policies or past work</t>
        </is>
      </c>
      <c r="G155" s="25" t="inlineStr">
        <is>
          <t>GenAI knowledge assistant (RAG on own content)</t>
        </is>
      </c>
      <c r="H155" s="25" t="inlineStr">
        <is>
          <t>Research assistant over legislation, decrees and policies with citations.</t>
        </is>
      </c>
      <c r="I155" s="25" t="inlineStr">
        <is>
          <t>Official gazette, policies</t>
        </is>
      </c>
      <c r="J155" s="25" t="inlineStr">
        <is>
          <t>Research time</t>
        </is>
      </c>
      <c r="K155" s="25" t="inlineStr">
        <is>
          <t>Verify against official sources.</t>
        </is>
      </c>
      <c r="L155" s="25" t="inlineStr">
        <is>
          <t>Low</t>
        </is>
      </c>
      <c r="M155" t="inlineStr">
        <is>
          <t>GOV-06 | Policy &amp; legislation research</t>
        </is>
      </c>
      <c r="N155" t="b">
        <f>OR('1. AI Position'!$C$5="",'1. AI Position'!$C$5="Other",B155="Cross-industry",B155='1. AI Position'!$C$5)</f>
        <v>0</v>
      </c>
      <c r="O155" t="str">
        <f>IF(N155,COUNTIF($N$5:N155,TRUE),"")</f>
        <v/>
      </c>
    </row>
    <row r="156" ht="46" customHeight="1">
      <c r="A156" s="26" t="inlineStr">
        <is>
          <t>GOV-07</t>
        </is>
      </c>
      <c r="B156" s="25" t="inlineStr">
        <is>
          <t>Government &amp; public sector</t>
        </is>
      </c>
      <c r="C156" s="25" t="inlineStr">
        <is>
          <t>Sales &amp; marketing</t>
        </is>
      </c>
      <c r="D156" s="26" t="inlineStr">
        <is>
          <t>Official translation (Arabic / English)</t>
        </is>
      </c>
      <c r="E156" s="25" t="inlineStr">
        <is>
          <t>Translation backlog</t>
        </is>
      </c>
      <c r="F156" s="25" t="inlineStr">
        <is>
          <t>Draft, summarise, translate or review text</t>
        </is>
      </c>
      <c r="G156" s="25" t="inlineStr">
        <is>
          <t>Generative AI assistant (off-the-shelf)</t>
        </is>
      </c>
      <c r="H156" s="25" t="inlineStr">
        <is>
          <t>Machine translation with terminology control and certified human review.</t>
        </is>
      </c>
      <c r="I156" s="25" t="inlineStr">
        <is>
          <t>Glossaries, prior translations</t>
        </is>
      </c>
      <c r="J156" s="25" t="inlineStr">
        <is>
          <t>Turnaround; cost</t>
        </is>
      </c>
      <c r="K156" s="25" t="inlineStr">
        <is>
          <t>Legal validity requires human review.</t>
        </is>
      </c>
      <c r="L156" s="25" t="inlineStr">
        <is>
          <t>Medium</t>
        </is>
      </c>
      <c r="M156" t="inlineStr">
        <is>
          <t>GOV-07 | Official translation (Arabic / English)</t>
        </is>
      </c>
      <c r="N156" t="b">
        <f>OR('1. AI Position'!$C$5="",'1. AI Position'!$C$5="Other",B156="Cross-industry",B156='1. AI Position'!$C$5)</f>
        <v>0</v>
      </c>
      <c r="O156" t="str">
        <f>IF(N156,COUNTIF($N$5:N156,TRUE),"")</f>
        <v/>
      </c>
    </row>
    <row r="157" ht="46" customHeight="1">
      <c r="A157" s="26" t="inlineStr">
        <is>
          <t>GOV-08</t>
        </is>
      </c>
      <c r="B157" s="25" t="inlineStr">
        <is>
          <t>Government &amp; public sector</t>
        </is>
      </c>
      <c r="C157" s="25" t="inlineStr">
        <is>
          <t>Procurement &amp; supply chain</t>
        </is>
      </c>
      <c r="D157" s="26" t="inlineStr">
        <is>
          <t>Government tender evaluation support</t>
        </is>
      </c>
      <c r="E157" s="25" t="inlineStr">
        <is>
          <t>Evaluation slow</t>
        </is>
      </c>
      <c r="F157" s="25" t="inlineStr">
        <is>
          <t>Draft, summarise, translate or review text</t>
        </is>
      </c>
      <c r="G157" s="25" t="inlineStr">
        <is>
          <t>Generative AI assistant (off-the-shelf)</t>
        </is>
      </c>
      <c r="H157" s="25" t="inlineStr">
        <is>
          <t>GenAI summaries of bids against criteria; committee scores and decides.</t>
        </is>
      </c>
      <c r="I157" s="25" t="inlineStr">
        <is>
          <t>Tender documents and bids</t>
        </is>
      </c>
      <c r="J157" s="25" t="inlineStr">
        <is>
          <t>Evaluation time</t>
        </is>
      </c>
      <c r="K157" s="25" t="inlineStr">
        <is>
          <t>Tender Board rules; fairness; confidentiality.</t>
        </is>
      </c>
      <c r="L157" s="25" t="inlineStr">
        <is>
          <t>Medium</t>
        </is>
      </c>
      <c r="M157" t="inlineStr">
        <is>
          <t>GOV-08 | Government tender evaluation support</t>
        </is>
      </c>
      <c r="N157" t="b">
        <f>OR('1. AI Position'!$C$5="",'1. AI Position'!$C$5="Other",B157="Cross-industry",B157='1. AI Position'!$C$5)</f>
        <v>0</v>
      </c>
      <c r="O157" t="str">
        <f>IF(N157,COUNTIF($N$5:N157,TRUE),"")</f>
        <v/>
      </c>
    </row>
    <row r="158" ht="46" customHeight="1">
      <c r="A158" s="26" t="inlineStr">
        <is>
          <t>GOV-09</t>
        </is>
      </c>
      <c r="B158" s="25" t="inlineStr">
        <is>
          <t>Government &amp; public sector</t>
        </is>
      </c>
      <c r="C158" s="25" t="inlineStr">
        <is>
          <t>Knowledge &amp; collaboration</t>
        </is>
      </c>
      <c r="D158" s="26" t="inlineStr">
        <is>
          <t>Records digitisation &amp; archiving</t>
        </is>
      </c>
      <c r="E158" s="25" t="inlineStr">
        <is>
          <t>Paper archives</t>
        </is>
      </c>
      <c r="F158" s="25" t="inlineStr">
        <is>
          <t>Extract information from documents, forms or emails</t>
        </is>
      </c>
      <c r="G158" s="25" t="inlineStr">
        <is>
          <t>Intelligent document processing (IDP)</t>
        </is>
      </c>
      <c r="H158" s="25" t="inlineStr">
        <is>
          <t>Scanning with IDP indexing and retention classification.</t>
        </is>
      </c>
      <c r="I158" s="25" t="inlineStr">
        <is>
          <t>Paper records</t>
        </is>
      </c>
      <c r="J158" s="25" t="inlineStr">
        <is>
          <t>Retrieval time</t>
        </is>
      </c>
      <c r="K158" s="25" t="inlineStr">
        <is>
          <t>National archives and retention rules.</t>
        </is>
      </c>
      <c r="L158" s="25" t="inlineStr">
        <is>
          <t>Low</t>
        </is>
      </c>
      <c r="M158" t="inlineStr">
        <is>
          <t>GOV-09 | Records digitisation &amp; archiving</t>
        </is>
      </c>
      <c r="N158" t="b">
        <f>OR('1. AI Position'!$C$5="",'1. AI Position'!$C$5="Other",B158="Cross-industry",B158='1. AI Position'!$C$5)</f>
        <v>0</v>
      </c>
      <c r="O158" t="str">
        <f>IF(N158,COUNTIF($N$5:N158,TRUE),"")</f>
        <v/>
      </c>
    </row>
    <row r="159" ht="46" customHeight="1">
      <c r="A159" s="26" t="inlineStr">
        <is>
          <t>GOV-10</t>
        </is>
      </c>
      <c r="B159" s="25" t="inlineStr">
        <is>
          <t>Government &amp; public sector</t>
        </is>
      </c>
      <c r="C159" s="25" t="inlineStr">
        <is>
          <t>Finance &amp; accounting</t>
        </is>
      </c>
      <c r="D159" s="26" t="inlineStr">
        <is>
          <t>Fraud &amp; error detection in payments / subsidies</t>
        </is>
      </c>
      <c r="E159" s="25" t="inlineStr">
        <is>
          <t>Improper payments</t>
        </is>
      </c>
      <c r="F159" s="25" t="inlineStr">
        <is>
          <t>Forecast, score, classify or detect anomalies from historical data</t>
        </is>
      </c>
      <c r="G159" s="25" t="inlineStr">
        <is>
          <t>Predictive analytics / machine learning</t>
        </is>
      </c>
      <c r="H159" s="25" t="inlineStr">
        <is>
          <t>Anomaly detection with investigator review before any action on individuals.</t>
        </is>
      </c>
      <c r="I159" s="25" t="inlineStr">
        <is>
          <t>Payment history, eligibility data</t>
        </is>
      </c>
      <c r="J159" s="25" t="inlineStr">
        <is>
          <t>Improper payments prevented</t>
        </is>
      </c>
      <c r="K159" s="25" t="inlineStr">
        <is>
          <t>Human decision; fairness; due process.</t>
        </is>
      </c>
      <c r="L159" s="25" t="inlineStr">
        <is>
          <t>Medium</t>
        </is>
      </c>
      <c r="M159" t="inlineStr">
        <is>
          <t>GOV-10 | Fraud &amp; error detection in payments / subsidies</t>
        </is>
      </c>
      <c r="N159" t="b">
        <f>OR('1. AI Position'!$C$5="",'1. AI Position'!$C$5="Other",B159="Cross-industry",B159='1. AI Position'!$C$5)</f>
        <v>0</v>
      </c>
      <c r="O159" t="str">
        <f>IF(N159,COUNTIF($N$5:N159,TRUE),"")</f>
        <v/>
      </c>
    </row>
    <row r="160" ht="46" customHeight="1">
      <c r="A160" s="26" t="inlineStr">
        <is>
          <t>GOV-11</t>
        </is>
      </c>
      <c r="B160" s="25" t="inlineStr">
        <is>
          <t>Government &amp; public sector</t>
        </is>
      </c>
      <c r="C160" s="25" t="inlineStr">
        <is>
          <t>Core operations &amp; service delivery</t>
        </is>
      </c>
      <c r="D160" s="26" t="inlineStr">
        <is>
          <t>Traffic &amp; mobility analytics</t>
        </is>
      </c>
      <c r="E160" s="25" t="inlineStr">
        <is>
          <t>Congestion data limited</t>
        </is>
      </c>
      <c r="F160" s="25" t="inlineStr">
        <is>
          <t>Recognise or inspect images, video or speech</t>
        </is>
      </c>
      <c r="G160" s="25" t="inlineStr">
        <is>
          <t>Computer vision / speech AI</t>
        </is>
      </c>
      <c r="H160" s="25" t="inlineStr">
        <is>
          <t>Video / sensor analytics for traffic flow without identifying individuals.</t>
        </is>
      </c>
      <c r="I160" s="25" t="inlineStr">
        <is>
          <t>Camera / sensor feeds</t>
        </is>
      </c>
      <c r="J160" s="25" t="inlineStr">
        <is>
          <t>Congestion; incident response</t>
        </is>
      </c>
      <c r="K160" s="25" t="inlineStr">
        <is>
          <t>Privacy by design; remote biometric identification restrictions (EU AI Act Art. 5).</t>
        </is>
      </c>
      <c r="L160" s="25" t="inlineStr">
        <is>
          <t>Medium</t>
        </is>
      </c>
      <c r="M160" t="inlineStr">
        <is>
          <t>GOV-11 | Traffic &amp; mobility analytics</t>
        </is>
      </c>
      <c r="N160" t="b">
        <f>OR('1. AI Position'!$C$5="",'1. AI Position'!$C$5="Other",B160="Cross-industry",B160='1. AI Position'!$C$5)</f>
        <v>0</v>
      </c>
      <c r="O160" t="str">
        <f>IF(N160,COUNTIF($N$5:N160,TRUE),"")</f>
        <v/>
      </c>
    </row>
    <row r="161" ht="46" customHeight="1">
      <c r="A161" s="26" t="inlineStr">
        <is>
          <t>GOV-12</t>
        </is>
      </c>
      <c r="B161" s="25" t="inlineStr">
        <is>
          <t>Government &amp; public sector</t>
        </is>
      </c>
      <c r="C161" s="25" t="inlineStr">
        <is>
          <t>Customer service</t>
        </is>
      </c>
      <c r="D161" s="26" t="inlineStr">
        <is>
          <t>Complaints &amp; suggestions analysis (Tawasul)</t>
        </is>
      </c>
      <c r="E161" s="25" t="inlineStr">
        <is>
          <t>Themes not visible across entities</t>
        </is>
      </c>
      <c r="F161" s="25" t="inlineStr">
        <is>
          <t>Draft, summarise, translate or review text</t>
        </is>
      </c>
      <c r="G161" s="25" t="inlineStr">
        <is>
          <t>Generative AI assistant (off-the-shelf)</t>
        </is>
      </c>
      <c r="H161" s="25" t="inlineStr">
        <is>
          <t>GenAI categorisation and theme dashboards for complaints and suggestions.</t>
        </is>
      </c>
      <c r="I161" s="25" t="inlineStr">
        <is>
          <t>Complaint records</t>
        </is>
      </c>
      <c r="J161" s="25" t="inlineStr">
        <is>
          <t>Resolution time; recurring themes</t>
        </is>
      </c>
      <c r="K161" s="25" t="inlineStr">
        <is>
          <t>Personal data minimisation.</t>
        </is>
      </c>
      <c r="L161" s="25" t="inlineStr">
        <is>
          <t>Low</t>
        </is>
      </c>
      <c r="M161" t="inlineStr">
        <is>
          <t>GOV-12 | Complaints &amp; suggestions analysis (Tawasul)</t>
        </is>
      </c>
      <c r="N161" t="b">
        <f>OR('1. AI Position'!$C$5="",'1. AI Position'!$C$5="Other",B161="Cross-industry",B161='1. AI Position'!$C$5)</f>
        <v>0</v>
      </c>
      <c r="O161" t="str">
        <f>IF(N161,COUNTIF($N$5:N161,TRUE),"")</f>
        <v/>
      </c>
    </row>
    <row r="162" ht="46" customHeight="1">
      <c r="A162" s="26" t="inlineStr">
        <is>
          <t>GOV-13</t>
        </is>
      </c>
      <c r="B162" s="25" t="inlineStr">
        <is>
          <t>Government &amp; public sector</t>
        </is>
      </c>
      <c r="C162" s="25" t="inlineStr">
        <is>
          <t>HR &amp; people</t>
        </is>
      </c>
      <c r="D162" s="26" t="inlineStr">
        <is>
          <t>Civil-service HR &amp; payroll transactions</t>
        </is>
      </c>
      <c r="E162" s="25" t="inlineStr">
        <is>
          <t>Manual transactions</t>
        </is>
      </c>
      <c r="F162" s="25" t="inlineStr">
        <is>
          <t>Move or re-key data between systems following fixed rules</t>
        </is>
      </c>
      <c r="G162" s="25" t="inlineStr">
        <is>
          <t>Workflow automation / RPA</t>
        </is>
      </c>
      <c r="H162" s="25" t="inlineStr">
        <is>
          <t>Workflow and RPA for routine HR transactions.</t>
        </is>
      </c>
      <c r="I162" s="25" t="inlineStr">
        <is>
          <t>HR system</t>
        </is>
      </c>
      <c r="J162" s="25" t="inlineStr">
        <is>
          <t>Processing time</t>
        </is>
      </c>
      <c r="K162" s="25" t="inlineStr">
        <is>
          <t>-</t>
        </is>
      </c>
      <c r="L162" s="25" t="inlineStr">
        <is>
          <t>Low</t>
        </is>
      </c>
      <c r="M162" t="inlineStr">
        <is>
          <t>GOV-13 | Civil-service HR &amp; payroll transactions</t>
        </is>
      </c>
      <c r="N162" t="b">
        <f>OR('1. AI Position'!$C$5="",'1. AI Position'!$C$5="Other",B162="Cross-industry",B162='1. AI Position'!$C$5)</f>
        <v>0</v>
      </c>
      <c r="O162" t="str">
        <f>IF(N162,COUNTIF($N$5:N162,TRUE),"")</f>
        <v/>
      </c>
    </row>
    <row r="163" ht="46" customHeight="1">
      <c r="A163" s="26" t="inlineStr">
        <is>
          <t>GOV-14</t>
        </is>
      </c>
      <c r="B163" s="25" t="inlineStr">
        <is>
          <t>Government &amp; public sector</t>
        </is>
      </c>
      <c r="C163" s="25" t="inlineStr">
        <is>
          <t>Strategy, management &amp; reporting</t>
        </is>
      </c>
      <c r="D163" s="26" t="inlineStr">
        <is>
          <t>Open data &amp; statistics publication</t>
        </is>
      </c>
      <c r="E163" s="25" t="inlineStr">
        <is>
          <t>Manual statistics production</t>
        </is>
      </c>
      <c r="F163" s="25" t="inlineStr">
        <is>
          <t>Produce reports, dashboards or reconciliations from existing data</t>
        </is>
      </c>
      <c r="G163" s="25" t="inlineStr">
        <is>
          <t>BI, dashboards &amp; reconciliation automation</t>
        </is>
      </c>
      <c r="H163" s="25" t="inlineStr">
        <is>
          <t>Automated data pipelines and dashboards for statistics release.</t>
        </is>
      </c>
      <c r="I163" s="25" t="inlineStr">
        <is>
          <t>Administrative data</t>
        </is>
      </c>
      <c r="J163" s="25" t="inlineStr">
        <is>
          <t>Release time</t>
        </is>
      </c>
      <c r="K163" s="25" t="inlineStr">
        <is>
          <t>Disclosure control.</t>
        </is>
      </c>
      <c r="L163" s="25" t="inlineStr">
        <is>
          <t>Low</t>
        </is>
      </c>
      <c r="M163" t="inlineStr">
        <is>
          <t>GOV-14 | Open data &amp; statistics publication</t>
        </is>
      </c>
      <c r="N163" t="b">
        <f>OR('1. AI Position'!$C$5="",'1. AI Position'!$C$5="Other",B163="Cross-industry",B163='1. AI Position'!$C$5)</f>
        <v>0</v>
      </c>
      <c r="O163" t="str">
        <f>IF(N163,COUNTIF($N$5:N163,TRUE),"")</f>
        <v/>
      </c>
    </row>
    <row r="164" ht="46" customHeight="1">
      <c r="A164" s="26" t="inlineStr">
        <is>
          <t>GOV-15</t>
        </is>
      </c>
      <c r="B164" s="25" t="inlineStr">
        <is>
          <t>Government &amp; public sector</t>
        </is>
      </c>
      <c r="C164" s="25" t="inlineStr">
        <is>
          <t>Core operations &amp; service delivery</t>
        </is>
      </c>
      <c r="D164" s="26" t="inlineStr">
        <is>
          <t>Emergency-call prioritisation</t>
        </is>
      </c>
      <c r="E164" s="25" t="inlineStr">
        <is>
          <t>Dispatch prioritisation inconsistent</t>
        </is>
      </c>
      <c r="F164" s="25" t="inlineStr">
        <is>
          <t>Forecast, score, classify or detect anomalies from historical data</t>
        </is>
      </c>
      <c r="G164" s="25" t="inlineStr">
        <is>
          <t>Predictive analytics / machine learning</t>
        </is>
      </c>
      <c r="H164" s="25" t="inlineStr">
        <is>
          <t>Decision support for call triage under strict validation; dispatcher decides.</t>
        </is>
      </c>
      <c r="I164" s="25" t="inlineStr">
        <is>
          <t>Call records, outcomes</t>
        </is>
      </c>
      <c r="J164" s="25" t="inlineStr">
        <is>
          <t>Response times</t>
        </is>
      </c>
      <c r="K164" s="25" t="inlineStr">
        <is>
          <t>HIGH-RISK: EU AI Act Annex III 5(d) emergency call evaluation and dispatch.</t>
        </is>
      </c>
      <c r="L164" s="25" t="inlineStr">
        <is>
          <t>High</t>
        </is>
      </c>
      <c r="M164" t="inlineStr">
        <is>
          <t>GOV-15 | Emergency-call prioritisation</t>
        </is>
      </c>
      <c r="N164" t="b">
        <f>OR('1. AI Position'!$C$5="",'1. AI Position'!$C$5="Other",B164="Cross-industry",B164='1. AI Position'!$C$5)</f>
        <v>0</v>
      </c>
      <c r="O164" t="str">
        <f>IF(N164,COUNTIF($N$5:N164,TRUE),"")</f>
        <v/>
      </c>
    </row>
    <row r="165" ht="46" customHeight="1">
      <c r="A165" s="26" t="inlineStr">
        <is>
          <t>RET-01</t>
        </is>
      </c>
      <c r="B165" s="25" t="inlineStr">
        <is>
          <t>Retail &amp; e-commerce</t>
        </is>
      </c>
      <c r="C165" s="25" t="inlineStr">
        <is>
          <t>Procurement &amp; supply chain</t>
        </is>
      </c>
      <c r="D165" s="26" t="inlineStr">
        <is>
          <t>Demand forecasting &amp; replenishment</t>
        </is>
      </c>
      <c r="E165" s="25" t="inlineStr">
        <is>
          <t>Stock-outs and waste</t>
        </is>
      </c>
      <c r="F165" s="25" t="inlineStr">
        <is>
          <t>Forecast, score, classify or detect anomalies from historical data</t>
        </is>
      </c>
      <c r="G165" s="25" t="inlineStr">
        <is>
          <t>Predictive analytics / machine learning</t>
        </is>
      </c>
      <c r="H165" s="25" t="inlineStr">
        <is>
          <t>ML forecasts by SKU / store with automated replenishment proposals.</t>
        </is>
      </c>
      <c r="I165" s="25" t="inlineStr">
        <is>
          <t>Sales, promotions, calendar data</t>
        </is>
      </c>
      <c r="J165" s="25" t="inlineStr">
        <is>
          <t>Forecast accuracy; availability; waste</t>
        </is>
      </c>
      <c r="K165" s="25" t="inlineStr">
        <is>
          <t>-</t>
        </is>
      </c>
      <c r="L165" s="25" t="inlineStr">
        <is>
          <t>Low</t>
        </is>
      </c>
      <c r="M165" t="inlineStr">
        <is>
          <t>RET-01 | Demand forecasting &amp; replenishment</t>
        </is>
      </c>
      <c r="N165" t="b">
        <f>OR('1. AI Position'!$C$5="",'1. AI Position'!$C$5="Other",B165="Cross-industry",B165='1. AI Position'!$C$5)</f>
        <v>0</v>
      </c>
      <c r="O165" t="str">
        <f>IF(N165,COUNTIF($N$5:N165,TRUE),"")</f>
        <v/>
      </c>
    </row>
    <row r="166" ht="46" customHeight="1">
      <c r="A166" s="26" t="inlineStr">
        <is>
          <t>RET-02</t>
        </is>
      </c>
      <c r="B166" s="25" t="inlineStr">
        <is>
          <t>Retail &amp; e-commerce</t>
        </is>
      </c>
      <c r="C166" s="25" t="inlineStr">
        <is>
          <t>Sales &amp; marketing</t>
        </is>
      </c>
      <c r="D166" s="26" t="inlineStr">
        <is>
          <t>Dynamic pricing &amp; markdowns</t>
        </is>
      </c>
      <c r="E166" s="25" t="inlineStr">
        <is>
          <t>Prices and markdowns set manually</t>
        </is>
      </c>
      <c r="F166" s="25" t="inlineStr">
        <is>
          <t>Forecast, score, classify or detect anomalies from historical data</t>
        </is>
      </c>
      <c r="G166" s="25" t="inlineStr">
        <is>
          <t>Predictive analytics / machine learning</t>
        </is>
      </c>
      <c r="H166" s="25" t="inlineStr">
        <is>
          <t>Price-elasticity models with guardrails and approval of price changes.</t>
        </is>
      </c>
      <c r="I166" s="25" t="inlineStr">
        <is>
          <t>Price and sales history, competitor prices</t>
        </is>
      </c>
      <c r="J166" s="25" t="inlineStr">
        <is>
          <t>Margin; sell-through</t>
        </is>
      </c>
      <c r="K166" s="25" t="inlineStr">
        <is>
          <t>Consumer-protection rules; no discriminatory pricing.</t>
        </is>
      </c>
      <c r="L166" s="25" t="inlineStr">
        <is>
          <t>Medium</t>
        </is>
      </c>
      <c r="M166" t="inlineStr">
        <is>
          <t>RET-02 | Dynamic pricing &amp; markdowns</t>
        </is>
      </c>
      <c r="N166" t="b">
        <f>OR('1. AI Position'!$C$5="",'1. AI Position'!$C$5="Other",B166="Cross-industry",B166='1. AI Position'!$C$5)</f>
        <v>0</v>
      </c>
      <c r="O166" t="str">
        <f>IF(N166,COUNTIF($N$5:N166,TRUE),"")</f>
        <v/>
      </c>
    </row>
    <row r="167" ht="46" customHeight="1">
      <c r="A167" s="26" t="inlineStr">
        <is>
          <t>RET-03</t>
        </is>
      </c>
      <c r="B167" s="25" t="inlineStr">
        <is>
          <t>Retail &amp; e-commerce</t>
        </is>
      </c>
      <c r="C167" s="25" t="inlineStr">
        <is>
          <t>Sales &amp; marketing</t>
        </is>
      </c>
      <c r="D167" s="26" t="inlineStr">
        <is>
          <t>Product content (Arabic / English)</t>
        </is>
      </c>
      <c r="E167" s="25" t="inlineStr">
        <is>
          <t>Slow product listing</t>
        </is>
      </c>
      <c r="F167" s="25" t="inlineStr">
        <is>
          <t>Draft, summarise, translate or review text</t>
        </is>
      </c>
      <c r="G167" s="25" t="inlineStr">
        <is>
          <t>Generative AI assistant (off-the-shelf)</t>
        </is>
      </c>
      <c r="H167" s="25" t="inlineStr">
        <is>
          <t>GenAI product descriptions and attributes from supplier data; merchandiser review.</t>
        </is>
      </c>
      <c r="I167" s="25" t="inlineStr">
        <is>
          <t>Supplier product data, images</t>
        </is>
      </c>
      <c r="J167" s="25" t="inlineStr">
        <is>
          <t>Time to list; content quality</t>
        </is>
      </c>
      <c r="K167" s="25" t="inlineStr">
        <is>
          <t>Accuracy of claims.</t>
        </is>
      </c>
      <c r="L167" s="25" t="inlineStr">
        <is>
          <t>Low</t>
        </is>
      </c>
      <c r="M167" t="inlineStr">
        <is>
          <t>RET-03 | Product content (Arabic / English)</t>
        </is>
      </c>
      <c r="N167" t="b">
        <f>OR('1. AI Position'!$C$5="",'1. AI Position'!$C$5="Other",B167="Cross-industry",B167='1. AI Position'!$C$5)</f>
        <v>0</v>
      </c>
      <c r="O167" t="str">
        <f>IF(N167,COUNTIF($N$5:N167,TRUE),"")</f>
        <v/>
      </c>
    </row>
    <row r="168" ht="46" customHeight="1">
      <c r="A168" s="26" t="inlineStr">
        <is>
          <t>RET-04</t>
        </is>
      </c>
      <c r="B168" s="25" t="inlineStr">
        <is>
          <t>Retail &amp; e-commerce</t>
        </is>
      </c>
      <c r="C168" s="25" t="inlineStr">
        <is>
          <t>Customer service</t>
        </is>
      </c>
      <c r="D168" s="26" t="inlineStr">
        <is>
          <t>Customer service &amp; order tracking</t>
        </is>
      </c>
      <c r="E168" s="25" t="inlineStr">
        <is>
          <t>Repetitive 'where is my order' contacts</t>
        </is>
      </c>
      <c r="F168" s="25" t="inlineStr">
        <is>
          <t>Converse with customers, citizens or staff (chat, voice, WhatsApp)</t>
        </is>
      </c>
      <c r="G168" s="25" t="inlineStr">
        <is>
          <t>Conversational AI / virtual agent</t>
        </is>
      </c>
      <c r="H168" s="25" t="inlineStr">
        <is>
          <t>Virtual assistant with order and returns integration.</t>
        </is>
      </c>
      <c r="I168" s="25" t="inlineStr">
        <is>
          <t>Order / logistics APIs</t>
        </is>
      </c>
      <c r="J168" s="25" t="inlineStr">
        <is>
          <t>Containment; CSAT</t>
        </is>
      </c>
      <c r="K168" s="25" t="inlineStr">
        <is>
          <t>Disclose AI.</t>
        </is>
      </c>
      <c r="L168" s="25" t="inlineStr">
        <is>
          <t>Low</t>
        </is>
      </c>
      <c r="M168" t="inlineStr">
        <is>
          <t>RET-04 | Customer service &amp; order tracking</t>
        </is>
      </c>
      <c r="N168" t="b">
        <f>OR('1. AI Position'!$C$5="",'1. AI Position'!$C$5="Other",B168="Cross-industry",B168='1. AI Position'!$C$5)</f>
        <v>0</v>
      </c>
      <c r="O168" t="str">
        <f>IF(N168,COUNTIF($N$5:N168,TRUE),"")</f>
        <v/>
      </c>
    </row>
    <row r="169" ht="46" customHeight="1">
      <c r="A169" s="26" t="inlineStr">
        <is>
          <t>RET-05</t>
        </is>
      </c>
      <c r="B169" s="25" t="inlineStr">
        <is>
          <t>Retail &amp; e-commerce</t>
        </is>
      </c>
      <c r="C169" s="25" t="inlineStr">
        <is>
          <t>Sales &amp; marketing</t>
        </is>
      </c>
      <c r="D169" s="26" t="inlineStr">
        <is>
          <t>Personalised recommendations</t>
        </is>
      </c>
      <c r="E169" s="25" t="inlineStr">
        <is>
          <t>Low basket size online</t>
        </is>
      </c>
      <c r="F169" s="25" t="inlineStr">
        <is>
          <t>Forecast, score, classify or detect anomalies from historical data</t>
        </is>
      </c>
      <c r="G169" s="25" t="inlineStr">
        <is>
          <t>Predictive analytics / machine learning</t>
        </is>
      </c>
      <c r="H169" s="25" t="inlineStr">
        <is>
          <t>Recommendation engine on browsing and purchase history.</t>
        </is>
      </c>
      <c r="I169" s="25" t="inlineStr">
        <is>
          <t>Clickstream, purchase history</t>
        </is>
      </c>
      <c r="J169" s="25" t="inlineStr">
        <is>
          <t>Conversion; basket size</t>
        </is>
      </c>
      <c r="K169" s="25" t="inlineStr">
        <is>
          <t>Consent, profiling transparency (PDPL).</t>
        </is>
      </c>
      <c r="L169" s="25" t="inlineStr">
        <is>
          <t>Medium</t>
        </is>
      </c>
      <c r="M169" t="inlineStr">
        <is>
          <t>RET-05 | Personalised recommendations</t>
        </is>
      </c>
      <c r="N169" t="b">
        <f>OR('1. AI Position'!$C$5="",'1. AI Position'!$C$5="Other",B169="Cross-industry",B169='1. AI Position'!$C$5)</f>
        <v>0</v>
      </c>
      <c r="O169" t="str">
        <f>IF(N169,COUNTIF($N$5:N169,TRUE),"")</f>
        <v/>
      </c>
    </row>
    <row r="170" ht="46" customHeight="1">
      <c r="A170" s="26" t="inlineStr">
        <is>
          <t>RET-06</t>
        </is>
      </c>
      <c r="B170" s="25" t="inlineStr">
        <is>
          <t>Retail &amp; e-commerce</t>
        </is>
      </c>
      <c r="C170" s="25" t="inlineStr">
        <is>
          <t>Customer service</t>
        </is>
      </c>
      <c r="D170" s="26" t="inlineStr">
        <is>
          <t>Returns &amp; refunds</t>
        </is>
      </c>
      <c r="E170" s="25" t="inlineStr">
        <is>
          <t>Manual approval of returns</t>
        </is>
      </c>
      <c r="F170" s="25" t="inlineStr">
        <is>
          <t>Check or approve items against fixed criteria (rules, thresholds, checklists)</t>
        </is>
      </c>
      <c r="G170" s="25" t="inlineStr">
        <is>
          <t>Rules engine / workflow automation</t>
        </is>
      </c>
      <c r="H170" s="25" t="inlineStr">
        <is>
          <t>Rules-based return authorisation with fraud flags.</t>
        </is>
      </c>
      <c r="I170" s="25" t="inlineStr">
        <is>
          <t>Order and return history</t>
        </is>
      </c>
      <c r="J170" s="25" t="inlineStr">
        <is>
          <t>Refund time; return fraud</t>
        </is>
      </c>
      <c r="K170" s="25" t="inlineStr">
        <is>
          <t>-</t>
        </is>
      </c>
      <c r="L170" s="25" t="inlineStr">
        <is>
          <t>Low</t>
        </is>
      </c>
      <c r="M170" t="inlineStr">
        <is>
          <t>RET-06 | Returns &amp; refunds</t>
        </is>
      </c>
      <c r="N170" t="b">
        <f>OR('1. AI Position'!$C$5="",'1. AI Position'!$C$5="Other",B170="Cross-industry",B170='1. AI Position'!$C$5)</f>
        <v>0</v>
      </c>
      <c r="O170" t="str">
        <f>IF(N170,COUNTIF($N$5:N170,TRUE),"")</f>
        <v/>
      </c>
    </row>
    <row r="171" ht="46" customHeight="1">
      <c r="A171" s="26" t="inlineStr">
        <is>
          <t>RET-07</t>
        </is>
      </c>
      <c r="B171" s="25" t="inlineStr">
        <is>
          <t>Retail &amp; e-commerce</t>
        </is>
      </c>
      <c r="C171" s="25" t="inlineStr">
        <is>
          <t>Sales &amp; marketing</t>
        </is>
      </c>
      <c r="D171" s="26" t="inlineStr">
        <is>
          <t>Loyalty analytics &amp; segmentation</t>
        </is>
      </c>
      <c r="E171" s="25" t="inlineStr">
        <is>
          <t>Loyalty data unused</t>
        </is>
      </c>
      <c r="F171" s="25" t="inlineStr">
        <is>
          <t>Forecast, score, classify or detect anomalies from historical data</t>
        </is>
      </c>
      <c r="G171" s="25" t="inlineStr">
        <is>
          <t>Predictive analytics / machine learning</t>
        </is>
      </c>
      <c r="H171" s="25" t="inlineStr">
        <is>
          <t>Segmentation and propensity models for loyalty campaigns.</t>
        </is>
      </c>
      <c r="I171" s="25" t="inlineStr">
        <is>
          <t>Loyalty transactions</t>
        </is>
      </c>
      <c r="J171" s="25" t="inlineStr">
        <is>
          <t>Active members; campaign ROI</t>
        </is>
      </c>
      <c r="K171" s="25" t="inlineStr">
        <is>
          <t>Consent; PDPL.</t>
        </is>
      </c>
      <c r="L171" s="25" t="inlineStr">
        <is>
          <t>Medium</t>
        </is>
      </c>
      <c r="M171" t="inlineStr">
        <is>
          <t>RET-07 | Loyalty analytics &amp; segmentation</t>
        </is>
      </c>
      <c r="N171" t="b">
        <f>OR('1. AI Position'!$C$5="",'1. AI Position'!$C$5="Other",B171="Cross-industry",B171='1. AI Position'!$C$5)</f>
        <v>0</v>
      </c>
      <c r="O171" t="str">
        <f>IF(N171,COUNTIF($N$5:N171,TRUE),"")</f>
        <v/>
      </c>
    </row>
    <row r="172" ht="46" customHeight="1">
      <c r="A172" s="26" t="inlineStr">
        <is>
          <t>RET-08</t>
        </is>
      </c>
      <c r="B172" s="25" t="inlineStr">
        <is>
          <t>Retail &amp; e-commerce</t>
        </is>
      </c>
      <c r="C172" s="25" t="inlineStr">
        <is>
          <t>Core operations &amp; service delivery</t>
        </is>
      </c>
      <c r="D172" s="26" t="inlineStr">
        <is>
          <t>Shelf monitoring &amp; planogram compliance</t>
        </is>
      </c>
      <c r="E172" s="25" t="inlineStr">
        <is>
          <t>Gaps found late</t>
        </is>
      </c>
      <c r="F172" s="25" t="inlineStr">
        <is>
          <t>Recognise or inspect images, video or speech</t>
        </is>
      </c>
      <c r="G172" s="25" t="inlineStr">
        <is>
          <t>Computer vision / speech AI</t>
        </is>
      </c>
      <c r="H172" s="25" t="inlineStr">
        <is>
          <t>Image recognition of shelf gaps and planogram compliance from store photos.</t>
        </is>
      </c>
      <c r="I172" s="25" t="inlineStr">
        <is>
          <t>Shelf images</t>
        </is>
      </c>
      <c r="J172" s="25" t="inlineStr">
        <is>
          <t>On-shelf availability</t>
        </is>
      </c>
      <c r="K172" s="25" t="inlineStr">
        <is>
          <t>Avoid capturing shoppers' faces.</t>
        </is>
      </c>
      <c r="L172" s="25" t="inlineStr">
        <is>
          <t>Low</t>
        </is>
      </c>
      <c r="M172" t="inlineStr">
        <is>
          <t>RET-08 | Shelf monitoring &amp; planogram compliance</t>
        </is>
      </c>
      <c r="N172" t="b">
        <f>OR('1. AI Position'!$C$5="",'1. AI Position'!$C$5="Other",B172="Cross-industry",B172='1. AI Position'!$C$5)</f>
        <v>0</v>
      </c>
      <c r="O172" t="str">
        <f>IF(N172,COUNTIF($N$5:N172,TRUE),"")</f>
        <v/>
      </c>
    </row>
    <row r="173" ht="46" customHeight="1">
      <c r="A173" s="26" t="inlineStr">
        <is>
          <t>RET-09</t>
        </is>
      </c>
      <c r="B173" s="25" t="inlineStr">
        <is>
          <t>Retail &amp; e-commerce</t>
        </is>
      </c>
      <c r="C173" s="25" t="inlineStr">
        <is>
          <t>Core operations &amp; service delivery</t>
        </is>
      </c>
      <c r="D173" s="26" t="inlineStr">
        <is>
          <t>Store footfall analytics</t>
        </is>
      </c>
      <c r="E173" s="25" t="inlineStr">
        <is>
          <t>No data on store traffic</t>
        </is>
      </c>
      <c r="F173" s="25" t="inlineStr">
        <is>
          <t>Recognise or inspect images, video or speech</t>
        </is>
      </c>
      <c r="G173" s="25" t="inlineStr">
        <is>
          <t>Computer vision / speech AI</t>
        </is>
      </c>
      <c r="H173" s="25" t="inlineStr">
        <is>
          <t>Anonymous people-counting and heatmaps.</t>
        </is>
      </c>
      <c r="I173" s="25" t="inlineStr">
        <is>
          <t>Sensor / camera feeds</t>
        </is>
      </c>
      <c r="J173" s="25" t="inlineStr">
        <is>
          <t>Conversion; staffing match</t>
        </is>
      </c>
      <c r="K173" s="25" t="inlineStr">
        <is>
          <t>Anonymisation; no biometric identification.</t>
        </is>
      </c>
      <c r="L173" s="25" t="inlineStr">
        <is>
          <t>Medium</t>
        </is>
      </c>
      <c r="M173" t="inlineStr">
        <is>
          <t>RET-09 | Store footfall analytics</t>
        </is>
      </c>
      <c r="N173" t="b">
        <f>OR('1. AI Position'!$C$5="",'1. AI Position'!$C$5="Other",B173="Cross-industry",B173='1. AI Position'!$C$5)</f>
        <v>0</v>
      </c>
      <c r="O173" t="str">
        <f>IF(N173,COUNTIF($N$5:N173,TRUE),"")</f>
        <v/>
      </c>
    </row>
    <row r="174" ht="46" customHeight="1">
      <c r="A174" s="26" t="inlineStr">
        <is>
          <t>RET-10</t>
        </is>
      </c>
      <c r="B174" s="25" t="inlineStr">
        <is>
          <t>Retail &amp; e-commerce</t>
        </is>
      </c>
      <c r="C174" s="25" t="inlineStr">
        <is>
          <t>Finance &amp; accounting</t>
        </is>
      </c>
      <c r="D174" s="26" t="inlineStr">
        <is>
          <t>Supplier orders &amp; invoices</t>
        </is>
      </c>
      <c r="E174" s="25" t="inlineStr">
        <is>
          <t>Paper delivery notes and invoices</t>
        </is>
      </c>
      <c r="F174" s="25" t="inlineStr">
        <is>
          <t>Extract information from documents, forms or emails</t>
        </is>
      </c>
      <c r="G174" s="25" t="inlineStr">
        <is>
          <t>Intelligent document processing (IDP)</t>
        </is>
      </c>
      <c r="H174" s="25" t="inlineStr">
        <is>
          <t>IDP of supplier documents with three-way match.</t>
        </is>
      </c>
      <c r="I174" s="25" t="inlineStr">
        <is>
          <t>Delivery notes, invoices</t>
        </is>
      </c>
      <c r="J174" s="25" t="inlineStr">
        <is>
          <t>Processing cost</t>
        </is>
      </c>
      <c r="K174" s="25" t="inlineStr">
        <is>
          <t>-</t>
        </is>
      </c>
      <c r="L174" s="25" t="inlineStr">
        <is>
          <t>Low</t>
        </is>
      </c>
      <c r="M174" t="inlineStr">
        <is>
          <t>RET-10 | Supplier orders &amp; invoices</t>
        </is>
      </c>
      <c r="N174" t="b">
        <f>OR('1. AI Position'!$C$5="",'1. AI Position'!$C$5="Other",B174="Cross-industry",B174='1. AI Position'!$C$5)</f>
        <v>0</v>
      </c>
      <c r="O174" t="str">
        <f>IF(N174,COUNTIF($N$5:N174,TRUE),"")</f>
        <v/>
      </c>
    </row>
    <row r="175" ht="46" customHeight="1">
      <c r="A175" s="26" t="inlineStr">
        <is>
          <t>RET-11</t>
        </is>
      </c>
      <c r="B175" s="25" t="inlineStr">
        <is>
          <t>Retail &amp; e-commerce</t>
        </is>
      </c>
      <c r="C175" s="25" t="inlineStr">
        <is>
          <t>Risk, compliance &amp; legal</t>
        </is>
      </c>
      <c r="D175" s="26" t="inlineStr">
        <is>
          <t>Fraud &amp; promotion abuse detection</t>
        </is>
      </c>
      <c r="E175" s="25" t="inlineStr">
        <is>
          <t>Coupon and refund abuse</t>
        </is>
      </c>
      <c r="F175" s="25" t="inlineStr">
        <is>
          <t>Forecast, score, classify or detect anomalies from historical data</t>
        </is>
      </c>
      <c r="G175" s="25" t="inlineStr">
        <is>
          <t>Predictive analytics / machine learning</t>
        </is>
      </c>
      <c r="H175" s="25" t="inlineStr">
        <is>
          <t>Anomaly detection on transactions and returns.</t>
        </is>
      </c>
      <c r="I175" s="25" t="inlineStr">
        <is>
          <t>Transactions, returns</t>
        </is>
      </c>
      <c r="J175" s="25" t="inlineStr">
        <is>
          <t>Losses prevented</t>
        </is>
      </c>
      <c r="K175" s="25" t="inlineStr">
        <is>
          <t>Human review of account actions.</t>
        </is>
      </c>
      <c r="L175" s="25" t="inlineStr">
        <is>
          <t>Low</t>
        </is>
      </c>
      <c r="M175" t="inlineStr">
        <is>
          <t>RET-11 | Fraud &amp; promotion abuse detection</t>
        </is>
      </c>
      <c r="N175" t="b">
        <f>OR('1. AI Position'!$C$5="",'1. AI Position'!$C$5="Other",B175="Cross-industry",B175='1. AI Position'!$C$5)</f>
        <v>0</v>
      </c>
      <c r="O175" t="str">
        <f>IF(N175,COUNTIF($N$5:N175,TRUE),"")</f>
        <v/>
      </c>
    </row>
    <row r="176" ht="46" customHeight="1">
      <c r="A176" s="26" t="inlineStr">
        <is>
          <t>HOS-01</t>
        </is>
      </c>
      <c r="B176" s="25" t="inlineStr">
        <is>
          <t>Hospitality &amp; tourism</t>
        </is>
      </c>
      <c r="C176" s="25" t="inlineStr">
        <is>
          <t>Sales &amp; marketing</t>
        </is>
      </c>
      <c r="D176" s="26" t="inlineStr">
        <is>
          <t>Revenue management &amp; dynamic pricing</t>
        </is>
      </c>
      <c r="E176" s="25" t="inlineStr">
        <is>
          <t>Rates set manually</t>
        </is>
      </c>
      <c r="F176" s="25" t="inlineStr">
        <is>
          <t>Forecast, score, classify or detect anomalies from historical data</t>
        </is>
      </c>
      <c r="G176" s="25" t="inlineStr">
        <is>
          <t>Predictive analytics / machine learning</t>
        </is>
      </c>
      <c r="H176" s="25" t="inlineStr">
        <is>
          <t>Demand forecasting and rate recommendations within revenue-manager guardrails.</t>
        </is>
      </c>
      <c r="I176" s="25" t="inlineStr">
        <is>
          <t>Booking pace, competitor rates, events</t>
        </is>
      </c>
      <c r="J176" s="25" t="inlineStr">
        <is>
          <t>RevPAR; occupancy</t>
        </is>
      </c>
      <c r="K176" s="25" t="inlineStr">
        <is>
          <t>Transparent pricing.</t>
        </is>
      </c>
      <c r="L176" s="25" t="inlineStr">
        <is>
          <t>Low</t>
        </is>
      </c>
      <c r="M176" t="inlineStr">
        <is>
          <t>HOS-01 | Revenue management &amp; dynamic pricing</t>
        </is>
      </c>
      <c r="N176" t="b">
        <f>OR('1. AI Position'!$C$5="",'1. AI Position'!$C$5="Other",B176="Cross-industry",B176='1. AI Position'!$C$5)</f>
        <v>0</v>
      </c>
      <c r="O176" t="str">
        <f>IF(N176,COUNTIF($N$5:N176,TRUE),"")</f>
        <v/>
      </c>
    </row>
    <row r="177" ht="46" customHeight="1">
      <c r="A177" s="26" t="inlineStr">
        <is>
          <t>HOS-02</t>
        </is>
      </c>
      <c r="B177" s="25" t="inlineStr">
        <is>
          <t>Hospitality &amp; tourism</t>
        </is>
      </c>
      <c r="C177" s="25" t="inlineStr">
        <is>
          <t>Customer service</t>
        </is>
      </c>
      <c r="D177" s="26" t="inlineStr">
        <is>
          <t>Guest messaging &amp; concierge (WhatsApp)</t>
        </is>
      </c>
      <c r="E177" s="25" t="inlineStr">
        <is>
          <t>Front desk overloaded</t>
        </is>
      </c>
      <c r="F177" s="25" t="inlineStr">
        <is>
          <t>Converse with customers, citizens or staff (chat, voice, WhatsApp)</t>
        </is>
      </c>
      <c r="G177" s="25" t="inlineStr">
        <is>
          <t>Conversational AI / virtual agent</t>
        </is>
      </c>
      <c r="H177" s="25" t="inlineStr">
        <is>
          <t>Bilingual guest assistant for requests, bookings and FAQs integrated with PMS.</t>
        </is>
      </c>
      <c r="I177" s="25" t="inlineStr">
        <is>
          <t>PMS, service catalogue</t>
        </is>
      </c>
      <c r="J177" s="25" t="inlineStr">
        <is>
          <t>Response time; upsell revenue; guest satisfaction</t>
        </is>
      </c>
      <c r="K177" s="25" t="inlineStr">
        <is>
          <t>Disclose AI; guest data (PDPL).</t>
        </is>
      </c>
      <c r="L177" s="25" t="inlineStr">
        <is>
          <t>Low</t>
        </is>
      </c>
      <c r="M177" t="inlineStr">
        <is>
          <t>HOS-02 | Guest messaging &amp; concierge (WhatsApp)</t>
        </is>
      </c>
      <c r="N177" t="b">
        <f>OR('1. AI Position'!$C$5="",'1. AI Position'!$C$5="Other",B177="Cross-industry",B177='1. AI Position'!$C$5)</f>
        <v>0</v>
      </c>
      <c r="O177" t="str">
        <f>IF(N177,COUNTIF($N$5:N177,TRUE),"")</f>
        <v/>
      </c>
    </row>
    <row r="178" ht="46" customHeight="1">
      <c r="A178" s="26" t="inlineStr">
        <is>
          <t>HOS-03</t>
        </is>
      </c>
      <c r="B178" s="25" t="inlineStr">
        <is>
          <t>Hospitality &amp; tourism</t>
        </is>
      </c>
      <c r="C178" s="25" t="inlineStr">
        <is>
          <t>Core operations &amp; service delivery</t>
        </is>
      </c>
      <c r="D178" s="26" t="inlineStr">
        <is>
          <t>Reservations &amp; channel updates</t>
        </is>
      </c>
      <c r="E178" s="25" t="inlineStr">
        <is>
          <t>Manual channel updates</t>
        </is>
      </c>
      <c r="F178" s="25" t="inlineStr">
        <is>
          <t>Move or re-key data between systems following fixed rules</t>
        </is>
      </c>
      <c r="G178" s="25" t="inlineStr">
        <is>
          <t>Workflow automation / RPA</t>
        </is>
      </c>
      <c r="H178" s="25" t="inlineStr">
        <is>
          <t>Channel-manager integration and RPA for remaining manual steps.</t>
        </is>
      </c>
      <c r="I178" s="25" t="inlineStr">
        <is>
          <t>PMS, OTA channels</t>
        </is>
      </c>
      <c r="J178" s="25" t="inlineStr">
        <is>
          <t>Booking errors; time</t>
        </is>
      </c>
      <c r="K178" s="25" t="inlineStr">
        <is>
          <t>-</t>
        </is>
      </c>
      <c r="L178" s="25" t="inlineStr">
        <is>
          <t>Low</t>
        </is>
      </c>
      <c r="M178" t="inlineStr">
        <is>
          <t>HOS-03 | Reservations &amp; channel updates</t>
        </is>
      </c>
      <c r="N178" t="b">
        <f>OR('1. AI Position'!$C$5="",'1. AI Position'!$C$5="Other",B178="Cross-industry",B178='1. AI Position'!$C$5)</f>
        <v>0</v>
      </c>
      <c r="O178" t="str">
        <f>IF(N178,COUNTIF($N$5:N178,TRUE),"")</f>
        <v/>
      </c>
    </row>
    <row r="179" ht="46" customHeight="1">
      <c r="A179" s="26" t="inlineStr">
        <is>
          <t>HOS-04</t>
        </is>
      </c>
      <c r="B179" s="25" t="inlineStr">
        <is>
          <t>Hospitality &amp; tourism</t>
        </is>
      </c>
      <c r="C179" s="25" t="inlineStr">
        <is>
          <t>Sales &amp; marketing</t>
        </is>
      </c>
      <c r="D179" s="26" t="inlineStr">
        <is>
          <t>Review &amp; reputation management</t>
        </is>
      </c>
      <c r="E179" s="25" t="inlineStr">
        <is>
          <t>Reviews unanswered</t>
        </is>
      </c>
      <c r="F179" s="25" t="inlineStr">
        <is>
          <t>Draft, summarise, translate or review text</t>
        </is>
      </c>
      <c r="G179" s="25" t="inlineStr">
        <is>
          <t>Generative AI assistant (off-the-shelf)</t>
        </is>
      </c>
      <c r="H179" s="25" t="inlineStr">
        <is>
          <t>GenAI-drafted review responses and theme analysis; manager approves.</t>
        </is>
      </c>
      <c r="I179" s="25" t="inlineStr">
        <is>
          <t>Online reviews</t>
        </is>
      </c>
      <c r="J179" s="25" t="inlineStr">
        <is>
          <t>Response rate; rating</t>
        </is>
      </c>
      <c r="K179" s="25" t="inlineStr">
        <is>
          <t>Brand tone review.</t>
        </is>
      </c>
      <c r="L179" s="25" t="inlineStr">
        <is>
          <t>Low</t>
        </is>
      </c>
      <c r="M179" t="inlineStr">
        <is>
          <t>HOS-04 | Review &amp; reputation management</t>
        </is>
      </c>
      <c r="N179" t="b">
        <f>OR('1. AI Position'!$C$5="",'1. AI Position'!$C$5="Other",B179="Cross-industry",B179='1. AI Position'!$C$5)</f>
        <v>0</v>
      </c>
      <c r="O179" t="str">
        <f>IF(N179,COUNTIF($N$5:N179,TRUE),"")</f>
        <v/>
      </c>
    </row>
    <row r="180" ht="46" customHeight="1">
      <c r="A180" s="26" t="inlineStr">
        <is>
          <t>HOS-05</t>
        </is>
      </c>
      <c r="B180" s="25" t="inlineStr">
        <is>
          <t>Hospitality &amp; tourism</t>
        </is>
      </c>
      <c r="C180" s="25" t="inlineStr">
        <is>
          <t>Core operations &amp; service delivery</t>
        </is>
      </c>
      <c r="D180" s="26" t="inlineStr">
        <is>
          <t>Housekeeping scheduling</t>
        </is>
      </c>
      <c r="E180" s="25" t="inlineStr">
        <is>
          <t>Rooms not ready on time</t>
        </is>
      </c>
      <c r="F180" s="25" t="inlineStr">
        <is>
          <t>Forecast, score, classify or detect anomalies from historical data</t>
        </is>
      </c>
      <c r="G180" s="25" t="inlineStr">
        <is>
          <t>Predictive analytics / machine learning</t>
        </is>
      </c>
      <c r="H180" s="25" t="inlineStr">
        <is>
          <t>Optimised housekeeping assignments based on arrivals and departures.</t>
        </is>
      </c>
      <c r="I180" s="25" t="inlineStr">
        <is>
          <t>PMS status, staff rosters</t>
        </is>
      </c>
      <c r="J180" s="25" t="inlineStr">
        <is>
          <t>Room-ready time; productivity</t>
        </is>
      </c>
      <c r="K180" s="25" t="inlineStr">
        <is>
          <t>-</t>
        </is>
      </c>
      <c r="L180" s="25" t="inlineStr">
        <is>
          <t>Low</t>
        </is>
      </c>
      <c r="M180" t="inlineStr">
        <is>
          <t>HOS-05 | Housekeeping scheduling</t>
        </is>
      </c>
      <c r="N180" t="b">
        <f>OR('1. AI Position'!$C$5="",'1. AI Position'!$C$5="Other",B180="Cross-industry",B180='1. AI Position'!$C$5)</f>
        <v>0</v>
      </c>
      <c r="O180" t="str">
        <f>IF(N180,COUNTIF($N$5:N180,TRUE),"")</f>
        <v/>
      </c>
    </row>
    <row r="181" ht="46" customHeight="1">
      <c r="A181" s="26" t="inlineStr">
        <is>
          <t>HOS-06</t>
        </is>
      </c>
      <c r="B181" s="25" t="inlineStr">
        <is>
          <t>Hospitality &amp; tourism</t>
        </is>
      </c>
      <c r="C181" s="25" t="inlineStr">
        <is>
          <t>Procurement &amp; supply chain</t>
        </is>
      </c>
      <c r="D181" s="26" t="inlineStr">
        <is>
          <t>F&amp;B demand forecasting &amp; waste reduction</t>
        </is>
      </c>
      <c r="E181" s="25" t="inlineStr">
        <is>
          <t>Food waste and stock-outs</t>
        </is>
      </c>
      <c r="F181" s="25" t="inlineStr">
        <is>
          <t>Forecast, score, classify or detect anomalies from historical data</t>
        </is>
      </c>
      <c r="G181" s="25" t="inlineStr">
        <is>
          <t>Predictive analytics / machine learning</t>
        </is>
      </c>
      <c r="H181" s="25" t="inlineStr">
        <is>
          <t>Covers forecasting and prep planning.</t>
        </is>
      </c>
      <c r="I181" s="25" t="inlineStr">
        <is>
          <t>POS, covers, events</t>
        </is>
      </c>
      <c r="J181" s="25" t="inlineStr">
        <is>
          <t>Food waste; food cost %</t>
        </is>
      </c>
      <c r="K181" s="25" t="inlineStr">
        <is>
          <t>-</t>
        </is>
      </c>
      <c r="L181" s="25" t="inlineStr">
        <is>
          <t>Low</t>
        </is>
      </c>
      <c r="M181" t="inlineStr">
        <is>
          <t>HOS-06 | F&amp;B demand forecasting &amp; waste reduction</t>
        </is>
      </c>
      <c r="N181" t="b">
        <f>OR('1. AI Position'!$C$5="",'1. AI Position'!$C$5="Other",B181="Cross-industry",B181='1. AI Position'!$C$5)</f>
        <v>0</v>
      </c>
      <c r="O181" t="str">
        <f>IF(N181,COUNTIF($N$5:N181,TRUE),"")</f>
        <v/>
      </c>
    </row>
    <row r="182" ht="46" customHeight="1">
      <c r="A182" s="26" t="inlineStr">
        <is>
          <t>HOS-07</t>
        </is>
      </c>
      <c r="B182" s="25" t="inlineStr">
        <is>
          <t>Hospitality &amp; tourism</t>
        </is>
      </c>
      <c r="C182" s="25" t="inlineStr">
        <is>
          <t>Sales &amp; marketing</t>
        </is>
      </c>
      <c r="D182" s="26" t="inlineStr">
        <is>
          <t>Event &amp; MICE proposals</t>
        </is>
      </c>
      <c r="E182" s="25" t="inlineStr">
        <is>
          <t>Proposals slow</t>
        </is>
      </c>
      <c r="F182" s="25" t="inlineStr">
        <is>
          <t>Draft, summarise, translate or review text</t>
        </is>
      </c>
      <c r="G182" s="25" t="inlineStr">
        <is>
          <t>Generative AI assistant (off-the-shelf)</t>
        </is>
      </c>
      <c r="H182" s="25" t="inlineStr">
        <is>
          <t>GenAI proposal drafting from venue and menu library.</t>
        </is>
      </c>
      <c r="I182" s="25" t="inlineStr">
        <is>
          <t>Venue data, past proposals</t>
        </is>
      </c>
      <c r="J182" s="25" t="inlineStr">
        <is>
          <t>Proposal time; conversion</t>
        </is>
      </c>
      <c r="K182" s="25" t="inlineStr">
        <is>
          <t>-</t>
        </is>
      </c>
      <c r="L182" s="25" t="inlineStr">
        <is>
          <t>Low</t>
        </is>
      </c>
      <c r="M182" t="inlineStr">
        <is>
          <t>HOS-07 | Event &amp; MICE proposals</t>
        </is>
      </c>
      <c r="N182" t="b">
        <f>OR('1. AI Position'!$C$5="",'1. AI Position'!$C$5="Other",B182="Cross-industry",B182='1. AI Position'!$C$5)</f>
        <v>0</v>
      </c>
      <c r="O182" t="str">
        <f>IF(N182,COUNTIF($N$5:N182,TRUE),"")</f>
        <v/>
      </c>
    </row>
    <row r="183" ht="46" customHeight="1">
      <c r="A183" s="26" t="inlineStr">
        <is>
          <t>HOS-08</t>
        </is>
      </c>
      <c r="B183" s="25" t="inlineStr">
        <is>
          <t>Hospitality &amp; tourism</t>
        </is>
      </c>
      <c r="C183" s="25" t="inlineStr">
        <is>
          <t>Core operations &amp; service delivery</t>
        </is>
      </c>
      <c r="D183" s="26" t="inlineStr">
        <is>
          <t>Guest check-in &amp; ID capture</t>
        </is>
      </c>
      <c r="E183" s="25" t="inlineStr">
        <is>
          <t>Queues at check-in</t>
        </is>
      </c>
      <c r="F183" s="25" t="inlineStr">
        <is>
          <t>Extract information from documents, forms or emails</t>
        </is>
      </c>
      <c r="G183" s="25" t="inlineStr">
        <is>
          <t>Intelligent document processing (IDP)</t>
        </is>
      </c>
      <c r="H183" s="25" t="inlineStr">
        <is>
          <t>Passport / ID capture with data entry automation and online check-in.</t>
        </is>
      </c>
      <c r="I183" s="25" t="inlineStr">
        <is>
          <t>ID documents</t>
        </is>
      </c>
      <c r="J183" s="25" t="inlineStr">
        <is>
          <t>Check-in time</t>
        </is>
      </c>
      <c r="K183" s="25" t="inlineStr">
        <is>
          <t>ID data protection; legal reporting duties.</t>
        </is>
      </c>
      <c r="L183" s="25" t="inlineStr">
        <is>
          <t>Medium</t>
        </is>
      </c>
      <c r="M183" t="inlineStr">
        <is>
          <t>HOS-08 | Guest check-in &amp; ID capture</t>
        </is>
      </c>
      <c r="N183" t="b">
        <f>OR('1. AI Position'!$C$5="",'1. AI Position'!$C$5="Other",B183="Cross-industry",B183='1. AI Position'!$C$5)</f>
        <v>0</v>
      </c>
      <c r="O183" t="str">
        <f>IF(N183,COUNTIF($N$5:N183,TRUE),"")</f>
        <v/>
      </c>
    </row>
    <row r="184" ht="46" customHeight="1">
      <c r="A184" s="26" t="inlineStr">
        <is>
          <t>HOS-09</t>
        </is>
      </c>
      <c r="B184" s="25" t="inlineStr">
        <is>
          <t>Hospitality &amp; tourism</t>
        </is>
      </c>
      <c r="C184" s="25" t="inlineStr">
        <is>
          <t>Assets, facilities &amp; maintenance</t>
        </is>
      </c>
      <c r="D184" s="26" t="inlineStr">
        <is>
          <t>Hotel energy management</t>
        </is>
      </c>
      <c r="E184" s="25" t="inlineStr">
        <is>
          <t>High energy cost</t>
        </is>
      </c>
      <c r="F184" s="25" t="inlineStr">
        <is>
          <t>Forecast, score, classify or detect anomalies from historical data</t>
        </is>
      </c>
      <c r="G184" s="25" t="inlineStr">
        <is>
          <t>Predictive analytics / machine learning</t>
        </is>
      </c>
      <c r="H184" s="25" t="inlineStr">
        <is>
          <t>Occupancy-linked HVAC optimisation.</t>
        </is>
      </c>
      <c r="I184" s="25" t="inlineStr">
        <is>
          <t>BMS, occupancy data</t>
        </is>
      </c>
      <c r="J184" s="25" t="inlineStr">
        <is>
          <t>kWh per occupied room</t>
        </is>
      </c>
      <c r="K184" s="25" t="inlineStr">
        <is>
          <t>-</t>
        </is>
      </c>
      <c r="L184" s="25" t="inlineStr">
        <is>
          <t>Low</t>
        </is>
      </c>
      <c r="M184" t="inlineStr">
        <is>
          <t>HOS-09 | Hotel energy management</t>
        </is>
      </c>
      <c r="N184" t="b">
        <f>OR('1. AI Position'!$C$5="",'1. AI Position'!$C$5="Other",B184="Cross-industry",B184='1. AI Position'!$C$5)</f>
        <v>0</v>
      </c>
      <c r="O184" t="str">
        <f>IF(N184,COUNTIF($N$5:N184,TRUE),"")</f>
        <v/>
      </c>
    </row>
    <row r="185" ht="46" customHeight="1">
      <c r="A185" s="26" t="inlineStr">
        <is>
          <t>HOS-10</t>
        </is>
      </c>
      <c r="B185" s="25" t="inlineStr">
        <is>
          <t>Hospitality &amp; tourism</t>
        </is>
      </c>
      <c r="C185" s="25" t="inlineStr">
        <is>
          <t>Sales &amp; marketing</t>
        </is>
      </c>
      <c r="D185" s="26" t="inlineStr">
        <is>
          <t>Personalised upsell offers</t>
        </is>
      </c>
      <c r="E185" s="25" t="inlineStr">
        <is>
          <t>Missed upsell</t>
        </is>
      </c>
      <c r="F185" s="25" t="inlineStr">
        <is>
          <t>Forecast, score, classify or detect anomalies from historical data</t>
        </is>
      </c>
      <c r="G185" s="25" t="inlineStr">
        <is>
          <t>Predictive analytics / machine learning</t>
        </is>
      </c>
      <c r="H185" s="25" t="inlineStr">
        <is>
          <t>Propensity-based upgrade and package offers pre-arrival.</t>
        </is>
      </c>
      <c r="I185" s="25" t="inlineStr">
        <is>
          <t>Guest history</t>
        </is>
      </c>
      <c r="J185" s="25" t="inlineStr">
        <is>
          <t>Upsell revenue</t>
        </is>
      </c>
      <c r="K185" s="25" t="inlineStr">
        <is>
          <t>Consent; PDPL.</t>
        </is>
      </c>
      <c r="L185" s="25" t="inlineStr">
        <is>
          <t>Medium</t>
        </is>
      </c>
      <c r="M185" t="inlineStr">
        <is>
          <t>HOS-10 | Personalised upsell offers</t>
        </is>
      </c>
      <c r="N185" t="b">
        <f>OR('1. AI Position'!$C$5="",'1. AI Position'!$C$5="Other",B185="Cross-industry",B185='1. AI Position'!$C$5)</f>
        <v>0</v>
      </c>
      <c r="O185" t="str">
        <f>IF(N185,COUNTIF($N$5:N185,TRUE),"")</f>
        <v/>
      </c>
    </row>
    <row r="186" ht="46" customHeight="1">
      <c r="A186" s="26" t="inlineStr">
        <is>
          <t>MFG-01</t>
        </is>
      </c>
      <c r="B186" s="25" t="inlineStr">
        <is>
          <t>Manufacturing &amp; industrial</t>
        </is>
      </c>
      <c r="C186" s="25" t="inlineStr">
        <is>
          <t>Assets, facilities &amp; maintenance</t>
        </is>
      </c>
      <c r="D186" s="26" t="inlineStr">
        <is>
          <t>Predictive maintenance</t>
        </is>
      </c>
      <c r="E186" s="25" t="inlineStr">
        <is>
          <t>Unplanned downtime</t>
        </is>
      </c>
      <c r="F186" s="25" t="inlineStr">
        <is>
          <t>Forecast, score, classify or detect anomalies from historical data</t>
        </is>
      </c>
      <c r="G186" s="25" t="inlineStr">
        <is>
          <t>Predictive analytics / machine learning</t>
        </is>
      </c>
      <c r="H186" s="25" t="inlineStr">
        <is>
          <t>Condition-based models on sensor data triggering work orders (ISO 55000 asset management).</t>
        </is>
      </c>
      <c r="I186" s="25" t="inlineStr">
        <is>
          <t>Sensor / SCADA history, failure records</t>
        </is>
      </c>
      <c r="J186" s="25" t="inlineStr">
        <is>
          <t>Unplanned downtime; maintenance cost</t>
        </is>
      </c>
      <c r="K186" s="25" t="inlineStr">
        <is>
          <t>OT security segregation.</t>
        </is>
      </c>
      <c r="L186" s="25" t="inlineStr">
        <is>
          <t>Low</t>
        </is>
      </c>
      <c r="M186" t="inlineStr">
        <is>
          <t>MFG-01 | Predictive maintenance</t>
        </is>
      </c>
      <c r="N186" t="b">
        <f>OR('1. AI Position'!$C$5="",'1. AI Position'!$C$5="Other",B186="Cross-industry",B186='1. AI Position'!$C$5)</f>
        <v>0</v>
      </c>
      <c r="O186" t="str">
        <f>IF(N186,COUNTIF($N$5:N186,TRUE),"")</f>
        <v/>
      </c>
    </row>
    <row r="187" ht="46" customHeight="1">
      <c r="A187" s="26" t="inlineStr">
        <is>
          <t>MFG-02</t>
        </is>
      </c>
      <c r="B187" s="25" t="inlineStr">
        <is>
          <t>Manufacturing &amp; industrial</t>
        </is>
      </c>
      <c r="C187" s="25" t="inlineStr">
        <is>
          <t>Core operations &amp; service delivery</t>
        </is>
      </c>
      <c r="D187" s="26" t="inlineStr">
        <is>
          <t>Visual quality inspection</t>
        </is>
      </c>
      <c r="E187" s="25" t="inlineStr">
        <is>
          <t>Defects missed by manual inspection</t>
        </is>
      </c>
      <c r="F187" s="25" t="inlineStr">
        <is>
          <t>Recognise or inspect images, video or speech</t>
        </is>
      </c>
      <c r="G187" s="25" t="inlineStr">
        <is>
          <t>Computer vision / speech AI</t>
        </is>
      </c>
      <c r="H187" s="25" t="inlineStr">
        <is>
          <t>Computer-vision inspection at line speed with operator confirmation of rejects.</t>
        </is>
      </c>
      <c r="I187" s="25" t="inlineStr">
        <is>
          <t>Labelled defect images</t>
        </is>
      </c>
      <c r="J187" s="25" t="inlineStr">
        <is>
          <t>Defect escape rate; scrap</t>
        </is>
      </c>
      <c r="K187" s="25" t="inlineStr">
        <is>
          <t>Model drift monitoring.</t>
        </is>
      </c>
      <c r="L187" s="25" t="inlineStr">
        <is>
          <t>Low</t>
        </is>
      </c>
      <c r="M187" t="inlineStr">
        <is>
          <t>MFG-02 | Visual quality inspection</t>
        </is>
      </c>
      <c r="N187" t="b">
        <f>OR('1. AI Position'!$C$5="",'1. AI Position'!$C$5="Other",B187="Cross-industry",B187='1. AI Position'!$C$5)</f>
        <v>0</v>
      </c>
      <c r="O187" t="str">
        <f>IF(N187,COUNTIF($N$5:N187,TRUE),"")</f>
        <v/>
      </c>
    </row>
    <row r="188" ht="46" customHeight="1">
      <c r="A188" s="26" t="inlineStr">
        <is>
          <t>MFG-03</t>
        </is>
      </c>
      <c r="B188" s="25" t="inlineStr">
        <is>
          <t>Manufacturing &amp; industrial</t>
        </is>
      </c>
      <c r="C188" s="25" t="inlineStr">
        <is>
          <t>Core operations &amp; service delivery</t>
        </is>
      </c>
      <c r="D188" s="26" t="inlineStr">
        <is>
          <t>Production scheduling optimisation</t>
        </is>
      </c>
      <c r="E188" s="25" t="inlineStr">
        <is>
          <t>Frequent changeovers and delays</t>
        </is>
      </c>
      <c r="F188" s="25" t="inlineStr">
        <is>
          <t>Forecast, score, classify or detect anomalies from historical data</t>
        </is>
      </c>
      <c r="G188" s="25" t="inlineStr">
        <is>
          <t>Predictive analytics / machine learning</t>
        </is>
      </c>
      <c r="H188" s="25" t="inlineStr">
        <is>
          <t>Optimisation of schedules against capacity and due dates.</t>
        </is>
      </c>
      <c r="I188" s="25" t="inlineStr">
        <is>
          <t>Orders, routings, capacities</t>
        </is>
      </c>
      <c r="J188" s="25" t="inlineStr">
        <is>
          <t>OTIF; utilisation</t>
        </is>
      </c>
      <c r="K188" s="25" t="inlineStr">
        <is>
          <t>-</t>
        </is>
      </c>
      <c r="L188" s="25" t="inlineStr">
        <is>
          <t>Low</t>
        </is>
      </c>
      <c r="M188" t="inlineStr">
        <is>
          <t>MFG-03 | Production scheduling optimisation</t>
        </is>
      </c>
      <c r="N188" t="b">
        <f>OR('1. AI Position'!$C$5="",'1. AI Position'!$C$5="Other",B188="Cross-industry",B188='1. AI Position'!$C$5)</f>
        <v>0</v>
      </c>
      <c r="O188" t="str">
        <f>IF(N188,COUNTIF($N$5:N188,TRUE),"")</f>
        <v/>
      </c>
    </row>
    <row r="189" ht="46" customHeight="1">
      <c r="A189" s="26" t="inlineStr">
        <is>
          <t>MFG-04</t>
        </is>
      </c>
      <c r="B189" s="25" t="inlineStr">
        <is>
          <t>Manufacturing &amp; industrial</t>
        </is>
      </c>
      <c r="C189" s="25" t="inlineStr">
        <is>
          <t>Assets, facilities &amp; maintenance</t>
        </is>
      </c>
      <c r="D189" s="26" t="inlineStr">
        <is>
          <t>Energy optimisation</t>
        </is>
      </c>
      <c r="E189" s="25" t="inlineStr">
        <is>
          <t>High energy use</t>
        </is>
      </c>
      <c r="F189" s="25" t="inlineStr">
        <is>
          <t>Forecast, score, classify or detect anomalies from historical data</t>
        </is>
      </c>
      <c r="G189" s="25" t="inlineStr">
        <is>
          <t>Predictive analytics / machine learning</t>
        </is>
      </c>
      <c r="H189" s="25" t="inlineStr">
        <is>
          <t>ML optimisation of energy-intensive equipment (ISO 50001).</t>
        </is>
      </c>
      <c r="I189" s="25" t="inlineStr">
        <is>
          <t>Energy and process data</t>
        </is>
      </c>
      <c r="J189" s="25" t="inlineStr">
        <is>
          <t>Energy per unit</t>
        </is>
      </c>
      <c r="K189" s="25" t="inlineStr">
        <is>
          <t>-</t>
        </is>
      </c>
      <c r="L189" s="25" t="inlineStr">
        <is>
          <t>Low</t>
        </is>
      </c>
      <c r="M189" t="inlineStr">
        <is>
          <t>MFG-04 | Energy optimisation</t>
        </is>
      </c>
      <c r="N189" t="b">
        <f>OR('1. AI Position'!$C$5="",'1. AI Position'!$C$5="Other",B189="Cross-industry",B189='1. AI Position'!$C$5)</f>
        <v>0</v>
      </c>
      <c r="O189" t="str">
        <f>IF(N189,COUNTIF($N$5:N189,TRUE),"")</f>
        <v/>
      </c>
    </row>
    <row r="190" ht="46" customHeight="1">
      <c r="A190" s="26" t="inlineStr">
        <is>
          <t>MFG-05</t>
        </is>
      </c>
      <c r="B190" s="25" t="inlineStr">
        <is>
          <t>Manufacturing &amp; industrial</t>
        </is>
      </c>
      <c r="C190" s="25" t="inlineStr">
        <is>
          <t>Procurement &amp; supply chain</t>
        </is>
      </c>
      <c r="D190" s="26" t="inlineStr">
        <is>
          <t>Supplier certificates &amp; quality documents</t>
        </is>
      </c>
      <c r="E190" s="25" t="inlineStr">
        <is>
          <t>Certificates checked manually</t>
        </is>
      </c>
      <c r="F190" s="25" t="inlineStr">
        <is>
          <t>Extract information from documents, forms or emails</t>
        </is>
      </c>
      <c r="G190" s="25" t="inlineStr">
        <is>
          <t>Intelligent document processing (IDP)</t>
        </is>
      </c>
      <c r="H190" s="25" t="inlineStr">
        <is>
          <t>IDP extraction and validation of material certificates.</t>
        </is>
      </c>
      <c r="I190" s="25" t="inlineStr">
        <is>
          <t>Certificates of analysis / conformity</t>
        </is>
      </c>
      <c r="J190" s="25" t="inlineStr">
        <is>
          <t>Inspection time; non-conformances</t>
        </is>
      </c>
      <c r="K190" s="25" t="inlineStr">
        <is>
          <t>-</t>
        </is>
      </c>
      <c r="L190" s="25" t="inlineStr">
        <is>
          <t>Low</t>
        </is>
      </c>
      <c r="M190" t="inlineStr">
        <is>
          <t>MFG-05 | Supplier certificates &amp; quality documents</t>
        </is>
      </c>
      <c r="N190" t="b">
        <f>OR('1. AI Position'!$C$5="",'1. AI Position'!$C$5="Other",B190="Cross-industry",B190='1. AI Position'!$C$5)</f>
        <v>0</v>
      </c>
      <c r="O190" t="str">
        <f>IF(N190,COUNTIF($N$5:N190,TRUE),"")</f>
        <v/>
      </c>
    </row>
    <row r="191" ht="46" customHeight="1">
      <c r="A191" s="26" t="inlineStr">
        <is>
          <t>MFG-06</t>
        </is>
      </c>
      <c r="B191" s="25" t="inlineStr">
        <is>
          <t>Manufacturing &amp; industrial</t>
        </is>
      </c>
      <c r="C191" s="25" t="inlineStr">
        <is>
          <t>Knowledge &amp; collaboration</t>
        </is>
      </c>
      <c r="D191" s="26" t="inlineStr">
        <is>
          <t>Maintenance troubleshooting assistant</t>
        </is>
      </c>
      <c r="E191" s="25" t="inlineStr">
        <is>
          <t>Technicians search manuals</t>
        </is>
      </c>
      <c r="F191" s="25" t="inlineStr">
        <is>
          <t>Answer questions from internal knowledge, policies or past work</t>
        </is>
      </c>
      <c r="G191" s="25" t="inlineStr">
        <is>
          <t>GenAI knowledge assistant (RAG on own content)</t>
        </is>
      </c>
      <c r="H191" s="25" t="inlineStr">
        <is>
          <t>Grounded assistant over manuals, SOPs and past work orders.</t>
        </is>
      </c>
      <c r="I191" s="25" t="inlineStr">
        <is>
          <t>Manuals, work orders</t>
        </is>
      </c>
      <c r="J191" s="25" t="inlineStr">
        <is>
          <t>MTTR; first-time fix</t>
        </is>
      </c>
      <c r="K191" s="25" t="inlineStr">
        <is>
          <t>Safety-critical steps verified against SOP.</t>
        </is>
      </c>
      <c r="L191" s="25" t="inlineStr">
        <is>
          <t>Low</t>
        </is>
      </c>
      <c r="M191" t="inlineStr">
        <is>
          <t>MFG-06 | Maintenance troubleshooting assistant</t>
        </is>
      </c>
      <c r="N191" t="b">
        <f>OR('1. AI Position'!$C$5="",'1. AI Position'!$C$5="Other",B191="Cross-industry",B191='1. AI Position'!$C$5)</f>
        <v>0</v>
      </c>
      <c r="O191" t="str">
        <f>IF(N191,COUNTIF($N$5:N191,TRUE),"")</f>
        <v/>
      </c>
    </row>
    <row r="192" ht="46" customHeight="1">
      <c r="A192" s="26" t="inlineStr">
        <is>
          <t>MFG-07</t>
        </is>
      </c>
      <c r="B192" s="25" t="inlineStr">
        <is>
          <t>Manufacturing &amp; industrial</t>
        </is>
      </c>
      <c r="C192" s="25" t="inlineStr">
        <is>
          <t>Risk, compliance &amp; legal</t>
        </is>
      </c>
      <c r="D192" s="26" t="inlineStr">
        <is>
          <t>Health &amp; safety monitoring (PPE)</t>
        </is>
      </c>
      <c r="E192" s="25" t="inlineStr">
        <is>
          <t>Unsafe acts not detected</t>
        </is>
      </c>
      <c r="F192" s="25" t="inlineStr">
        <is>
          <t>Recognise or inspect images, video or speech</t>
        </is>
      </c>
      <c r="G192" s="25" t="inlineStr">
        <is>
          <t>Computer vision / speech AI</t>
        </is>
      </c>
      <c r="H192" s="25" t="inlineStr">
        <is>
          <t>Video analytics for PPE and exclusion zones with privacy safeguards.</t>
        </is>
      </c>
      <c r="I192" s="25" t="inlineStr">
        <is>
          <t>Camera feeds</t>
        </is>
      </c>
      <c r="J192" s="25" t="inlineStr">
        <is>
          <t>Incidents; near-misses</t>
        </is>
      </c>
      <c r="K192" s="25" t="inlineStr">
        <is>
          <t>Worker privacy; no biometric identification; ISO 45001.</t>
        </is>
      </c>
      <c r="L192" s="25" t="inlineStr">
        <is>
          <t>Medium</t>
        </is>
      </c>
      <c r="M192" t="inlineStr">
        <is>
          <t>MFG-07 | Health &amp; safety monitoring (PPE)</t>
        </is>
      </c>
      <c r="N192" t="b">
        <f>OR('1. AI Position'!$C$5="",'1. AI Position'!$C$5="Other",B192="Cross-industry",B192='1. AI Position'!$C$5)</f>
        <v>0</v>
      </c>
      <c r="O192" t="str">
        <f>IF(N192,COUNTIF($N$5:N192,TRUE),"")</f>
        <v/>
      </c>
    </row>
    <row r="193" ht="46" customHeight="1">
      <c r="A193" s="26" t="inlineStr">
        <is>
          <t>MFG-08</t>
        </is>
      </c>
      <c r="B193" s="25" t="inlineStr">
        <is>
          <t>Manufacturing &amp; industrial</t>
        </is>
      </c>
      <c r="C193" s="25" t="inlineStr">
        <is>
          <t>Procurement &amp; supply chain</t>
        </is>
      </c>
      <c r="D193" s="26" t="inlineStr">
        <is>
          <t>Spare-parts &amp; inventory optimisation</t>
        </is>
      </c>
      <c r="E193" s="25" t="inlineStr">
        <is>
          <t>Excess spares, critical stock-outs</t>
        </is>
      </c>
      <c r="F193" s="25" t="inlineStr">
        <is>
          <t>Forecast, score, classify or detect anomalies from historical data</t>
        </is>
      </c>
      <c r="G193" s="25" t="inlineStr">
        <is>
          <t>Predictive analytics / machine learning</t>
        </is>
      </c>
      <c r="H193" s="25" t="inlineStr">
        <is>
          <t>Demand and criticality-based inventory optimisation.</t>
        </is>
      </c>
      <c r="I193" s="25" t="inlineStr">
        <is>
          <t>Consumption history</t>
        </is>
      </c>
      <c r="J193" s="25" t="inlineStr">
        <is>
          <t>Inventory value; stock-outs</t>
        </is>
      </c>
      <c r="K193" s="25" t="inlineStr">
        <is>
          <t>-</t>
        </is>
      </c>
      <c r="L193" s="25" t="inlineStr">
        <is>
          <t>Low</t>
        </is>
      </c>
      <c r="M193" t="inlineStr">
        <is>
          <t>MFG-08 | Spare-parts &amp; inventory optimisation</t>
        </is>
      </c>
      <c r="N193" t="b">
        <f>OR('1. AI Position'!$C$5="",'1. AI Position'!$C$5="Other",B193="Cross-industry",B193='1. AI Position'!$C$5)</f>
        <v>0</v>
      </c>
      <c r="O193" t="str">
        <f>IF(N193,COUNTIF($N$5:N193,TRUE),"")</f>
        <v/>
      </c>
    </row>
    <row r="194" ht="46" customHeight="1">
      <c r="A194" s="26" t="inlineStr">
        <is>
          <t>MFG-09</t>
        </is>
      </c>
      <c r="B194" s="25" t="inlineStr">
        <is>
          <t>Manufacturing &amp; industrial</t>
        </is>
      </c>
      <c r="C194" s="25" t="inlineStr">
        <is>
          <t>Customer service</t>
        </is>
      </c>
      <c r="D194" s="26" t="inlineStr">
        <is>
          <t>Customer order entry</t>
        </is>
      </c>
      <c r="E194" s="25" t="inlineStr">
        <is>
          <t>Orders from email / PDF keyed manually</t>
        </is>
      </c>
      <c r="F194" s="25" t="inlineStr">
        <is>
          <t>Extract information from documents, forms or emails</t>
        </is>
      </c>
      <c r="G194" s="25" t="inlineStr">
        <is>
          <t>Intelligent document processing (IDP)</t>
        </is>
      </c>
      <c r="H194" s="25" t="inlineStr">
        <is>
          <t>IDP of purchase orders into ERP with validation.</t>
        </is>
      </c>
      <c r="I194" s="25" t="inlineStr">
        <is>
          <t>Customer POs</t>
        </is>
      </c>
      <c r="J194" s="25" t="inlineStr">
        <is>
          <t>Order-entry time; errors</t>
        </is>
      </c>
      <c r="K194" s="25" t="inlineStr">
        <is>
          <t>-</t>
        </is>
      </c>
      <c r="L194" s="25" t="inlineStr">
        <is>
          <t>Low</t>
        </is>
      </c>
      <c r="M194" t="inlineStr">
        <is>
          <t>MFG-09 | Customer order entry</t>
        </is>
      </c>
      <c r="N194" t="b">
        <f>OR('1. AI Position'!$C$5="",'1. AI Position'!$C$5="Other",B194="Cross-industry",B194='1. AI Position'!$C$5)</f>
        <v>0</v>
      </c>
      <c r="O194" t="str">
        <f>IF(N194,COUNTIF($N$5:N194,TRUE),"")</f>
        <v/>
      </c>
    </row>
    <row r="195" ht="46" customHeight="1">
      <c r="A195" s="26" t="inlineStr">
        <is>
          <t>MFG-10</t>
        </is>
      </c>
      <c r="B195" s="25" t="inlineStr">
        <is>
          <t>Manufacturing &amp; industrial</t>
        </is>
      </c>
      <c r="C195" s="25" t="inlineStr">
        <is>
          <t>Core operations &amp; service delivery</t>
        </is>
      </c>
      <c r="D195" s="26" t="inlineStr">
        <is>
          <t>Process yield optimisation</t>
        </is>
      </c>
      <c r="E195" s="25" t="inlineStr">
        <is>
          <t>Variable yield</t>
        </is>
      </c>
      <c r="F195" s="25" t="inlineStr">
        <is>
          <t>Forecast, score, classify or detect anomalies from historical data</t>
        </is>
      </c>
      <c r="G195" s="25" t="inlineStr">
        <is>
          <t>Predictive analytics / machine learning</t>
        </is>
      </c>
      <c r="H195" s="25" t="inlineStr">
        <is>
          <t>ML on process parameters to recommend set-points; engineers approve.</t>
        </is>
      </c>
      <c r="I195" s="25" t="inlineStr">
        <is>
          <t>Process and quality data</t>
        </is>
      </c>
      <c r="J195" s="25" t="inlineStr">
        <is>
          <t>Yield; scrap</t>
        </is>
      </c>
      <c r="K195" s="25" t="inlineStr">
        <is>
          <t>-</t>
        </is>
      </c>
      <c r="L195" s="25" t="inlineStr">
        <is>
          <t>Low</t>
        </is>
      </c>
      <c r="M195" t="inlineStr">
        <is>
          <t>MFG-10 | Process yield optimisation</t>
        </is>
      </c>
      <c r="N195" t="b">
        <f>OR('1. AI Position'!$C$5="",'1. AI Position'!$C$5="Other",B195="Cross-industry",B195='1. AI Position'!$C$5)</f>
        <v>0</v>
      </c>
      <c r="O195" t="str">
        <f>IF(N195,COUNTIF($N$5:N195,TRUE),"")</f>
        <v/>
      </c>
    </row>
    <row r="196" ht="46" customHeight="1">
      <c r="A196" s="26" t="inlineStr">
        <is>
          <t>MFG-11</t>
        </is>
      </c>
      <c r="B196" s="25" t="inlineStr">
        <is>
          <t>Manufacturing &amp; industrial</t>
        </is>
      </c>
      <c r="C196" s="25" t="inlineStr">
        <is>
          <t>Procurement &amp; supply chain</t>
        </is>
      </c>
      <c r="D196" s="26" t="inlineStr">
        <is>
          <t>Export documentation</t>
        </is>
      </c>
      <c r="E196" s="25" t="inlineStr">
        <is>
          <t>Documents prepared manually</t>
        </is>
      </c>
      <c r="F196" s="25" t="inlineStr">
        <is>
          <t>Move or re-key data between systems following fixed rules</t>
        </is>
      </c>
      <c r="G196" s="25" t="inlineStr">
        <is>
          <t>Workflow automation / RPA</t>
        </is>
      </c>
      <c r="H196" s="25" t="inlineStr">
        <is>
          <t>Automated generation of export documents from ERP data.</t>
        </is>
      </c>
      <c r="I196" s="25" t="inlineStr">
        <is>
          <t>Orders, shipping data</t>
        </is>
      </c>
      <c r="J196" s="25" t="inlineStr">
        <is>
          <t>Preparation time; errors</t>
        </is>
      </c>
      <c r="K196" s="25" t="inlineStr">
        <is>
          <t>Customs compliance.</t>
        </is>
      </c>
      <c r="L196" s="25" t="inlineStr">
        <is>
          <t>Low</t>
        </is>
      </c>
      <c r="M196" t="inlineStr">
        <is>
          <t>MFG-11 | Export documentation</t>
        </is>
      </c>
      <c r="N196" t="b">
        <f>OR('1. AI Position'!$C$5="",'1. AI Position'!$C$5="Other",B196="Cross-industry",B196='1. AI Position'!$C$5)</f>
        <v>0</v>
      </c>
      <c r="O196" t="str">
        <f>IF(N196,COUNTIF($N$5:N196,TRUE),"")</f>
        <v/>
      </c>
    </row>
    <row r="197" ht="46" customHeight="1">
      <c r="A197" s="26" t="inlineStr">
        <is>
          <t>ENR-01</t>
        </is>
      </c>
      <c r="B197" s="25" t="inlineStr">
        <is>
          <t>Oil, gas, energy &amp; utilities</t>
        </is>
      </c>
      <c r="C197" s="25" t="inlineStr">
        <is>
          <t>Assets, facilities &amp; maintenance</t>
        </is>
      </c>
      <c r="D197" s="26" t="inlineStr">
        <is>
          <t>Asset integrity &amp; corrosion prediction</t>
        </is>
      </c>
      <c r="E197" s="25" t="inlineStr">
        <is>
          <t>Inspection not risk-based</t>
        </is>
      </c>
      <c r="F197" s="25" t="inlineStr">
        <is>
          <t>Forecast, score, classify or detect anomalies from historical data</t>
        </is>
      </c>
      <c r="G197" s="25" t="inlineStr">
        <is>
          <t>Predictive analytics / machine learning</t>
        </is>
      </c>
      <c r="H197" s="25" t="inlineStr">
        <is>
          <t>Risk-based inspection supported by ML corrosion models; engineers decide.</t>
        </is>
      </c>
      <c r="I197" s="25" t="inlineStr">
        <is>
          <t>Inspection data, process conditions</t>
        </is>
      </c>
      <c r="J197" s="25" t="inlineStr">
        <is>
          <t>Failures; inspection cost</t>
        </is>
      </c>
      <c r="K197" s="25" t="inlineStr">
        <is>
          <t>Process safety - human decision; critical infrastructure.</t>
        </is>
      </c>
      <c r="L197" s="25" t="inlineStr">
        <is>
          <t>Medium</t>
        </is>
      </c>
      <c r="M197" t="inlineStr">
        <is>
          <t>ENR-01 | Asset integrity &amp; corrosion prediction</t>
        </is>
      </c>
      <c r="N197" t="b">
        <f>OR('1. AI Position'!$C$5="",'1. AI Position'!$C$5="Other",B197="Cross-industry",B197='1. AI Position'!$C$5)</f>
        <v>0</v>
      </c>
      <c r="O197" t="str">
        <f>IF(N197,COUNTIF($N$5:N197,TRUE),"")</f>
        <v/>
      </c>
    </row>
    <row r="198" ht="46" customHeight="1">
      <c r="A198" s="26" t="inlineStr">
        <is>
          <t>ENR-02</t>
        </is>
      </c>
      <c r="B198" s="25" t="inlineStr">
        <is>
          <t>Oil, gas, energy &amp; utilities</t>
        </is>
      </c>
      <c r="C198" s="25" t="inlineStr">
        <is>
          <t>Assets, facilities &amp; maintenance</t>
        </is>
      </c>
      <c r="D198" s="26" t="inlineStr">
        <is>
          <t>Drone &amp; visual inspection of assets</t>
        </is>
      </c>
      <c r="E198" s="25" t="inlineStr">
        <is>
          <t>Hazardous manual inspections</t>
        </is>
      </c>
      <c r="F198" s="25" t="inlineStr">
        <is>
          <t>Recognise or inspect images, video or speech</t>
        </is>
      </c>
      <c r="G198" s="25" t="inlineStr">
        <is>
          <t>Computer vision / speech AI</t>
        </is>
      </c>
      <c r="H198" s="25" t="inlineStr">
        <is>
          <t>Drone imagery with defect detection for engineer review.</t>
        </is>
      </c>
      <c r="I198" s="25" t="inlineStr">
        <is>
          <t>Imagery, defect labels</t>
        </is>
      </c>
      <c r="J198" s="25" t="inlineStr">
        <is>
          <t>Inspection time; safety exposure</t>
        </is>
      </c>
      <c r="K198" s="25" t="inlineStr">
        <is>
          <t>Aviation / drone permits.</t>
        </is>
      </c>
      <c r="L198" s="25" t="inlineStr">
        <is>
          <t>Low</t>
        </is>
      </c>
      <c r="M198" t="inlineStr">
        <is>
          <t>ENR-02 | Drone &amp; visual inspection of assets</t>
        </is>
      </c>
      <c r="N198" t="b">
        <f>OR('1. AI Position'!$C$5="",'1. AI Position'!$C$5="Other",B198="Cross-industry",B198='1. AI Position'!$C$5)</f>
        <v>0</v>
      </c>
      <c r="O198" t="str">
        <f>IF(N198,COUNTIF($N$5:N198,TRUE),"")</f>
        <v/>
      </c>
    </row>
    <row r="199" ht="46" customHeight="1">
      <c r="A199" s="26" t="inlineStr">
        <is>
          <t>ENR-03</t>
        </is>
      </c>
      <c r="B199" s="25" t="inlineStr">
        <is>
          <t>Oil, gas, energy &amp; utilities</t>
        </is>
      </c>
      <c r="C199" s="25" t="inlineStr">
        <is>
          <t>Finance &amp; accounting</t>
        </is>
      </c>
      <c r="D199" s="26" t="inlineStr">
        <is>
          <t>Meter-reading &amp; billing exceptions</t>
        </is>
      </c>
      <c r="E199" s="25" t="inlineStr">
        <is>
          <t>High billing complaints</t>
        </is>
      </c>
      <c r="F199" s="25" t="inlineStr">
        <is>
          <t>Check or approve items against fixed criteria (rules, thresholds, checklists)</t>
        </is>
      </c>
      <c r="G199" s="25" t="inlineStr">
        <is>
          <t>Rules engine / workflow automation</t>
        </is>
      </c>
      <c r="H199" s="25" t="inlineStr">
        <is>
          <t>Rules and anomaly checks on readings before billing.</t>
        </is>
      </c>
      <c r="I199" s="25" t="inlineStr">
        <is>
          <t>Meter readings, billing data</t>
        </is>
      </c>
      <c r="J199" s="25" t="inlineStr">
        <is>
          <t>Billing errors; complaints</t>
        </is>
      </c>
      <c r="K199" s="25" t="inlineStr">
        <is>
          <t>-</t>
        </is>
      </c>
      <c r="L199" s="25" t="inlineStr">
        <is>
          <t>Low</t>
        </is>
      </c>
      <c r="M199" t="inlineStr">
        <is>
          <t>ENR-03 | Meter-reading &amp; billing exceptions</t>
        </is>
      </c>
      <c r="N199" t="b">
        <f>OR('1. AI Position'!$C$5="",'1. AI Position'!$C$5="Other",B199="Cross-industry",B199='1. AI Position'!$C$5)</f>
        <v>0</v>
      </c>
      <c r="O199" t="str">
        <f>IF(N199,COUNTIF($N$5:N199,TRUE),"")</f>
        <v/>
      </c>
    </row>
    <row r="200" ht="46" customHeight="1">
      <c r="A200" s="26" t="inlineStr">
        <is>
          <t>ENR-04</t>
        </is>
      </c>
      <c r="B200" s="25" t="inlineStr">
        <is>
          <t>Oil, gas, energy &amp; utilities</t>
        </is>
      </c>
      <c r="C200" s="25" t="inlineStr">
        <is>
          <t>Core operations &amp; service delivery</t>
        </is>
      </c>
      <c r="D200" s="26" t="inlineStr">
        <is>
          <t>Load / demand forecasting</t>
        </is>
      </c>
      <c r="E200" s="25" t="inlineStr">
        <is>
          <t>Generation and network planning uncertainty</t>
        </is>
      </c>
      <c r="F200" s="25" t="inlineStr">
        <is>
          <t>Forecast, score, classify or detect anomalies from historical data</t>
        </is>
      </c>
      <c r="G200" s="25" t="inlineStr">
        <is>
          <t>Predictive analytics / machine learning</t>
        </is>
      </c>
      <c r="H200" s="25" t="inlineStr">
        <is>
          <t>ML load forecasting from smart-meter and weather data.</t>
        </is>
      </c>
      <c r="I200" s="25" t="inlineStr">
        <is>
          <t>Load history, weather</t>
        </is>
      </c>
      <c r="J200" s="25" t="inlineStr">
        <is>
          <t>Forecast accuracy; balancing cost</t>
        </is>
      </c>
      <c r="K200" s="25" t="inlineStr">
        <is>
          <t>Critical infrastructure.</t>
        </is>
      </c>
      <c r="L200" s="25" t="inlineStr">
        <is>
          <t>Medium</t>
        </is>
      </c>
      <c r="M200" t="inlineStr">
        <is>
          <t>ENR-04 | Load / demand forecasting</t>
        </is>
      </c>
      <c r="N200" t="b">
        <f>OR('1. AI Position'!$C$5="",'1. AI Position'!$C$5="Other",B200="Cross-industry",B200='1. AI Position'!$C$5)</f>
        <v>0</v>
      </c>
      <c r="O200" t="str">
        <f>IF(N200,COUNTIF($N$5:N200,TRUE),"")</f>
        <v/>
      </c>
    </row>
    <row r="201" ht="46" customHeight="1">
      <c r="A201" s="26" t="inlineStr">
        <is>
          <t>ENR-05</t>
        </is>
      </c>
      <c r="B201" s="25" t="inlineStr">
        <is>
          <t>Oil, gas, energy &amp; utilities</t>
        </is>
      </c>
      <c r="C201" s="25" t="inlineStr">
        <is>
          <t>Customer service</t>
        </is>
      </c>
      <c r="D201" s="26" t="inlineStr">
        <is>
          <t>Outage notifications</t>
        </is>
      </c>
      <c r="E201" s="25" t="inlineStr">
        <is>
          <t>Customers unaware of outages</t>
        </is>
      </c>
      <c r="F201" s="25" t="inlineStr">
        <is>
          <t>Move or re-key data between systems following fixed rules</t>
        </is>
      </c>
      <c r="G201" s="25" t="inlineStr">
        <is>
          <t>Workflow automation / RPA</t>
        </is>
      </c>
      <c r="H201" s="25" t="inlineStr">
        <is>
          <t>Automated outage communications linked to the outage system.</t>
        </is>
      </c>
      <c r="I201" s="25" t="inlineStr">
        <is>
          <t>Outage system, customer contacts</t>
        </is>
      </c>
      <c r="J201" s="25" t="inlineStr">
        <is>
          <t>Calls during outages</t>
        </is>
      </c>
      <c r="K201" s="25" t="inlineStr">
        <is>
          <t>-</t>
        </is>
      </c>
      <c r="L201" s="25" t="inlineStr">
        <is>
          <t>Low</t>
        </is>
      </c>
      <c r="M201" t="inlineStr">
        <is>
          <t>ENR-05 | Outage notifications</t>
        </is>
      </c>
      <c r="N201" t="b">
        <f>OR('1. AI Position'!$C$5="",'1. AI Position'!$C$5="Other",B201="Cross-industry",B201='1. AI Position'!$C$5)</f>
        <v>0</v>
      </c>
      <c r="O201" t="str">
        <f>IF(N201,COUNTIF($N$5:N201,TRUE),"")</f>
        <v/>
      </c>
    </row>
    <row r="202" ht="46" customHeight="1">
      <c r="A202" s="26" t="inlineStr">
        <is>
          <t>ENR-06</t>
        </is>
      </c>
      <c r="B202" s="25" t="inlineStr">
        <is>
          <t>Oil, gas, energy &amp; utilities</t>
        </is>
      </c>
      <c r="C202" s="25" t="inlineStr">
        <is>
          <t>Risk, compliance &amp; legal</t>
        </is>
      </c>
      <c r="D202" s="26" t="inlineStr">
        <is>
          <t>Permit-to-work checks</t>
        </is>
      </c>
      <c r="E202" s="25" t="inlineStr">
        <is>
          <t>Permit errors</t>
        </is>
      </c>
      <c r="F202" s="25" t="inlineStr">
        <is>
          <t>Check or approve items against fixed criteria (rules, thresholds, checklists)</t>
        </is>
      </c>
      <c r="G202" s="25" t="inlineStr">
        <is>
          <t>Rules engine / workflow automation</t>
        </is>
      </c>
      <c r="H202" s="25" t="inlineStr">
        <is>
          <t>Digital permit-to-work with rule-based conflict checks.</t>
        </is>
      </c>
      <c r="I202" s="25" t="inlineStr">
        <is>
          <t>Permits, isolation registers</t>
        </is>
      </c>
      <c r="J202" s="25" t="inlineStr">
        <is>
          <t>Permit errors; incidents</t>
        </is>
      </c>
      <c r="K202" s="25" t="inlineStr">
        <is>
          <t>Safety-critical - validated rules.</t>
        </is>
      </c>
      <c r="L202" s="25" t="inlineStr">
        <is>
          <t>Medium</t>
        </is>
      </c>
      <c r="M202" t="inlineStr">
        <is>
          <t>ENR-06 | Permit-to-work checks</t>
        </is>
      </c>
      <c r="N202" t="b">
        <f>OR('1. AI Position'!$C$5="",'1. AI Position'!$C$5="Other",B202="Cross-industry",B202='1. AI Position'!$C$5)</f>
        <v>0</v>
      </c>
      <c r="O202" t="str">
        <f>IF(N202,COUNTIF($N$5:N202,TRUE),"")</f>
        <v/>
      </c>
    </row>
    <row r="203" ht="46" customHeight="1">
      <c r="A203" s="26" t="inlineStr">
        <is>
          <t>ENR-07</t>
        </is>
      </c>
      <c r="B203" s="25" t="inlineStr">
        <is>
          <t>Oil, gas, energy &amp; utilities</t>
        </is>
      </c>
      <c r="C203" s="25" t="inlineStr">
        <is>
          <t>Knowledge &amp; collaboration</t>
        </is>
      </c>
      <c r="D203" s="26" t="inlineStr">
        <is>
          <t>Engineering document search</t>
        </is>
      </c>
      <c r="E203" s="25" t="inlineStr">
        <is>
          <t>Engineers search drawings and standards</t>
        </is>
      </c>
      <c r="F203" s="25" t="inlineStr">
        <is>
          <t>Answer questions from internal knowledge, policies or past work</t>
        </is>
      </c>
      <c r="G203" s="25" t="inlineStr">
        <is>
          <t>GenAI knowledge assistant (RAG on own content)</t>
        </is>
      </c>
      <c r="H203" s="25" t="inlineStr">
        <is>
          <t>Grounded assistant over engineering documents and standards.</t>
        </is>
      </c>
      <c r="I203" s="25" t="inlineStr">
        <is>
          <t>Drawings, procedures</t>
        </is>
      </c>
      <c r="J203" s="25" t="inlineStr">
        <is>
          <t>Search time</t>
        </is>
      </c>
      <c r="K203" s="25" t="inlineStr">
        <is>
          <t>Document control; latest revision only.</t>
        </is>
      </c>
      <c r="L203" s="25" t="inlineStr">
        <is>
          <t>Low</t>
        </is>
      </c>
      <c r="M203" t="inlineStr">
        <is>
          <t>ENR-07 | Engineering document search</t>
        </is>
      </c>
      <c r="N203" t="b">
        <f>OR('1. AI Position'!$C$5="",'1. AI Position'!$C$5="Other",B203="Cross-industry",B203='1. AI Position'!$C$5)</f>
        <v>0</v>
      </c>
      <c r="O203" t="str">
        <f>IF(N203,COUNTIF($N$5:N203,TRUE),"")</f>
        <v/>
      </c>
    </row>
    <row r="204" ht="46" customHeight="1">
      <c r="A204" s="26" t="inlineStr">
        <is>
          <t>ENR-08</t>
        </is>
      </c>
      <c r="B204" s="25" t="inlineStr">
        <is>
          <t>Oil, gas, energy &amp; utilities</t>
        </is>
      </c>
      <c r="C204" s="25" t="inlineStr">
        <is>
          <t>Core operations &amp; service delivery</t>
        </is>
      </c>
      <c r="D204" s="26" t="inlineStr">
        <is>
          <t>Leak &amp; loss detection</t>
        </is>
      </c>
      <c r="E204" s="25" t="inlineStr">
        <is>
          <t>Non-revenue water / gas losses</t>
        </is>
      </c>
      <c r="F204" s="25" t="inlineStr">
        <is>
          <t>Forecast, score, classify or detect anomalies from historical data</t>
        </is>
      </c>
      <c r="G204" s="25" t="inlineStr">
        <is>
          <t>Predictive analytics / machine learning</t>
        </is>
      </c>
      <c r="H204" s="25" t="inlineStr">
        <is>
          <t>ML on flow and pressure data to locate leaks.</t>
        </is>
      </c>
      <c r="I204" s="25" t="inlineStr">
        <is>
          <t>Flow / pressure data</t>
        </is>
      </c>
      <c r="J204" s="25" t="inlineStr">
        <is>
          <t>Losses; detection time</t>
        </is>
      </c>
      <c r="K204" s="25" t="inlineStr">
        <is>
          <t>-</t>
        </is>
      </c>
      <c r="L204" s="25" t="inlineStr">
        <is>
          <t>Low</t>
        </is>
      </c>
      <c r="M204" t="inlineStr">
        <is>
          <t>ENR-08 | Leak &amp; loss detection</t>
        </is>
      </c>
      <c r="N204" t="b">
        <f>OR('1. AI Position'!$C$5="",'1. AI Position'!$C$5="Other",B204="Cross-industry",B204='1. AI Position'!$C$5)</f>
        <v>0</v>
      </c>
      <c r="O204" t="str">
        <f>IF(N204,COUNTIF($N$5:N204,TRUE),"")</f>
        <v/>
      </c>
    </row>
    <row r="205" ht="46" customHeight="1">
      <c r="A205" s="26" t="inlineStr">
        <is>
          <t>ENR-09</t>
        </is>
      </c>
      <c r="B205" s="25" t="inlineStr">
        <is>
          <t>Oil, gas, energy &amp; utilities</t>
        </is>
      </c>
      <c r="C205" s="25" t="inlineStr">
        <is>
          <t>Risk, compliance &amp; legal</t>
        </is>
      </c>
      <c r="D205" s="26" t="inlineStr">
        <is>
          <t>Emissions monitoring &amp; ESG reporting</t>
        </is>
      </c>
      <c r="E205" s="25" t="inlineStr">
        <is>
          <t>Manual ESG data collection</t>
        </is>
      </c>
      <c r="F205" s="25" t="inlineStr">
        <is>
          <t>Produce reports, dashboards or reconciliations from existing data</t>
        </is>
      </c>
      <c r="G205" s="25" t="inlineStr">
        <is>
          <t>BI, dashboards &amp; reconciliation automation</t>
        </is>
      </c>
      <c r="H205" s="25" t="inlineStr">
        <is>
          <t>Automated emissions data pipelines (GHG Protocol) and reporting dashboards.</t>
        </is>
      </c>
      <c r="I205" s="25" t="inlineStr">
        <is>
          <t>Fuel, energy and process data</t>
        </is>
      </c>
      <c r="J205" s="25" t="inlineStr">
        <is>
          <t>Reporting time; data quality</t>
        </is>
      </c>
      <c r="K205" s="25" t="inlineStr">
        <is>
          <t>Assurance-ready audit trail.</t>
        </is>
      </c>
      <c r="L205" s="25" t="inlineStr">
        <is>
          <t>Low</t>
        </is>
      </c>
      <c r="M205" t="inlineStr">
        <is>
          <t>ENR-09 | Emissions monitoring &amp; ESG reporting</t>
        </is>
      </c>
      <c r="N205" t="b">
        <f>OR('1. AI Position'!$C$5="",'1. AI Position'!$C$5="Other",B205="Cross-industry",B205='1. AI Position'!$C$5)</f>
        <v>0</v>
      </c>
      <c r="O205" t="str">
        <f>IF(N205,COUNTIF($N$5:N205,TRUE),"")</f>
        <v/>
      </c>
    </row>
    <row r="206" ht="46" customHeight="1">
      <c r="A206" s="26" t="inlineStr">
        <is>
          <t>ENR-10</t>
        </is>
      </c>
      <c r="B206" s="25" t="inlineStr">
        <is>
          <t>Oil, gas, energy &amp; utilities</t>
        </is>
      </c>
      <c r="C206" s="25" t="inlineStr">
        <is>
          <t>Core operations &amp; service delivery</t>
        </is>
      </c>
      <c r="D206" s="26" t="inlineStr">
        <is>
          <t>Field technician assistant</t>
        </is>
      </c>
      <c r="E206" s="25" t="inlineStr">
        <is>
          <t>Technicians lack guidance on site</t>
        </is>
      </c>
      <c r="F206" s="25" t="inlineStr">
        <is>
          <t>Answer questions from internal knowledge, policies or past work</t>
        </is>
      </c>
      <c r="G206" s="25" t="inlineStr">
        <is>
          <t>GenAI knowledge assistant (RAG on own content)</t>
        </is>
      </c>
      <c r="H206" s="25" t="inlineStr">
        <is>
          <t>Mobile assistant over procedures and asset history.</t>
        </is>
      </c>
      <c r="I206" s="25" t="inlineStr">
        <is>
          <t>Procedures, asset history</t>
        </is>
      </c>
      <c r="J206" s="25" t="inlineStr">
        <is>
          <t>First-time fix</t>
        </is>
      </c>
      <c r="K206" s="25" t="inlineStr">
        <is>
          <t>Safety steps verified.</t>
        </is>
      </c>
      <c r="L206" s="25" t="inlineStr">
        <is>
          <t>Low</t>
        </is>
      </c>
      <c r="M206" t="inlineStr">
        <is>
          <t>ENR-10 | Field technician assistant</t>
        </is>
      </c>
      <c r="N206" t="b">
        <f>OR('1. AI Position'!$C$5="",'1. AI Position'!$C$5="Other",B206="Cross-industry",B206='1. AI Position'!$C$5)</f>
        <v>0</v>
      </c>
      <c r="O206" t="str">
        <f>IF(N206,COUNTIF($N$5:N206,TRUE),"")</f>
        <v/>
      </c>
    </row>
    <row r="207" ht="46" customHeight="1">
      <c r="A207" s="26" t="inlineStr">
        <is>
          <t>LOG-01</t>
        </is>
      </c>
      <c r="B207" s="25" t="inlineStr">
        <is>
          <t>Logistics, aviation &amp; transport</t>
        </is>
      </c>
      <c r="C207" s="25" t="inlineStr">
        <is>
          <t>Core operations &amp; service delivery</t>
        </is>
      </c>
      <c r="D207" s="26" t="inlineStr">
        <is>
          <t>Route optimisation</t>
        </is>
      </c>
      <c r="E207" s="25" t="inlineStr">
        <is>
          <t>Inefficient routes, late deliveries</t>
        </is>
      </c>
      <c r="F207" s="25" t="inlineStr">
        <is>
          <t>Forecast, score, classify or detect anomalies from historical data</t>
        </is>
      </c>
      <c r="G207" s="25" t="inlineStr">
        <is>
          <t>Predictive analytics / machine learning</t>
        </is>
      </c>
      <c r="H207" s="25" t="inlineStr">
        <is>
          <t>Optimisation engine with live traffic and delivery windows.</t>
        </is>
      </c>
      <c r="I207" s="25" t="inlineStr">
        <is>
          <t>Orders, locations, fleet data</t>
        </is>
      </c>
      <c r="J207" s="25" t="inlineStr">
        <is>
          <t>Cost per drop; on-time delivery</t>
        </is>
      </c>
      <c r="K207" s="25" t="inlineStr">
        <is>
          <t>-</t>
        </is>
      </c>
      <c r="L207" s="25" t="inlineStr">
        <is>
          <t>Low</t>
        </is>
      </c>
      <c r="M207" t="inlineStr">
        <is>
          <t>LOG-01 | Route optimisation</t>
        </is>
      </c>
      <c r="N207" t="b">
        <f>OR('1. AI Position'!$C$5="",'1. AI Position'!$C$5="Other",B207="Cross-industry",B207='1. AI Position'!$C$5)</f>
        <v>0</v>
      </c>
      <c r="O207" t="str">
        <f>IF(N207,COUNTIF($N$5:N207,TRUE),"")</f>
        <v/>
      </c>
    </row>
    <row r="208" ht="46" customHeight="1">
      <c r="A208" s="26" t="inlineStr">
        <is>
          <t>LOG-02</t>
        </is>
      </c>
      <c r="B208" s="25" t="inlineStr">
        <is>
          <t>Logistics, aviation &amp; transport</t>
        </is>
      </c>
      <c r="C208" s="25" t="inlineStr">
        <is>
          <t>Risk, compliance &amp; legal</t>
        </is>
      </c>
      <c r="D208" s="26" t="inlineStr">
        <is>
          <t>Customs declaration preparation</t>
        </is>
      </c>
      <c r="E208" s="25" t="inlineStr">
        <is>
          <t>Declarations prepared manually</t>
        </is>
      </c>
      <c r="F208" s="25" t="inlineStr">
        <is>
          <t>Extract information from documents, forms or emails</t>
        </is>
      </c>
      <c r="G208" s="25" t="inlineStr">
        <is>
          <t>Intelligent document processing (IDP)</t>
        </is>
      </c>
      <c r="H208" s="25" t="inlineStr">
        <is>
          <t>IDP of commercial documents and automated declaration pre-fill; broker submits.</t>
        </is>
      </c>
      <c r="I208" s="25" t="inlineStr">
        <is>
          <t>Invoices, packing lists, HS codes</t>
        </is>
      </c>
      <c r="J208" s="25" t="inlineStr">
        <is>
          <t>Preparation time; customs queries</t>
        </is>
      </c>
      <c r="K208" s="25" t="inlineStr">
        <is>
          <t>Customs compliance; HS classification review.</t>
        </is>
      </c>
      <c r="L208" s="25" t="inlineStr">
        <is>
          <t>Low</t>
        </is>
      </c>
      <c r="M208" t="inlineStr">
        <is>
          <t>LOG-02 | Customs declaration preparation</t>
        </is>
      </c>
      <c r="N208" t="b">
        <f>OR('1. AI Position'!$C$5="",'1. AI Position'!$C$5="Other",B208="Cross-industry",B208='1. AI Position'!$C$5)</f>
        <v>0</v>
      </c>
      <c r="O208" t="str">
        <f>IF(N208,COUNTIF($N$5:N208,TRUE),"")</f>
        <v/>
      </c>
    </row>
    <row r="209" ht="46" customHeight="1">
      <c r="A209" s="26" t="inlineStr">
        <is>
          <t>LOG-03</t>
        </is>
      </c>
      <c r="B209" s="25" t="inlineStr">
        <is>
          <t>Logistics, aviation &amp; transport</t>
        </is>
      </c>
      <c r="C209" s="25" t="inlineStr">
        <is>
          <t>Customer service</t>
        </is>
      </c>
      <c r="D209" s="26" t="inlineStr">
        <is>
          <t>Shipment tracking &amp; updates</t>
        </is>
      </c>
      <c r="E209" s="25" t="inlineStr">
        <is>
          <t>Customers call for status</t>
        </is>
      </c>
      <c r="F209" s="25" t="inlineStr">
        <is>
          <t>Move or re-key data between systems following fixed rules</t>
        </is>
      </c>
      <c r="G209" s="25" t="inlineStr">
        <is>
          <t>Workflow automation / RPA</t>
        </is>
      </c>
      <c r="H209" s="25" t="inlineStr">
        <is>
          <t>Automated tracking notifications and self-service status.</t>
        </is>
      </c>
      <c r="I209" s="25" t="inlineStr">
        <is>
          <t>Tracking events</t>
        </is>
      </c>
      <c r="J209" s="25" t="inlineStr">
        <is>
          <t>WISMO contacts</t>
        </is>
      </c>
      <c r="K209" s="25" t="inlineStr">
        <is>
          <t>-</t>
        </is>
      </c>
      <c r="L209" s="25" t="inlineStr">
        <is>
          <t>Low</t>
        </is>
      </c>
      <c r="M209" t="inlineStr">
        <is>
          <t>LOG-03 | Shipment tracking &amp; updates</t>
        </is>
      </c>
      <c r="N209" t="b">
        <f>OR('1. AI Position'!$C$5="",'1. AI Position'!$C$5="Other",B209="Cross-industry",B209='1. AI Position'!$C$5)</f>
        <v>0</v>
      </c>
      <c r="O209" t="str">
        <f>IF(N209,COUNTIF($N$5:N209,TRUE),"")</f>
        <v/>
      </c>
    </row>
    <row r="210" ht="46" customHeight="1">
      <c r="A210" s="26" t="inlineStr">
        <is>
          <t>LOG-04</t>
        </is>
      </c>
      <c r="B210" s="25" t="inlineStr">
        <is>
          <t>Logistics, aviation &amp; transport</t>
        </is>
      </c>
      <c r="C210" s="25" t="inlineStr">
        <is>
          <t>Core operations &amp; service delivery</t>
        </is>
      </c>
      <c r="D210" s="26" t="inlineStr">
        <is>
          <t>Warehouse slotting &amp; picking</t>
        </is>
      </c>
      <c r="E210" s="25" t="inlineStr">
        <is>
          <t>Long picking routes</t>
        </is>
      </c>
      <c r="F210" s="25" t="inlineStr">
        <is>
          <t>Forecast, score, classify or detect anomalies from historical data</t>
        </is>
      </c>
      <c r="G210" s="25" t="inlineStr">
        <is>
          <t>Predictive analytics / machine learning</t>
        </is>
      </c>
      <c r="H210" s="25" t="inlineStr">
        <is>
          <t>Slotting optimisation and pick-path routing.</t>
        </is>
      </c>
      <c r="I210" s="25" t="inlineStr">
        <is>
          <t>Order lines, SKU dimensions</t>
        </is>
      </c>
      <c r="J210" s="25" t="inlineStr">
        <is>
          <t>Picks per hour</t>
        </is>
      </c>
      <c r="K210" s="25" t="inlineStr">
        <is>
          <t>-</t>
        </is>
      </c>
      <c r="L210" s="25" t="inlineStr">
        <is>
          <t>Low</t>
        </is>
      </c>
      <c r="M210" t="inlineStr">
        <is>
          <t>LOG-04 | Warehouse slotting &amp; picking</t>
        </is>
      </c>
      <c r="N210" t="b">
        <f>OR('1. AI Position'!$C$5="",'1. AI Position'!$C$5="Other",B210="Cross-industry",B210='1. AI Position'!$C$5)</f>
        <v>0</v>
      </c>
      <c r="O210" t="str">
        <f>IF(N210,COUNTIF($N$5:N210,TRUE),"")</f>
        <v/>
      </c>
    </row>
    <row r="211" ht="46" customHeight="1">
      <c r="A211" s="26" t="inlineStr">
        <is>
          <t>LOG-05</t>
        </is>
      </c>
      <c r="B211" s="25" t="inlineStr">
        <is>
          <t>Logistics, aviation &amp; transport</t>
        </is>
      </c>
      <c r="C211" s="25" t="inlineStr">
        <is>
          <t>Finance &amp; accounting</t>
        </is>
      </c>
      <c r="D211" s="26" t="inlineStr">
        <is>
          <t>Freight invoice audit</t>
        </is>
      </c>
      <c r="E211" s="25" t="inlineStr">
        <is>
          <t>Overbilling undetected</t>
        </is>
      </c>
      <c r="F211" s="25" t="inlineStr">
        <is>
          <t>Check or approve items against fixed criteria (rules, thresholds, checklists)</t>
        </is>
      </c>
      <c r="G211" s="25" t="inlineStr">
        <is>
          <t>Rules engine / workflow automation</t>
        </is>
      </c>
      <c r="H211" s="25" t="inlineStr">
        <is>
          <t>Rules-based freight audit against contracted rates.</t>
        </is>
      </c>
      <c r="I211" s="25" t="inlineStr">
        <is>
          <t>Freight invoices, rate cards</t>
        </is>
      </c>
      <c r="J211" s="25" t="inlineStr">
        <is>
          <t>Overcharges recovered</t>
        </is>
      </c>
      <c r="K211" s="25" t="inlineStr">
        <is>
          <t>-</t>
        </is>
      </c>
      <c r="L211" s="25" t="inlineStr">
        <is>
          <t>Low</t>
        </is>
      </c>
      <c r="M211" t="inlineStr">
        <is>
          <t>LOG-05 | Freight invoice audit</t>
        </is>
      </c>
      <c r="N211" t="b">
        <f>OR('1. AI Position'!$C$5="",'1. AI Position'!$C$5="Other",B211="Cross-industry",B211='1. AI Position'!$C$5)</f>
        <v>0</v>
      </c>
      <c r="O211" t="str">
        <f>IF(N211,COUNTIF($N$5:N211,TRUE),"")</f>
        <v/>
      </c>
    </row>
    <row r="212" ht="46" customHeight="1">
      <c r="A212" s="26" t="inlineStr">
        <is>
          <t>LOG-06</t>
        </is>
      </c>
      <c r="B212" s="25" t="inlineStr">
        <is>
          <t>Logistics, aviation &amp; transport</t>
        </is>
      </c>
      <c r="C212" s="25" t="inlineStr">
        <is>
          <t>Assets, facilities &amp; maintenance</t>
        </is>
      </c>
      <c r="D212" s="26" t="inlineStr">
        <is>
          <t>Fleet predictive maintenance</t>
        </is>
      </c>
      <c r="E212" s="25" t="inlineStr">
        <is>
          <t>Vehicle breakdowns</t>
        </is>
      </c>
      <c r="F212" s="25" t="inlineStr">
        <is>
          <t>Forecast, score, classify or detect anomalies from historical data</t>
        </is>
      </c>
      <c r="G212" s="25" t="inlineStr">
        <is>
          <t>Predictive analytics / machine learning</t>
        </is>
      </c>
      <c r="H212" s="25" t="inlineStr">
        <is>
          <t>Telematics-based maintenance prediction.</t>
        </is>
      </c>
      <c r="I212" s="25" t="inlineStr">
        <is>
          <t>Telematics, maintenance history</t>
        </is>
      </c>
      <c r="J212" s="25" t="inlineStr">
        <is>
          <t>Breakdowns; maintenance cost</t>
        </is>
      </c>
      <c r="K212" s="25" t="inlineStr">
        <is>
          <t>-</t>
        </is>
      </c>
      <c r="L212" s="25" t="inlineStr">
        <is>
          <t>Low</t>
        </is>
      </c>
      <c r="M212" t="inlineStr">
        <is>
          <t>LOG-06 | Fleet predictive maintenance</t>
        </is>
      </c>
      <c r="N212" t="b">
        <f>OR('1. AI Position'!$C$5="",'1. AI Position'!$C$5="Other",B212="Cross-industry",B212='1. AI Position'!$C$5)</f>
        <v>0</v>
      </c>
      <c r="O212" t="str">
        <f>IF(N212,COUNTIF($N$5:N212,TRUE),"")</f>
        <v/>
      </c>
    </row>
    <row r="213" ht="46" customHeight="1">
      <c r="A213" s="26" t="inlineStr">
        <is>
          <t>LOG-07</t>
        </is>
      </c>
      <c r="B213" s="25" t="inlineStr">
        <is>
          <t>Logistics, aviation &amp; transport</t>
        </is>
      </c>
      <c r="C213" s="25" t="inlineStr">
        <is>
          <t>Core operations &amp; service delivery</t>
        </is>
      </c>
      <c r="D213" s="26" t="inlineStr">
        <is>
          <t>Airport / terminal passenger-flow forecasting</t>
        </is>
      </c>
      <c r="E213" s="25" t="inlineStr">
        <is>
          <t>Queues at peaks</t>
        </is>
      </c>
      <c r="F213" s="25" t="inlineStr">
        <is>
          <t>Forecast, score, classify or detect anomalies from historical data</t>
        </is>
      </c>
      <c r="G213" s="25" t="inlineStr">
        <is>
          <t>Predictive analytics / machine learning</t>
        </is>
      </c>
      <c r="H213" s="25" t="inlineStr">
        <is>
          <t>Passenger-flow forecasting for staffing and resources.</t>
        </is>
      </c>
      <c r="I213" s="25" t="inlineStr">
        <is>
          <t>Flight schedules, historical flows</t>
        </is>
      </c>
      <c r="J213" s="25" t="inlineStr">
        <is>
          <t>Queue time; staffing efficiency</t>
        </is>
      </c>
      <c r="K213" s="25" t="inlineStr">
        <is>
          <t>-</t>
        </is>
      </c>
      <c r="L213" s="25" t="inlineStr">
        <is>
          <t>Low</t>
        </is>
      </c>
      <c r="M213" t="inlineStr">
        <is>
          <t>LOG-07 | Airport / terminal passenger-flow forecasting</t>
        </is>
      </c>
      <c r="N213" t="b">
        <f>OR('1. AI Position'!$C$5="",'1. AI Position'!$C$5="Other",B213="Cross-industry",B213='1. AI Position'!$C$5)</f>
        <v>0</v>
      </c>
      <c r="O213" t="str">
        <f>IF(N213,COUNTIF($N$5:N213,TRUE),"")</f>
        <v/>
      </c>
    </row>
    <row r="214" ht="46" customHeight="1">
      <c r="A214" s="26" t="inlineStr">
        <is>
          <t>LOG-08</t>
        </is>
      </c>
      <c r="B214" s="25" t="inlineStr">
        <is>
          <t>Logistics, aviation &amp; transport</t>
        </is>
      </c>
      <c r="C214" s="25" t="inlineStr">
        <is>
          <t>Core operations &amp; service delivery</t>
        </is>
      </c>
      <c r="D214" s="26" t="inlineStr">
        <is>
          <t>Driver safety monitoring</t>
        </is>
      </c>
      <c r="E214" s="25" t="inlineStr">
        <is>
          <t>Accidents and risky driving</t>
        </is>
      </c>
      <c r="F214" s="25" t="inlineStr">
        <is>
          <t>Recognise or inspect images, video or speech</t>
        </is>
      </c>
      <c r="G214" s="25" t="inlineStr">
        <is>
          <t>Computer vision / speech AI</t>
        </is>
      </c>
      <c r="H214" s="25" t="inlineStr">
        <is>
          <t>Telematics and in-cab alerts with clear driver policy.</t>
        </is>
      </c>
      <c r="I214" s="25" t="inlineStr">
        <is>
          <t>Telematics, camera events</t>
        </is>
      </c>
      <c r="J214" s="25" t="inlineStr">
        <is>
          <t>Incidents; harsh events</t>
        </is>
      </c>
      <c r="K214" s="25" t="inlineStr">
        <is>
          <t>Employee monitoring transparency; no emotion recognition (EU AI Act Art. 5).</t>
        </is>
      </c>
      <c r="L214" s="25" t="inlineStr">
        <is>
          <t>Medium</t>
        </is>
      </c>
      <c r="M214" t="inlineStr">
        <is>
          <t>LOG-08 | Driver safety monitoring</t>
        </is>
      </c>
      <c r="N214" t="b">
        <f>OR('1. AI Position'!$C$5="",'1. AI Position'!$C$5="Other",B214="Cross-industry",B214='1. AI Position'!$C$5)</f>
        <v>0</v>
      </c>
      <c r="O214" t="str">
        <f>IF(N214,COUNTIF($N$5:N214,TRUE),"")</f>
        <v/>
      </c>
    </row>
    <row r="215" ht="46" customHeight="1">
      <c r="A215" s="26" t="inlineStr">
        <is>
          <t>LOG-09</t>
        </is>
      </c>
      <c r="B215" s="25" t="inlineStr">
        <is>
          <t>Logistics, aviation &amp; transport</t>
        </is>
      </c>
      <c r="C215" s="25" t="inlineStr">
        <is>
          <t>Sales &amp; marketing</t>
        </is>
      </c>
      <c r="D215" s="26" t="inlineStr">
        <is>
          <t>Quote &amp; booking requests</t>
        </is>
      </c>
      <c r="E215" s="25" t="inlineStr">
        <is>
          <t>Quotes prepared manually</t>
        </is>
      </c>
      <c r="F215" s="25" t="inlineStr">
        <is>
          <t>Draft, summarise, translate or review text</t>
        </is>
      </c>
      <c r="G215" s="25" t="inlineStr">
        <is>
          <t>Generative AI assistant (off-the-shelf)</t>
        </is>
      </c>
      <c r="H215" s="25" t="inlineStr">
        <is>
          <t>GenAI extraction of quote requests and draft quotes from rate engine.</t>
        </is>
      </c>
      <c r="I215" s="25" t="inlineStr">
        <is>
          <t>Emails, rate cards</t>
        </is>
      </c>
      <c r="J215" s="25" t="inlineStr">
        <is>
          <t>Quote turnaround; win rate</t>
        </is>
      </c>
      <c r="K215" s="25" t="inlineStr">
        <is>
          <t>-</t>
        </is>
      </c>
      <c r="L215" s="25" t="inlineStr">
        <is>
          <t>Low</t>
        </is>
      </c>
      <c r="M215" t="inlineStr">
        <is>
          <t>LOG-09 | Quote &amp; booking requests</t>
        </is>
      </c>
      <c r="N215" t="b">
        <f>OR('1. AI Position'!$C$5="",'1. AI Position'!$C$5="Other",B215="Cross-industry",B215='1. AI Position'!$C$5)</f>
        <v>0</v>
      </c>
      <c r="O215" t="str">
        <f>IF(N215,COUNTIF($N$5:N215,TRUE),"")</f>
        <v/>
      </c>
    </row>
    <row r="216" ht="46" customHeight="1">
      <c r="A216" s="26" t="inlineStr">
        <is>
          <t>REC-01</t>
        </is>
      </c>
      <c r="B216" s="25" t="inlineStr">
        <is>
          <t>Real estate &amp; construction</t>
        </is>
      </c>
      <c r="C216" s="25" t="inlineStr">
        <is>
          <t>Finance &amp; accounting</t>
        </is>
      </c>
      <c r="D216" s="26" t="inlineStr">
        <is>
          <t>Lease abstraction</t>
        </is>
      </c>
      <c r="E216" s="25" t="inlineStr">
        <is>
          <t>Lease terms extracted by hand</t>
        </is>
      </c>
      <c r="F216" s="25" t="inlineStr">
        <is>
          <t>Extract information from documents, forms or emails</t>
        </is>
      </c>
      <c r="G216" s="25" t="inlineStr">
        <is>
          <t>Intelligent document processing (IDP)</t>
        </is>
      </c>
      <c r="H216" s="25" t="inlineStr">
        <is>
          <t>IDP / GenAI abstraction of key lease terms into the property system with review.</t>
        </is>
      </c>
      <c r="I216" s="25" t="inlineStr">
        <is>
          <t>Lease documents</t>
        </is>
      </c>
      <c r="J216" s="25" t="inlineStr">
        <is>
          <t>Abstraction time; missed escalations</t>
        </is>
      </c>
      <c r="K216" s="25" t="inlineStr">
        <is>
          <t>-</t>
        </is>
      </c>
      <c r="L216" s="25" t="inlineStr">
        <is>
          <t>Low</t>
        </is>
      </c>
      <c r="M216" t="inlineStr">
        <is>
          <t>REC-01 | Lease abstraction</t>
        </is>
      </c>
      <c r="N216" t="b">
        <f>OR('1. AI Position'!$C$5="",'1. AI Position'!$C$5="Other",B216="Cross-industry",B216='1. AI Position'!$C$5)</f>
        <v>0</v>
      </c>
      <c r="O216" t="str">
        <f>IF(N216,COUNTIF($N$5:N216,TRUE),"")</f>
        <v/>
      </c>
    </row>
    <row r="217" ht="46" customHeight="1">
      <c r="A217" s="26" t="inlineStr">
        <is>
          <t>REC-02</t>
        </is>
      </c>
      <c r="B217" s="25" t="inlineStr">
        <is>
          <t>Real estate &amp; construction</t>
        </is>
      </c>
      <c r="C217" s="25" t="inlineStr">
        <is>
          <t>Customer service</t>
        </is>
      </c>
      <c r="D217" s="26" t="inlineStr">
        <is>
          <t>Tenant service requests</t>
        </is>
      </c>
      <c r="E217" s="25" t="inlineStr">
        <is>
          <t>Requests by phone and email</t>
        </is>
      </c>
      <c r="F217" s="25" t="inlineStr">
        <is>
          <t>Converse with customers, citizens or staff (chat, voice, WhatsApp)</t>
        </is>
      </c>
      <c r="G217" s="25" t="inlineStr">
        <is>
          <t>Conversational AI / virtual agent</t>
        </is>
      </c>
      <c r="H217" s="25" t="inlineStr">
        <is>
          <t>Tenant app / virtual assistant with automated work-order creation.</t>
        </is>
      </c>
      <c r="I217" s="25" t="inlineStr">
        <is>
          <t>Request history</t>
        </is>
      </c>
      <c r="J217" s="25" t="inlineStr">
        <is>
          <t>Response time; tenant satisfaction</t>
        </is>
      </c>
      <c r="K217" s="25" t="inlineStr">
        <is>
          <t>-</t>
        </is>
      </c>
      <c r="L217" s="25" t="inlineStr">
        <is>
          <t>Low</t>
        </is>
      </c>
      <c r="M217" t="inlineStr">
        <is>
          <t>REC-02 | Tenant service requests</t>
        </is>
      </c>
      <c r="N217" t="b">
        <f>OR('1. AI Position'!$C$5="",'1. AI Position'!$C$5="Other",B217="Cross-industry",B217='1. AI Position'!$C$5)</f>
        <v>0</v>
      </c>
      <c r="O217" t="str">
        <f>IF(N217,COUNTIF($N$5:N217,TRUE),"")</f>
        <v/>
      </c>
    </row>
    <row r="218" ht="46" customHeight="1">
      <c r="A218" s="26" t="inlineStr">
        <is>
          <t>REC-03</t>
        </is>
      </c>
      <c r="B218" s="25" t="inlineStr">
        <is>
          <t>Real estate &amp; construction</t>
        </is>
      </c>
      <c r="C218" s="25" t="inlineStr">
        <is>
          <t>Finance &amp; accounting</t>
        </is>
      </c>
      <c r="D218" s="26" t="inlineStr">
        <is>
          <t>Rent collection &amp; reminders</t>
        </is>
      </c>
      <c r="E218" s="25" t="inlineStr">
        <is>
          <t>Late rent payments</t>
        </is>
      </c>
      <c r="F218" s="25" t="inlineStr">
        <is>
          <t>Move or re-key data between systems following fixed rules</t>
        </is>
      </c>
      <c r="G218" s="25" t="inlineStr">
        <is>
          <t>Workflow automation / RPA</t>
        </is>
      </c>
      <c r="H218" s="25" t="inlineStr">
        <is>
          <t>Automated invoicing, reminders and reconciliation.</t>
        </is>
      </c>
      <c r="I218" s="25" t="inlineStr">
        <is>
          <t>Lease and payment data</t>
        </is>
      </c>
      <c r="J218" s="25" t="inlineStr">
        <is>
          <t>Collection rate; DSO</t>
        </is>
      </c>
      <c r="K218" s="25" t="inlineStr">
        <is>
          <t>-</t>
        </is>
      </c>
      <c r="L218" s="25" t="inlineStr">
        <is>
          <t>Low</t>
        </is>
      </c>
      <c r="M218" t="inlineStr">
        <is>
          <t>REC-03 | Rent collection &amp; reminders</t>
        </is>
      </c>
      <c r="N218" t="b">
        <f>OR('1. AI Position'!$C$5="",'1. AI Position'!$C$5="Other",B218="Cross-industry",B218='1. AI Position'!$C$5)</f>
        <v>0</v>
      </c>
      <c r="O218" t="str">
        <f>IF(N218,COUNTIF($N$5:N218,TRUE),"")</f>
        <v/>
      </c>
    </row>
    <row r="219" ht="46" customHeight="1">
      <c r="A219" s="26" t="inlineStr">
        <is>
          <t>REC-04</t>
        </is>
      </c>
      <c r="B219" s="25" t="inlineStr">
        <is>
          <t>Real estate &amp; construction</t>
        </is>
      </c>
      <c r="C219" s="25" t="inlineStr">
        <is>
          <t>Core operations &amp; service delivery</t>
        </is>
      </c>
      <c r="D219" s="26" t="inlineStr">
        <is>
          <t>Property valuation support</t>
        </is>
      </c>
      <c r="E219" s="25" t="inlineStr">
        <is>
          <t>Valuations slow and inconsistent</t>
        </is>
      </c>
      <c r="F219" s="25" t="inlineStr">
        <is>
          <t>Forecast, score, classify or detect anomalies from historical data</t>
        </is>
      </c>
      <c r="G219" s="25" t="inlineStr">
        <is>
          <t>Predictive analytics / machine learning</t>
        </is>
      </c>
      <c r="H219" s="25" t="inlineStr">
        <is>
          <t>Automated valuation model supporting (not replacing) certified valuers.</t>
        </is>
      </c>
      <c r="I219" s="25" t="inlineStr">
        <is>
          <t>Transaction and property data</t>
        </is>
      </c>
      <c r="J219" s="25" t="inlineStr">
        <is>
          <t>Valuation time; variance</t>
        </is>
      </c>
      <c r="K219" s="25" t="inlineStr">
        <is>
          <t>RERA / valuer standards; human valuer accountable.</t>
        </is>
      </c>
      <c r="L219" s="25" t="inlineStr">
        <is>
          <t>Medium</t>
        </is>
      </c>
      <c r="M219" t="inlineStr">
        <is>
          <t>REC-04 | Property valuation support</t>
        </is>
      </c>
      <c r="N219" t="b">
        <f>OR('1. AI Position'!$C$5="",'1. AI Position'!$C$5="Other",B219="Cross-industry",B219='1. AI Position'!$C$5)</f>
        <v>0</v>
      </c>
      <c r="O219" t="str">
        <f>IF(N219,COUNTIF($N$5:N219,TRUE),"")</f>
        <v/>
      </c>
    </row>
    <row r="220" ht="46" customHeight="1">
      <c r="A220" s="26" t="inlineStr">
        <is>
          <t>REC-05</t>
        </is>
      </c>
      <c r="B220" s="25" t="inlineStr">
        <is>
          <t>Real estate &amp; construction</t>
        </is>
      </c>
      <c r="C220" s="25" t="inlineStr">
        <is>
          <t>Core operations &amp; service delivery</t>
        </is>
      </c>
      <c r="D220" s="26" t="inlineStr">
        <is>
          <t>Construction progress monitoring</t>
        </is>
      </c>
      <c r="E220" s="25" t="inlineStr">
        <is>
          <t>Progress reported subjectively</t>
        </is>
      </c>
      <c r="F220" s="25" t="inlineStr">
        <is>
          <t>Recognise or inspect images, video or speech</t>
        </is>
      </c>
      <c r="G220" s="25" t="inlineStr">
        <is>
          <t>Computer vision / speech AI</t>
        </is>
      </c>
      <c r="H220" s="25" t="inlineStr">
        <is>
          <t>Drone / photo-based progress tracking against schedule.</t>
        </is>
      </c>
      <c r="I220" s="25" t="inlineStr">
        <is>
          <t>Site imagery, schedule</t>
        </is>
      </c>
      <c r="J220" s="25" t="inlineStr">
        <is>
          <t>Schedule variance</t>
        </is>
      </c>
      <c r="K220" s="25" t="inlineStr">
        <is>
          <t>-</t>
        </is>
      </c>
      <c r="L220" s="25" t="inlineStr">
        <is>
          <t>Low</t>
        </is>
      </c>
      <c r="M220" t="inlineStr">
        <is>
          <t>REC-05 | Construction progress monitoring</t>
        </is>
      </c>
      <c r="N220" t="b">
        <f>OR('1. AI Position'!$C$5="",'1. AI Position'!$C$5="Other",B220="Cross-industry",B220='1. AI Position'!$C$5)</f>
        <v>0</v>
      </c>
      <c r="O220" t="str">
        <f>IF(N220,COUNTIF($N$5:N220,TRUE),"")</f>
        <v/>
      </c>
    </row>
    <row r="221" ht="46" customHeight="1">
      <c r="A221" s="26" t="inlineStr">
        <is>
          <t>REC-06</t>
        </is>
      </c>
      <c r="B221" s="25" t="inlineStr">
        <is>
          <t>Real estate &amp; construction</t>
        </is>
      </c>
      <c r="C221" s="25" t="inlineStr">
        <is>
          <t>Procurement &amp; supply chain</t>
        </is>
      </c>
      <c r="D221" s="26" t="inlineStr">
        <is>
          <t>Tender &amp; BOQ analysis</t>
        </is>
      </c>
      <c r="E221" s="25" t="inlineStr">
        <is>
          <t>Bid comparison slow</t>
        </is>
      </c>
      <c r="F221" s="25" t="inlineStr">
        <is>
          <t>Draft, summarise, translate or review text</t>
        </is>
      </c>
      <c r="G221" s="25" t="inlineStr">
        <is>
          <t>Generative AI assistant (off-the-shelf)</t>
        </is>
      </c>
      <c r="H221" s="25" t="inlineStr">
        <is>
          <t>GenAI comparison of BOQs and tender submissions; QS reviews.</t>
        </is>
      </c>
      <c r="I221" s="25" t="inlineStr">
        <is>
          <t>BOQs, tenders</t>
        </is>
      </c>
      <c r="J221" s="25" t="inlineStr">
        <is>
          <t>Evaluation time</t>
        </is>
      </c>
      <c r="K221" s="25" t="inlineStr">
        <is>
          <t>Fairness; confidentiality.</t>
        </is>
      </c>
      <c r="L221" s="25" t="inlineStr">
        <is>
          <t>Low</t>
        </is>
      </c>
      <c r="M221" t="inlineStr">
        <is>
          <t>REC-06 | Tender &amp; BOQ analysis</t>
        </is>
      </c>
      <c r="N221" t="b">
        <f>OR('1. AI Position'!$C$5="",'1. AI Position'!$C$5="Other",B221="Cross-industry",B221='1. AI Position'!$C$5)</f>
        <v>0</v>
      </c>
      <c r="O221" t="str">
        <f>IF(N221,COUNTIF($N$5:N221,TRUE),"")</f>
        <v/>
      </c>
    </row>
    <row r="222" ht="46" customHeight="1">
      <c r="A222" s="26" t="inlineStr">
        <is>
          <t>REC-07</t>
        </is>
      </c>
      <c r="B222" s="25" t="inlineStr">
        <is>
          <t>Real estate &amp; construction</t>
        </is>
      </c>
      <c r="C222" s="25" t="inlineStr">
        <is>
          <t>Risk, compliance &amp; legal</t>
        </is>
      </c>
      <c r="D222" s="26" t="inlineStr">
        <is>
          <t>Site safety monitoring</t>
        </is>
      </c>
      <c r="E222" s="25" t="inlineStr">
        <is>
          <t>Unsafe acts on site</t>
        </is>
      </c>
      <c r="F222" s="25" t="inlineStr">
        <is>
          <t>Recognise or inspect images, video or speech</t>
        </is>
      </c>
      <c r="G222" s="25" t="inlineStr">
        <is>
          <t>Computer vision / speech AI</t>
        </is>
      </c>
      <c r="H222" s="25" t="inlineStr">
        <is>
          <t>Video analytics for PPE and exclusion zones.</t>
        </is>
      </c>
      <c r="I222" s="25" t="inlineStr">
        <is>
          <t>Camera feeds</t>
        </is>
      </c>
      <c r="J222" s="25" t="inlineStr">
        <is>
          <t>Incidents</t>
        </is>
      </c>
      <c r="K222" s="25" t="inlineStr">
        <is>
          <t>Worker privacy; no biometric identification.</t>
        </is>
      </c>
      <c r="L222" s="25" t="inlineStr">
        <is>
          <t>Medium</t>
        </is>
      </c>
      <c r="M222" t="inlineStr">
        <is>
          <t>REC-07 | Site safety monitoring</t>
        </is>
      </c>
      <c r="N222" t="b">
        <f>OR('1. AI Position'!$C$5="",'1. AI Position'!$C$5="Other",B222="Cross-industry",B222='1. AI Position'!$C$5)</f>
        <v>0</v>
      </c>
      <c r="O222" t="str">
        <f>IF(N222,COUNTIF($N$5:N222,TRUE),"")</f>
        <v/>
      </c>
    </row>
    <row r="223" ht="46" customHeight="1">
      <c r="A223" s="26" t="inlineStr">
        <is>
          <t>EDU-01</t>
        </is>
      </c>
      <c r="B223" s="25" t="inlineStr">
        <is>
          <t>Education</t>
        </is>
      </c>
      <c r="C223" s="25" t="inlineStr">
        <is>
          <t>Customer service</t>
        </is>
      </c>
      <c r="D223" s="26" t="inlineStr">
        <is>
          <t>Student enquiries &amp; admissions support</t>
        </is>
      </c>
      <c r="E223" s="25" t="inlineStr">
        <is>
          <t>Admissions office overloaded</t>
        </is>
      </c>
      <c r="F223" s="25" t="inlineStr">
        <is>
          <t>Converse with customers, citizens or staff (chat, voice, WhatsApp)</t>
        </is>
      </c>
      <c r="G223" s="25" t="inlineStr">
        <is>
          <t>Conversational AI / virtual agent</t>
        </is>
      </c>
      <c r="H223" s="25" t="inlineStr">
        <is>
          <t>Virtual assistant for admissions and student-service questions.</t>
        </is>
      </c>
      <c r="I223" s="25" t="inlineStr">
        <is>
          <t>FAQs, programme information</t>
        </is>
      </c>
      <c r="J223" s="25" t="inlineStr">
        <is>
          <t>Response time; enquiries handled</t>
        </is>
      </c>
      <c r="K223" s="25" t="inlineStr">
        <is>
          <t>Disclose AI; minors' data.</t>
        </is>
      </c>
      <c r="L223" s="25" t="inlineStr">
        <is>
          <t>Low</t>
        </is>
      </c>
      <c r="M223" t="inlineStr">
        <is>
          <t>EDU-01 | Student enquiries &amp; admissions support</t>
        </is>
      </c>
      <c r="N223" t="b">
        <f>OR('1. AI Position'!$C$5="",'1. AI Position'!$C$5="Other",B223="Cross-industry",B223='1. AI Position'!$C$5)</f>
        <v>0</v>
      </c>
      <c r="O223" t="str">
        <f>IF(N223,COUNTIF($N$5:N223,TRUE),"")</f>
        <v/>
      </c>
    </row>
    <row r="224" ht="46" customHeight="1">
      <c r="A224" s="26" t="inlineStr">
        <is>
          <t>EDU-02</t>
        </is>
      </c>
      <c r="B224" s="25" t="inlineStr">
        <is>
          <t>Education</t>
        </is>
      </c>
      <c r="C224" s="25" t="inlineStr">
        <is>
          <t>Core operations &amp; service delivery</t>
        </is>
      </c>
      <c r="D224" s="26" t="inlineStr">
        <is>
          <t>Admission document processing</t>
        </is>
      </c>
      <c r="E224" s="25" t="inlineStr">
        <is>
          <t>Documents verified manually</t>
        </is>
      </c>
      <c r="F224" s="25" t="inlineStr">
        <is>
          <t>Extract information from documents, forms or emails</t>
        </is>
      </c>
      <c r="G224" s="25" t="inlineStr">
        <is>
          <t>Intelligent document processing (IDP)</t>
        </is>
      </c>
      <c r="H224" s="25" t="inlineStr">
        <is>
          <t>IDP of transcripts and certificates; admissions staff decide.</t>
        </is>
      </c>
      <c r="I224" s="25" t="inlineStr">
        <is>
          <t>Applications, transcripts</t>
        </is>
      </c>
      <c r="J224" s="25" t="inlineStr">
        <is>
          <t>Processing time</t>
        </is>
      </c>
      <c r="K224" s="25" t="inlineStr">
        <is>
          <t>If AI influences admission decisions: HIGH-RISK (EU AI Act Annex III 3(a)); human decision.</t>
        </is>
      </c>
      <c r="L224" s="25" t="inlineStr">
        <is>
          <t>Medium</t>
        </is>
      </c>
      <c r="M224" t="inlineStr">
        <is>
          <t>EDU-02 | Admission document processing</t>
        </is>
      </c>
      <c r="N224" t="b">
        <f>OR('1. AI Position'!$C$5="",'1. AI Position'!$C$5="Other",B224="Cross-industry",B224='1. AI Position'!$C$5)</f>
        <v>0</v>
      </c>
      <c r="O224" t="str">
        <f>IF(N224,COUNTIF($N$5:N224,TRUE),"")</f>
        <v/>
      </c>
    </row>
    <row r="225" ht="46" customHeight="1">
      <c r="A225" s="26" t="inlineStr">
        <is>
          <t>EDU-03</t>
        </is>
      </c>
      <c r="B225" s="25" t="inlineStr">
        <is>
          <t>Education</t>
        </is>
      </c>
      <c r="C225" s="25" t="inlineStr">
        <is>
          <t>Core operations &amp; service delivery</t>
        </is>
      </c>
      <c r="D225" s="26" t="inlineStr">
        <is>
          <t>Assessment &amp; marking support</t>
        </is>
      </c>
      <c r="E225" s="25" t="inlineStr">
        <is>
          <t>Marking workload</t>
        </is>
      </c>
      <c r="F225" s="25" t="inlineStr">
        <is>
          <t>Draft, summarise, translate or review text</t>
        </is>
      </c>
      <c r="G225" s="25" t="inlineStr">
        <is>
          <t>Generative AI assistant (off-the-shelf)</t>
        </is>
      </c>
      <c r="H225" s="25" t="inlineStr">
        <is>
          <t>AI-suggested feedback and marking for teacher moderation only.</t>
        </is>
      </c>
      <c r="I225" s="25" t="inlineStr">
        <is>
          <t>Rubrics, sample marked work</t>
        </is>
      </c>
      <c r="J225" s="25" t="inlineStr">
        <is>
          <t>Marking time; feedback quality</t>
        </is>
      </c>
      <c r="K225" s="25" t="inlineStr">
        <is>
          <t>HIGH-RISK: EU AI Act Annex III 3(b) evaluating learning outcomes; teacher decides.</t>
        </is>
      </c>
      <c r="L225" s="25" t="inlineStr">
        <is>
          <t>High</t>
        </is>
      </c>
      <c r="M225" t="inlineStr">
        <is>
          <t>EDU-03 | Assessment &amp; marking support</t>
        </is>
      </c>
      <c r="N225" t="b">
        <f>OR('1. AI Position'!$C$5="",'1. AI Position'!$C$5="Other",B225="Cross-industry",B225='1. AI Position'!$C$5)</f>
        <v>0</v>
      </c>
      <c r="O225" t="str">
        <f>IF(N225,COUNTIF($N$5:N225,TRUE),"")</f>
        <v/>
      </c>
    </row>
    <row r="226" ht="46" customHeight="1">
      <c r="A226" s="26" t="inlineStr">
        <is>
          <t>EDU-04</t>
        </is>
      </c>
      <c r="B226" s="25" t="inlineStr">
        <is>
          <t>Education</t>
        </is>
      </c>
      <c r="C226" s="25" t="inlineStr">
        <is>
          <t>Core operations &amp; service delivery</t>
        </is>
      </c>
      <c r="D226" s="26" t="inlineStr">
        <is>
          <t>Course content &amp; quiz generation</t>
        </is>
      </c>
      <c r="E226" s="25" t="inlineStr">
        <is>
          <t>Content development time</t>
        </is>
      </c>
      <c r="F226" s="25" t="inlineStr">
        <is>
          <t>Draft, summarise, translate or review text</t>
        </is>
      </c>
      <c r="G226" s="25" t="inlineStr">
        <is>
          <t>Generative AI assistant (off-the-shelf)</t>
        </is>
      </c>
      <c r="H226" s="25" t="inlineStr">
        <is>
          <t>GenAI-assisted course materials from approved sources; faculty review.</t>
        </is>
      </c>
      <c r="I226" s="25" t="inlineStr">
        <is>
          <t>Curriculum, source materials</t>
        </is>
      </c>
      <c r="J226" s="25" t="inlineStr">
        <is>
          <t>Development time</t>
        </is>
      </c>
      <c r="K226" s="25" t="inlineStr">
        <is>
          <t>BQA quality standards; copyright.</t>
        </is>
      </c>
      <c r="L226" s="25" t="inlineStr">
        <is>
          <t>Low</t>
        </is>
      </c>
      <c r="M226" t="inlineStr">
        <is>
          <t>EDU-04 | Course content &amp; quiz generation</t>
        </is>
      </c>
      <c r="N226" t="b">
        <f>OR('1. AI Position'!$C$5="",'1. AI Position'!$C$5="Other",B226="Cross-industry",B226='1. AI Position'!$C$5)</f>
        <v>0</v>
      </c>
      <c r="O226" t="str">
        <f>IF(N226,COUNTIF($N$5:N226,TRUE),"")</f>
        <v/>
      </c>
    </row>
    <row r="227" ht="46" customHeight="1">
      <c r="A227" s="26" t="inlineStr">
        <is>
          <t>EDU-05</t>
        </is>
      </c>
      <c r="B227" s="25" t="inlineStr">
        <is>
          <t>Education</t>
        </is>
      </c>
      <c r="C227" s="25" t="inlineStr">
        <is>
          <t>Core operations &amp; service delivery</t>
        </is>
      </c>
      <c r="D227" s="26" t="inlineStr">
        <is>
          <t>Student at-risk early warning</t>
        </is>
      </c>
      <c r="E227" s="25" t="inlineStr">
        <is>
          <t>Drop-outs identified late</t>
        </is>
      </c>
      <c r="F227" s="25" t="inlineStr">
        <is>
          <t>Forecast, score, classify or detect anomalies from historical data</t>
        </is>
      </c>
      <c r="G227" s="25" t="inlineStr">
        <is>
          <t>Predictive analytics / machine learning</t>
        </is>
      </c>
      <c r="H227" s="25" t="inlineStr">
        <is>
          <t>Early-warning indicators for advisors with supportive (not punitive) interventions.</t>
        </is>
      </c>
      <c r="I227" s="25" t="inlineStr">
        <is>
          <t>Attendance, grades, LMS activity</t>
        </is>
      </c>
      <c r="J227" s="25" t="inlineStr">
        <is>
          <t>Retention; intervention timeliness</t>
        </is>
      </c>
      <c r="K227" s="25" t="inlineStr">
        <is>
          <t>HIGH-RISK: EU AI Act Annex III (3); fairness; minors.</t>
        </is>
      </c>
      <c r="L227" s="25" t="inlineStr">
        <is>
          <t>High</t>
        </is>
      </c>
      <c r="M227" t="inlineStr">
        <is>
          <t>EDU-05 | Student at-risk early warning</t>
        </is>
      </c>
      <c r="N227" t="b">
        <f>OR('1. AI Position'!$C$5="",'1. AI Position'!$C$5="Other",B227="Cross-industry",B227='1. AI Position'!$C$5)</f>
        <v>0</v>
      </c>
      <c r="O227" t="str">
        <f>IF(N227,COUNTIF($N$5:N227,TRUE),"")</f>
        <v/>
      </c>
    </row>
    <row r="228" ht="46" customHeight="1">
      <c r="A228" s="26" t="inlineStr">
        <is>
          <t>EDU-06</t>
        </is>
      </c>
      <c r="B228" s="25" t="inlineStr">
        <is>
          <t>Education</t>
        </is>
      </c>
      <c r="C228" s="25" t="inlineStr">
        <is>
          <t>Core operations &amp; service delivery</t>
        </is>
      </c>
      <c r="D228" s="26" t="inlineStr">
        <is>
          <t>Timetabling optimisation</t>
        </is>
      </c>
      <c r="E228" s="25" t="inlineStr">
        <is>
          <t>Timetables built manually</t>
        </is>
      </c>
      <c r="F228" s="25" t="inlineStr">
        <is>
          <t>Forecast, score, classify or detect anomalies from historical data</t>
        </is>
      </c>
      <c r="G228" s="25" t="inlineStr">
        <is>
          <t>Predictive analytics / machine learning</t>
        </is>
      </c>
      <c r="H228" s="25" t="inlineStr">
        <is>
          <t>Constraint-based timetable optimisation.</t>
        </is>
      </c>
      <c r="I228" s="25" t="inlineStr">
        <is>
          <t>Courses, rooms, staff constraints</t>
        </is>
      </c>
      <c r="J228" s="25" t="inlineStr">
        <is>
          <t>Clashes; room utilisation</t>
        </is>
      </c>
      <c r="K228" s="25" t="inlineStr">
        <is>
          <t>-</t>
        </is>
      </c>
      <c r="L228" s="25" t="inlineStr">
        <is>
          <t>Low</t>
        </is>
      </c>
      <c r="M228" t="inlineStr">
        <is>
          <t>EDU-06 | Timetabling optimisation</t>
        </is>
      </c>
      <c r="N228" t="b">
        <f>OR('1. AI Position'!$C$5="",'1. AI Position'!$C$5="Other",B228="Cross-industry",B228='1. AI Position'!$C$5)</f>
        <v>0</v>
      </c>
      <c r="O228" t="str">
        <f>IF(N228,COUNTIF($N$5:N228,TRUE),"")</f>
        <v/>
      </c>
    </row>
    <row r="229" ht="46" customHeight="1">
      <c r="A229" s="26" t="inlineStr">
        <is>
          <t>EDU-07</t>
        </is>
      </c>
      <c r="B229" s="25" t="inlineStr">
        <is>
          <t>Education</t>
        </is>
      </c>
      <c r="C229" s="25" t="inlineStr">
        <is>
          <t>Knowledge &amp; collaboration</t>
        </is>
      </c>
      <c r="D229" s="26" t="inlineStr">
        <is>
          <t>Library &amp; research assistant</t>
        </is>
      </c>
      <c r="E229" s="25" t="inlineStr">
        <is>
          <t>Students struggle to find sources</t>
        </is>
      </c>
      <c r="F229" s="25" t="inlineStr">
        <is>
          <t>Answer questions from internal knowledge, policies or past work</t>
        </is>
      </c>
      <c r="G229" s="25" t="inlineStr">
        <is>
          <t>GenAI knowledge assistant (RAG on own content)</t>
        </is>
      </c>
      <c r="H229" s="25" t="inlineStr">
        <is>
          <t>Research assistant over library holdings with citations and academic-integrity guidance.</t>
        </is>
      </c>
      <c r="I229" s="25" t="inlineStr">
        <is>
          <t>Library catalogue, licensed databases</t>
        </is>
      </c>
      <c r="J229" s="25" t="inlineStr">
        <is>
          <t>Usage; satisfaction</t>
        </is>
      </c>
      <c r="K229" s="25" t="inlineStr">
        <is>
          <t>Academic integrity policy.</t>
        </is>
      </c>
      <c r="L229" s="25" t="inlineStr">
        <is>
          <t>Low</t>
        </is>
      </c>
      <c r="M229" t="inlineStr">
        <is>
          <t>EDU-07 | Library &amp; research assistant</t>
        </is>
      </c>
      <c r="N229" t="b">
        <f>OR('1. AI Position'!$C$5="",'1. AI Position'!$C$5="Other",B229="Cross-industry",B229='1. AI Position'!$C$5)</f>
        <v>0</v>
      </c>
      <c r="O229" t="str">
        <f>IF(N229,COUNTIF($N$5:N229,TRUE),"")</f>
        <v/>
      </c>
    </row>
    <row r="230" ht="46" customHeight="1">
      <c r="A230" s="26" t="inlineStr">
        <is>
          <t>PRO-01</t>
        </is>
      </c>
      <c r="B230" s="25" t="inlineStr">
        <is>
          <t>Professional services</t>
        </is>
      </c>
      <c r="C230" s="25" t="inlineStr">
        <is>
          <t>Core operations &amp; service delivery</t>
        </is>
      </c>
      <c r="D230" s="26" t="inlineStr">
        <is>
          <t>Audit - journal-entry testing (full population)</t>
        </is>
      </c>
      <c r="E230" s="25" t="inlineStr">
        <is>
          <t>Sample-based testing of large ledgers</t>
        </is>
      </c>
      <c r="F230" s="25" t="inlineStr">
        <is>
          <t>Forecast, score, classify or detect anomalies from historical data</t>
        </is>
      </c>
      <c r="G230" s="25" t="inlineStr">
        <is>
          <t>Predictive analytics / machine learning</t>
        </is>
      </c>
      <c r="H230" s="25" t="inlineStr">
        <is>
          <t>Full-population JE analytics with rules and ML anomaly scoring; auditor investigates and concludes.</t>
        </is>
      </c>
      <c r="I230" s="25" t="inlineStr">
        <is>
          <t>Client GL / JE extracts</t>
        </is>
      </c>
      <c r="J230" s="25" t="inlineStr">
        <is>
          <t>Coverage; exceptions investigated; audit hours</t>
        </is>
      </c>
      <c r="K230" s="25" t="inlineStr">
        <is>
          <t>ISA 240 / 330; documentation in working papers; client-data confidentiality.</t>
        </is>
      </c>
      <c r="L230" s="25" t="inlineStr">
        <is>
          <t>Medium</t>
        </is>
      </c>
      <c r="M230" t="inlineStr">
        <is>
          <t>PRO-01 | Audit - journal-entry testing (full population)</t>
        </is>
      </c>
      <c r="N230" t="b">
        <f>OR('1. AI Position'!$C$5="",'1. AI Position'!$C$5="Other",B230="Cross-industry",B230='1. AI Position'!$C$5)</f>
        <v>1</v>
      </c>
      <c r="O230">
        <f>IF(N230,COUNTIF($N$5:N230,TRUE),"")</f>
        <v>61</v>
      </c>
    </row>
    <row r="231" ht="46" customHeight="1">
      <c r="A231" s="26" t="inlineStr">
        <is>
          <t>PRO-02</t>
        </is>
      </c>
      <c r="B231" s="25" t="inlineStr">
        <is>
          <t>Professional services</t>
        </is>
      </c>
      <c r="C231" s="25" t="inlineStr">
        <is>
          <t>Core operations &amp; service delivery</t>
        </is>
      </c>
      <c r="D231" s="26" t="inlineStr">
        <is>
          <t>Audit - working papers &amp; memo drafting</t>
        </is>
      </c>
      <c r="E231" s="25" t="inlineStr">
        <is>
          <t>Senior time spent drafting standard documentation</t>
        </is>
      </c>
      <c r="F231" s="25" t="inlineStr">
        <is>
          <t>Draft, summarise, translate or review text</t>
        </is>
      </c>
      <c r="G231" s="25" t="inlineStr">
        <is>
          <t>Generative AI assistant (off-the-shelf)</t>
        </is>
      </c>
      <c r="H231" s="25" t="inlineStr">
        <is>
          <t>GenAI drafting within methodology templates in an approved environment; reviewer sign-off.</t>
        </is>
      </c>
      <c r="I231" s="25" t="inlineStr">
        <is>
          <t>Methodology templates, engagement data</t>
        </is>
      </c>
      <c r="J231" s="25" t="inlineStr">
        <is>
          <t>Drafting time; review points</t>
        </is>
      </c>
      <c r="K231" s="25" t="inlineStr">
        <is>
          <t>ISQM 1; human review; client confidentiality.</t>
        </is>
      </c>
      <c r="L231" s="25" t="inlineStr">
        <is>
          <t>Medium</t>
        </is>
      </c>
      <c r="M231" t="inlineStr">
        <is>
          <t>PRO-02 | Audit - working papers &amp; memo drafting</t>
        </is>
      </c>
      <c r="N231" t="b">
        <f>OR('1. AI Position'!$C$5="",'1. AI Position'!$C$5="Other",B231="Cross-industry",B231='1. AI Position'!$C$5)</f>
        <v>1</v>
      </c>
      <c r="O231">
        <f>IF(N231,COUNTIF($N$5:N231,TRUE),"")</f>
        <v>62</v>
      </c>
    </row>
    <row r="232" ht="46" customHeight="1">
      <c r="A232" s="26" t="inlineStr">
        <is>
          <t>PRO-03</t>
        </is>
      </c>
      <c r="B232" s="25" t="inlineStr">
        <is>
          <t>Professional services</t>
        </is>
      </c>
      <c r="C232" s="25" t="inlineStr">
        <is>
          <t>Core operations &amp; service delivery</t>
        </is>
      </c>
      <c r="D232" s="26" t="inlineStr">
        <is>
          <t>Audit - bank &amp; external confirmations</t>
        </is>
      </c>
      <c r="E232" s="25" t="inlineStr">
        <is>
          <t>Confirmations read and keyed manually</t>
        </is>
      </c>
      <c r="F232" s="25" t="inlineStr">
        <is>
          <t>Extract information from documents, forms or emails</t>
        </is>
      </c>
      <c r="G232" s="25" t="inlineStr">
        <is>
          <t>Intelligent document processing (IDP)</t>
        </is>
      </c>
      <c r="H232" s="25" t="inlineStr">
        <is>
          <t>IDP of confirmation responses with automatic agreement to records.</t>
        </is>
      </c>
      <c r="I232" s="25" t="inlineStr">
        <is>
          <t>Confirmation responses, client balances</t>
        </is>
      </c>
      <c r="J232" s="25" t="inlineStr">
        <is>
          <t>Processing time; exceptions</t>
        </is>
      </c>
      <c r="K232" s="25" t="inlineStr">
        <is>
          <t>ISA 505 evidence requirements.</t>
        </is>
      </c>
      <c r="L232" s="25" t="inlineStr">
        <is>
          <t>Low</t>
        </is>
      </c>
      <c r="M232" t="inlineStr">
        <is>
          <t>PRO-03 | Audit - bank &amp; external confirmations</t>
        </is>
      </c>
      <c r="N232" t="b">
        <f>OR('1. AI Position'!$C$5="",'1. AI Position'!$C$5="Other",B232="Cross-industry",B232='1. AI Position'!$C$5)</f>
        <v>1</v>
      </c>
      <c r="O232">
        <f>IF(N232,COUNTIF($N$5:N232,TRUE),"")</f>
        <v>63</v>
      </c>
    </row>
    <row r="233" ht="46" customHeight="1">
      <c r="A233" s="26" t="inlineStr">
        <is>
          <t>PRO-04</t>
        </is>
      </c>
      <c r="B233" s="25" t="inlineStr">
        <is>
          <t>Professional services</t>
        </is>
      </c>
      <c r="C233" s="25" t="inlineStr">
        <is>
          <t>Core operations &amp; service delivery</t>
        </is>
      </c>
      <c r="D233" s="26" t="inlineStr">
        <is>
          <t>Tax research &amp; technical Q&amp;A</t>
        </is>
      </c>
      <c r="E233" s="25" t="inlineStr">
        <is>
          <t>Research across NBR guidance, laws and prior advice</t>
        </is>
      </c>
      <c r="F233" s="25" t="inlineStr">
        <is>
          <t>Answer questions from internal knowledge, policies or past work</t>
        </is>
      </c>
      <c r="G233" s="25" t="inlineStr">
        <is>
          <t>GenAI knowledge assistant (RAG on own content)</t>
        </is>
      </c>
      <c r="H233" s="25" t="inlineStr">
        <is>
          <t>Grounded tax assistant over Bahrain / GCC tax law, NBR guidance and approved internal positions with citations.</t>
        </is>
      </c>
      <c r="I233" s="25" t="inlineStr">
        <is>
          <t>Tax laws, NBR guidance, approved positions</t>
        </is>
      </c>
      <c r="J233" s="25" t="inlineStr">
        <is>
          <t>Research time; quality review points</t>
        </is>
      </c>
      <c r="K233" s="25" t="inlineStr">
        <is>
          <t>Partner review of advice; verify citations.</t>
        </is>
      </c>
      <c r="L233" s="25" t="inlineStr">
        <is>
          <t>Low</t>
        </is>
      </c>
      <c r="M233" t="inlineStr">
        <is>
          <t>PRO-04 | Tax research &amp; technical Q&amp;A</t>
        </is>
      </c>
      <c r="N233" t="b">
        <f>OR('1. AI Position'!$C$5="",'1. AI Position'!$C$5="Other",B233="Cross-industry",B233='1. AI Position'!$C$5)</f>
        <v>1</v>
      </c>
      <c r="O233">
        <f>IF(N233,COUNTIF($N$5:N233,TRUE),"")</f>
        <v>64</v>
      </c>
    </row>
    <row r="234" ht="46" customHeight="1">
      <c r="A234" s="26" t="inlineStr">
        <is>
          <t>PRO-05</t>
        </is>
      </c>
      <c r="B234" s="25" t="inlineStr">
        <is>
          <t>Professional services</t>
        </is>
      </c>
      <c r="C234" s="25" t="inlineStr">
        <is>
          <t>Core operations &amp; service delivery</t>
        </is>
      </c>
      <c r="D234" s="26" t="inlineStr">
        <is>
          <t>Tax - VAT / tax return data preparation</t>
        </is>
      </c>
      <c r="E234" s="25" t="inlineStr">
        <is>
          <t>Client data collated manually</t>
        </is>
      </c>
      <c r="F234" s="25" t="inlineStr">
        <is>
          <t>Move or re-key data between systems following fixed rules</t>
        </is>
      </c>
      <c r="G234" s="25" t="inlineStr">
        <is>
          <t>Workflow automation / RPA</t>
        </is>
      </c>
      <c r="H234" s="25" t="inlineStr">
        <is>
          <t>Automated extraction, mapping and validation of client data into returns.</t>
        </is>
      </c>
      <c r="I234" s="25" t="inlineStr">
        <is>
          <t>Client ledgers, VAT codes</t>
        </is>
      </c>
      <c r="J234" s="25" t="inlineStr">
        <is>
          <t>Preparation time; errors</t>
        </is>
      </c>
      <c r="K234" s="25" t="inlineStr">
        <is>
          <t>Maker-checker; client sign-off.</t>
        </is>
      </c>
      <c r="L234" s="25" t="inlineStr">
        <is>
          <t>Low</t>
        </is>
      </c>
      <c r="M234" t="inlineStr">
        <is>
          <t>PRO-05 | Tax - VAT / tax return data preparation</t>
        </is>
      </c>
      <c r="N234" t="b">
        <f>OR('1. AI Position'!$C$5="",'1. AI Position'!$C$5="Other",B234="Cross-industry",B234='1. AI Position'!$C$5)</f>
        <v>1</v>
      </c>
      <c r="O234">
        <f>IF(N234,COUNTIF($N$5:N234,TRUE),"")</f>
        <v>65</v>
      </c>
    </row>
    <row r="235" ht="46" customHeight="1">
      <c r="A235" s="26" t="inlineStr">
        <is>
          <t>PRO-06</t>
        </is>
      </c>
      <c r="B235" s="25" t="inlineStr">
        <is>
          <t>Professional services</t>
        </is>
      </c>
      <c r="C235" s="25" t="inlineStr">
        <is>
          <t>Core operations &amp; service delivery</t>
        </is>
      </c>
      <c r="D235" s="26" t="inlineStr">
        <is>
          <t>Predictive tax scenario modelling</t>
        </is>
      </c>
      <c r="E235" s="25" t="inlineStr">
        <is>
          <t>Tax outcomes analysed after decisions</t>
        </is>
      </c>
      <c r="F235" s="25" t="inlineStr">
        <is>
          <t>Forecast, score, classify or detect anomalies from historical data</t>
        </is>
      </c>
      <c r="G235" s="25" t="inlineStr">
        <is>
          <t>Predictive analytics / machine learning</t>
        </is>
      </c>
      <c r="H235" s="25" t="inlineStr">
        <is>
          <t>Scenario models of tax outcomes for planning decisions (e.g., Pillar Two, CIT).</t>
        </is>
      </c>
      <c r="I235" s="25" t="inlineStr">
        <is>
          <t>Client financial data, tax rules</t>
        </is>
      </c>
      <c r="J235" s="25" t="inlineStr">
        <is>
          <t>Advisory hours; scenario turnaround</t>
        </is>
      </c>
      <c r="K235" s="25" t="inlineStr">
        <is>
          <t>Assumptions documented; partner review.</t>
        </is>
      </c>
      <c r="L235" s="25" t="inlineStr">
        <is>
          <t>Medium</t>
        </is>
      </c>
      <c r="M235" t="inlineStr">
        <is>
          <t>PRO-06 | Predictive tax scenario modelling</t>
        </is>
      </c>
      <c r="N235" t="b">
        <f>OR('1. AI Position'!$C$5="",'1. AI Position'!$C$5="Other",B235="Cross-industry",B235='1. AI Position'!$C$5)</f>
        <v>1</v>
      </c>
      <c r="O235">
        <f>IF(N235,COUNTIF($N$5:N235,TRUE),"")</f>
        <v>66</v>
      </c>
    </row>
    <row r="236" ht="46" customHeight="1">
      <c r="A236" s="26" t="inlineStr">
        <is>
          <t>PRO-07</t>
        </is>
      </c>
      <c r="B236" s="25" t="inlineStr">
        <is>
          <t>Professional services</t>
        </is>
      </c>
      <c r="C236" s="25" t="inlineStr">
        <is>
          <t>Core operations &amp; service delivery</t>
        </is>
      </c>
      <c r="D236" s="26" t="inlineStr">
        <is>
          <t>Advisory - due-diligence data-room review</t>
        </is>
      </c>
      <c r="E236" s="25" t="inlineStr">
        <is>
          <t>Large data rooms reviewed by hand</t>
        </is>
      </c>
      <c r="F236" s="25" t="inlineStr">
        <is>
          <t>Draft, summarise, translate or review text</t>
        </is>
      </c>
      <c r="G236" s="25" t="inlineStr">
        <is>
          <t>Generative AI assistant (off-the-shelf)</t>
        </is>
      </c>
      <c r="H236" s="25" t="inlineStr">
        <is>
          <t>GenAI review of data-room documents against DD checklists with red-flag summaries.</t>
        </is>
      </c>
      <c r="I236" s="25" t="inlineStr">
        <is>
          <t>Data-room documents, DD checklist</t>
        </is>
      </c>
      <c r="J236" s="25" t="inlineStr">
        <is>
          <t>Review time; issues identified</t>
        </is>
      </c>
      <c r="K236" s="25" t="inlineStr">
        <is>
          <t>Confidentiality; NDA terms; verify findings.</t>
        </is>
      </c>
      <c r="L236" s="25" t="inlineStr">
        <is>
          <t>Medium</t>
        </is>
      </c>
      <c r="M236" t="inlineStr">
        <is>
          <t>PRO-07 | Advisory - due-diligence data-room review</t>
        </is>
      </c>
      <c r="N236" t="b">
        <f>OR('1. AI Position'!$C$5="",'1. AI Position'!$C$5="Other",B236="Cross-industry",B236='1. AI Position'!$C$5)</f>
        <v>1</v>
      </c>
      <c r="O236">
        <f>IF(N236,COUNTIF($N$5:N236,TRUE),"")</f>
        <v>67</v>
      </c>
    </row>
    <row r="237" ht="46" customHeight="1">
      <c r="A237" s="26" t="inlineStr">
        <is>
          <t>PRO-08</t>
        </is>
      </c>
      <c r="B237" s="25" t="inlineStr">
        <is>
          <t>Professional services</t>
        </is>
      </c>
      <c r="C237" s="25" t="inlineStr">
        <is>
          <t>Risk, compliance &amp; legal</t>
        </is>
      </c>
      <c r="D237" s="26" t="inlineStr">
        <is>
          <t>Client acceptance &amp; independence checks</t>
        </is>
      </c>
      <c r="E237" s="25" t="inlineStr">
        <is>
          <t>Checks collated by email and spreadsheets</t>
        </is>
      </c>
      <c r="F237" s="25" t="inlineStr">
        <is>
          <t>Check or approve items against fixed criteria (rules, thresholds, checklists)</t>
        </is>
      </c>
      <c r="G237" s="25" t="inlineStr">
        <is>
          <t>Rules engine / workflow automation</t>
        </is>
      </c>
      <c r="H237" s="25" t="inlineStr">
        <is>
          <t>Workflow with rules-based independence and conflict checks against the client database.</t>
        </is>
      </c>
      <c r="I237" s="25" t="inlineStr">
        <is>
          <t>Client and engagement database</t>
        </is>
      </c>
      <c r="J237" s="25" t="inlineStr">
        <is>
          <t>Acceptance cycle time; breaches</t>
        </is>
      </c>
      <c r="K237" s="25" t="inlineStr">
        <is>
          <t>IESBA Code; ISQM 1.</t>
        </is>
      </c>
      <c r="L237" s="25" t="inlineStr">
        <is>
          <t>Low</t>
        </is>
      </c>
      <c r="M237" t="inlineStr">
        <is>
          <t>PRO-08 | Client acceptance &amp; independence checks</t>
        </is>
      </c>
      <c r="N237" t="b">
        <f>OR('1. AI Position'!$C$5="",'1. AI Position'!$C$5="Other",B237="Cross-industry",B237='1. AI Position'!$C$5)</f>
        <v>1</v>
      </c>
      <c r="O237">
        <f>IF(N237,COUNTIF($N$5:N237,TRUE),"")</f>
        <v>68</v>
      </c>
    </row>
    <row r="238" ht="46" customHeight="1">
      <c r="A238" s="26" t="inlineStr">
        <is>
          <t>PRO-09</t>
        </is>
      </c>
      <c r="B238" s="25" t="inlineStr">
        <is>
          <t>Professional services</t>
        </is>
      </c>
      <c r="C238" s="25" t="inlineStr">
        <is>
          <t>Finance &amp; accounting</t>
        </is>
      </c>
      <c r="D238" s="26" t="inlineStr">
        <is>
          <t>Timesheets, WIP &amp; billing</t>
        </is>
      </c>
      <c r="E238" s="25" t="inlineStr">
        <is>
          <t>Chasing timesheets; manual billing narratives</t>
        </is>
      </c>
      <c r="F238" s="25" t="inlineStr">
        <is>
          <t>Move or re-key data between systems following fixed rules</t>
        </is>
      </c>
      <c r="G238" s="25" t="inlineStr">
        <is>
          <t>Workflow automation / RPA</t>
        </is>
      </c>
      <c r="H238" s="25" t="inlineStr">
        <is>
          <t>Automated timesheet reminders, WIP reports and draft billing narratives.</t>
        </is>
      </c>
      <c r="I238" s="25" t="inlineStr">
        <is>
          <t>Timesheets, engagement codes</t>
        </is>
      </c>
      <c r="J238" s="25" t="inlineStr">
        <is>
          <t>Lock-up days; billing time</t>
        </is>
      </c>
      <c r="K238" s="25" t="inlineStr">
        <is>
          <t>-</t>
        </is>
      </c>
      <c r="L238" s="25" t="inlineStr">
        <is>
          <t>Low</t>
        </is>
      </c>
      <c r="M238" t="inlineStr">
        <is>
          <t>PRO-09 | Timesheets, WIP &amp; billing</t>
        </is>
      </c>
      <c r="N238" t="b">
        <f>OR('1. AI Position'!$C$5="",'1. AI Position'!$C$5="Other",B238="Cross-industry",B238='1. AI Position'!$C$5)</f>
        <v>1</v>
      </c>
      <c r="O238">
        <f>IF(N238,COUNTIF($N$5:N238,TRUE),"")</f>
        <v>69</v>
      </c>
    </row>
    <row r="239" ht="46" customHeight="1">
      <c r="A239" s="26" t="inlineStr">
        <is>
          <t>PRO-10</t>
        </is>
      </c>
      <c r="B239" s="25" t="inlineStr">
        <is>
          <t>Professional services</t>
        </is>
      </c>
      <c r="C239" s="25" t="inlineStr">
        <is>
          <t>Core operations &amp; service delivery</t>
        </is>
      </c>
      <c r="D239" s="26" t="inlineStr">
        <is>
          <t>Engagement workflow coordination</t>
        </is>
      </c>
      <c r="E239" s="25" t="inlineStr">
        <is>
          <t>Status chased across teams</t>
        </is>
      </c>
      <c r="F239" s="25" t="inlineStr">
        <is>
          <t>Coordinate multi-step work across systems that needs judgement</t>
        </is>
      </c>
      <c r="G239" s="25" t="inlineStr">
        <is>
          <t>Agentic AI (supervised agents)</t>
        </is>
      </c>
      <c r="H239" s="25" t="inlineStr">
        <is>
          <t>Supervised agent tracking requests-for-information and status across tools; staff approve client communication.</t>
        </is>
      </c>
      <c r="I239" s="25" t="inlineStr">
        <is>
          <t>Engagement tools, RFI lists</t>
        </is>
      </c>
      <c r="J239" s="25" t="inlineStr">
        <is>
          <t>Status-chasing hours; RFI turnaround</t>
        </is>
      </c>
      <c r="K239" s="25" t="inlineStr">
        <is>
          <t>Agent least privilege; client data boundaries.</t>
        </is>
      </c>
      <c r="L239" s="25" t="inlineStr">
        <is>
          <t>Medium</t>
        </is>
      </c>
      <c r="M239" t="inlineStr">
        <is>
          <t>PRO-10 | Engagement workflow coordination</t>
        </is>
      </c>
      <c r="N239" t="b">
        <f>OR('1. AI Position'!$C$5="",'1. AI Position'!$C$5="Other",B239="Cross-industry",B239='1. AI Position'!$C$5)</f>
        <v>1</v>
      </c>
      <c r="O239">
        <f>IF(N239,COUNTIF($N$5:N239,TRUE),"")</f>
        <v>70</v>
      </c>
    </row>
    <row r="240" ht="46" customHeight="1">
      <c r="A240" s="26" t="inlineStr">
        <is>
          <t>PRO-11</t>
        </is>
      </c>
      <c r="B240" s="25" t="inlineStr">
        <is>
          <t>Professional services</t>
        </is>
      </c>
      <c r="C240" s="25" t="inlineStr">
        <is>
          <t>Core operations &amp; service delivery</t>
        </is>
      </c>
      <c r="D240" s="26" t="inlineStr">
        <is>
          <t>Financial statements preparation (GT AI FS tool - in preparation)</t>
        </is>
      </c>
      <c r="E240" s="25" t="inlineStr">
        <is>
          <t>Mapping trial balances and drafting notes manually</t>
        </is>
      </c>
      <c r="F240" s="25" t="inlineStr">
        <is>
          <t>Forecast, score, classify or detect anomalies from historical data</t>
        </is>
      </c>
      <c r="G240" s="25" t="inlineStr">
        <is>
          <t>Predictive analytics / machine learning</t>
        </is>
      </c>
      <c r="H240" s="25" t="inlineStr">
        <is>
          <t>AI-assisted TB mapping and notes drafting with mandatory accountant review (GT AI-powered Financial Statements tool - in preparation).</t>
        </is>
      </c>
      <c r="I240" s="25" t="inlineStr">
        <is>
          <t>Trial balances, prior FS, templates</t>
        </is>
      </c>
      <c r="J240" s="25" t="inlineStr">
        <is>
          <t>Preparation time; review points</t>
        </is>
      </c>
      <c r="K240" s="25" t="inlineStr">
        <is>
          <t>IFRS; IESBA independence for audit clients; professional sign-off.</t>
        </is>
      </c>
      <c r="L240" s="25" t="inlineStr">
        <is>
          <t>Medium</t>
        </is>
      </c>
      <c r="M240" t="inlineStr">
        <is>
          <t>PRO-11 | Financial statements preparation (GT AI FS tool - in preparation)</t>
        </is>
      </c>
      <c r="N240" t="b">
        <f>OR('1. AI Position'!$C$5="",'1. AI Position'!$C$5="Other",B240="Cross-industry",B240='1. AI Position'!$C$5)</f>
        <v>1</v>
      </c>
      <c r="O240">
        <f>IF(N240,COUNTIF($N$5:N240,TRUE),"")</f>
        <v>71</v>
      </c>
    </row>
    <row r="241" ht="46" customHeight="1">
      <c r="A241" s="26" t="inlineStr">
        <is>
          <t>PRO-12</t>
        </is>
      </c>
      <c r="B241" s="25" t="inlineStr">
        <is>
          <t>Professional services</t>
        </is>
      </c>
      <c r="C241" s="25" t="inlineStr">
        <is>
          <t>Risk, compliance &amp; legal</t>
        </is>
      </c>
      <c r="D241" s="26" t="inlineStr">
        <is>
          <t>Client BCP &amp; business impact analysis (GT AI BCP tool - in preparation)</t>
        </is>
      </c>
      <c r="E241" s="25" t="inlineStr">
        <is>
          <t>Generic, outdated plans; slow BIA workshops</t>
        </is>
      </c>
      <c r="F241" s="25" t="inlineStr">
        <is>
          <t>Draft, summarise, translate or review text</t>
        </is>
      </c>
      <c r="G241" s="25" t="inlineStr">
        <is>
          <t>Generative AI assistant (off-the-shelf)</t>
        </is>
      </c>
      <c r="H241" s="25" t="inlineStr">
        <is>
          <t>AI-assisted BIA and ISO 22301-aligned plan drafting (GT AI-powered BCP tool - in preparation).</t>
        </is>
      </c>
      <c r="I241" s="25" t="inlineStr">
        <is>
          <t>Client process data, dependencies</t>
        </is>
      </c>
      <c r="J241" s="25" t="inlineStr">
        <is>
          <t>Delivery time; plan quality</t>
        </is>
      </c>
      <c r="K241" s="25" t="inlineStr">
        <is>
          <t>Client validation of plans; confidentiality.</t>
        </is>
      </c>
      <c r="L241" s="25" t="inlineStr">
        <is>
          <t>Medium</t>
        </is>
      </c>
      <c r="M241" t="inlineStr">
        <is>
          <t>PRO-12 | Client BCP &amp; business impact analysis (GT AI BCP tool - in preparation)</t>
        </is>
      </c>
      <c r="N241" t="b">
        <f>OR('1. AI Position'!$C$5="",'1. AI Position'!$C$5="Other",B241="Cross-industry",B241='1. AI Position'!$C$5)</f>
        <v>1</v>
      </c>
      <c r="O241">
        <f>IF(N241,COUNTIF($N$5:N241,TRUE),"")</f>
        <v>72</v>
      </c>
    </row>
    <row r="242" ht="46" customHeight="1">
      <c r="A242" s="26" t="inlineStr">
        <is>
          <t>PRO-13</t>
        </is>
      </c>
      <c r="B242" s="25" t="inlineStr">
        <is>
          <t>Professional services</t>
        </is>
      </c>
      <c r="C242" s="25" t="inlineStr">
        <is>
          <t>Core operations &amp; service delivery</t>
        </is>
      </c>
      <c r="D242" s="26" t="inlineStr">
        <is>
          <t>Assessment &amp; maturity report production</t>
        </is>
      </c>
      <c r="E242" s="25" t="inlineStr">
        <is>
          <t>Reports built manually per client</t>
        </is>
      </c>
      <c r="F242" s="25" t="inlineStr">
        <is>
          <t>Move or re-key data between systems following fixed rules</t>
        </is>
      </c>
      <c r="G242" s="25" t="inlineStr">
        <is>
          <t>Workflow automation / RPA</t>
        </is>
      </c>
      <c r="H242" s="25" t="inlineStr">
        <is>
          <t>Questionnaire-driven automated report generation with professional review (as for the GT AI Readiness Assessment).</t>
        </is>
      </c>
      <c r="I242" s="25" t="inlineStr">
        <is>
          <t>Questionnaire responses, scoring model</t>
        </is>
      </c>
      <c r="J242" s="25" t="inlineStr">
        <is>
          <t>Report turnaround</t>
        </is>
      </c>
      <c r="K242" s="25" t="inlineStr">
        <is>
          <t>Quality review before issue.</t>
        </is>
      </c>
      <c r="L242" s="25" t="inlineStr">
        <is>
          <t>Low</t>
        </is>
      </c>
      <c r="M242" t="inlineStr">
        <is>
          <t>PRO-13 | Assessment &amp; maturity report production</t>
        </is>
      </c>
      <c r="N242" t="b">
        <f>OR('1. AI Position'!$C$5="",'1. AI Position'!$C$5="Other",B242="Cross-industry",B242='1. AI Position'!$C$5)</f>
        <v>1</v>
      </c>
      <c r="O242">
        <f>IF(N242,COUNTIF($N$5:N242,TRUE),"")</f>
        <v>73</v>
      </c>
    </row>
    <row r="243" ht="46" customHeight="1">
      <c r="A243" s="26" t="inlineStr">
        <is>
          <t>PRO-14</t>
        </is>
      </c>
      <c r="B243" s="25" t="inlineStr">
        <is>
          <t>Professional services</t>
        </is>
      </c>
      <c r="C243" s="25" t="inlineStr">
        <is>
          <t>Core operations &amp; service delivery</t>
        </is>
      </c>
      <c r="D243" s="26" t="inlineStr">
        <is>
          <t>Governance 'tone at the top' analysis</t>
        </is>
      </c>
      <c r="E243" s="25" t="inlineStr">
        <is>
          <t>Governance signals in filings missed</t>
        </is>
      </c>
      <c r="F243" s="25" t="inlineStr">
        <is>
          <t>Draft, summarise, translate or review text</t>
        </is>
      </c>
      <c r="G243" s="25" t="inlineStr">
        <is>
          <t>Generative AI assistant (off-the-shelf)</t>
        </is>
      </c>
      <c r="H243" s="25" t="inlineStr">
        <is>
          <t>NLP analysis of management commentary and filings for tone and sentiment shifts to flag governance risk early.</t>
        </is>
      </c>
      <c r="I243" s="25" t="inlineStr">
        <is>
          <t>Annual reports, filings, minutes</t>
        </is>
      </c>
      <c r="J243" s="25" t="inlineStr">
        <is>
          <t>Early-warning flags</t>
        </is>
      </c>
      <c r="K243" s="25" t="inlineStr">
        <is>
          <t>Professional judgement; avoid over-reliance on sentiment scores.</t>
        </is>
      </c>
      <c r="L243" s="25" t="inlineStr">
        <is>
          <t>Medium</t>
        </is>
      </c>
      <c r="M243" t="inlineStr">
        <is>
          <t>PRO-14 | Governance 'tone at the top' analysis</t>
        </is>
      </c>
      <c r="N243" t="b">
        <f>OR('1. AI Position'!$C$5="",'1. AI Position'!$C$5="Other",B243="Cross-industry",B243='1. AI Position'!$C$5)</f>
        <v>1</v>
      </c>
      <c r="O243">
        <f>IF(N243,COUNTIF($N$5:N243,TRUE),"")</f>
        <v>74</v>
      </c>
    </row>
    <row r="244" ht="46" customHeight="1">
      <c r="A244" s="26" t="inlineStr">
        <is>
          <t>PRO-15</t>
        </is>
      </c>
      <c r="B244" s="25" t="inlineStr">
        <is>
          <t>Professional services</t>
        </is>
      </c>
      <c r="C244" s="25" t="inlineStr">
        <is>
          <t>Knowledge &amp; collaboration</t>
        </is>
      </c>
      <c r="D244" s="26" t="inlineStr">
        <is>
          <t>Methodology &amp; knowledge Q&amp;A</t>
        </is>
      </c>
      <c r="E244" s="25" t="inlineStr">
        <is>
          <t>Staff search across manuals and past work</t>
        </is>
      </c>
      <c r="F244" s="25" t="inlineStr">
        <is>
          <t>Answer questions from internal knowledge, policies or past work</t>
        </is>
      </c>
      <c r="G244" s="25" t="inlineStr">
        <is>
          <t>GenAI knowledge assistant (RAG on own content)</t>
        </is>
      </c>
      <c r="H244" s="25" t="inlineStr">
        <is>
          <t>Grounded assistant over firm methodologies and sanitised precedents.</t>
        </is>
      </c>
      <c r="I244" s="25" t="inlineStr">
        <is>
          <t>Methodologies, sanitised precedents</t>
        </is>
      </c>
      <c r="J244" s="25" t="inlineStr">
        <is>
          <t>Search time; reuse</t>
        </is>
      </c>
      <c r="K244" s="25" t="inlineStr">
        <is>
          <t>Client confidentiality in precedents.</t>
        </is>
      </c>
      <c r="L244" s="25" t="inlineStr">
        <is>
          <t>Low</t>
        </is>
      </c>
      <c r="M244" t="inlineStr">
        <is>
          <t>PRO-15 | Methodology &amp; knowledge Q&amp;A</t>
        </is>
      </c>
      <c r="N244" t="b">
        <f>OR('1. AI Position'!$C$5="",'1. AI Position'!$C$5="Other",B244="Cross-industry",B244='1. AI Position'!$C$5)</f>
        <v>1</v>
      </c>
      <c r="O244">
        <f>IF(N244,COUNTIF($N$5:N244,TRUE),"")</f>
        <v>75</v>
      </c>
    </row>
  </sheetData>
  <autoFilter ref="A4:L244"/>
  <mergeCells count="2">
    <mergeCell ref="A2:L2"/>
    <mergeCell ref="A1:L1"/>
  </mergeCells>
  <conditionalFormatting sqref="L5:L244">
    <cfRule type="cellIs" priority="1" operator="equal" dxfId="1">
      <formula>"Low"</formula>
    </cfRule>
    <cfRule type="cellIs" priority="2" operator="equal" dxfId="2">
      <formula>"Medium"</formula>
    </cfRule>
    <cfRule type="cellIs" priority="3" operator="equal" dxfId="3">
      <formula>"High"</formula>
    </cfRule>
  </conditionalFormatting>
  <printOptions gridLines="0"/>
  <pageMargins left="0.5" right="0.5" top="0.75" bottom="0.75" header="0.25" footer="0.25"/>
  <pageSetup orientation="landscape" paperSize="8" fitToHeight="0" fitToWidth="1"/>
  <headerFooter>
    <oddHeader/>
    <oddFooter>&amp;L&amp;8 GT AI Opportunity Discovery Toolkit&amp;R&amp;8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J57"/>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24" customWidth="1" min="3" max="3"/>
    <col width="26" customWidth="1" min="4" max="4"/>
    <col width="18" customWidth="1" min="5" max="5"/>
    <col width="16" customWidth="1" min="6" max="6"/>
    <col width="9" customWidth="1" min="7" max="7"/>
    <col width="18" customWidth="1" min="8" max="8"/>
    <col width="18" customWidth="1" min="9" max="9"/>
    <col width="8" customWidth="1" min="10" max="10"/>
    <col width="8" customWidth="1" min="11" max="11"/>
    <col width="9" customWidth="1" min="12" max="12"/>
    <col width="9" customWidth="1" min="13" max="13"/>
    <col width="18" customWidth="1" min="14" max="14"/>
    <col width="8" customWidth="1" min="15" max="15"/>
    <col width="18" customWidth="1" min="16" max="16"/>
    <col width="22" customWidth="1" min="17" max="17"/>
    <col width="24" customWidth="1" min="18" max="18"/>
    <col width="6" customWidth="1" min="19" max="19"/>
    <col width="6" customWidth="1" min="20" max="20"/>
    <col width="10" customWidth="1" min="21" max="21"/>
    <col width="13" customWidth="1" min="22" max="22"/>
    <col width="22" customWidth="1" min="23" max="23"/>
    <col width="7" customWidth="1" min="24" max="24"/>
    <col width="7" customWidth="1" min="25" max="25"/>
    <col width="8" customWidth="1" min="26" max="26"/>
    <col width="12" customWidth="1" min="27" max="27"/>
    <col width="8" customWidth="1" min="28" max="28"/>
    <col width="6" customWidth="1" min="29" max="29"/>
    <col width="17" customWidth="1" min="30" max="30"/>
    <col width="10" customWidth="1" min="31" max="31"/>
    <col width="48" customWidth="1" min="32" max="32"/>
    <col width="36" customWidth="1" min="33" max="33"/>
    <col hidden="1" width="5" customWidth="1" min="34" max="34"/>
    <col hidden="1" width="5" customWidth="1" min="35" max="35"/>
    <col hidden="1" width="5" customWidth="1" min="36" max="36"/>
  </cols>
  <sheetData>
    <row r="1" ht="32" customHeight="1">
      <c r="A1" s="1" t="inlineStr">
        <is>
          <t>3. AI Fit Diagnostic - process by process</t>
        </is>
      </c>
    </row>
    <row r="2" ht="32" customHeight="1">
      <c r="A2" s="2" t="inlineStr">
        <is>
          <t>Select a use case from the library (column B; type a custom process if it is not in the library, then select its task nature and function in D-E) and answer the yellow inputs F-N. Effort = staff hours spent on the process per month (all people involved).</t>
        </is>
      </c>
    </row>
    <row r="3">
      <c r="B3" s="4" t="inlineStr">
        <is>
          <t>Organisation's AI position (from sheet 1):</t>
        </is>
      </c>
      <c r="C3" s="27" t="str">
        <f>'1. AI Position'!$C$31</f>
        <v>Buy and configure AI</v>
      </c>
      <c r="D3" s="18" t="n"/>
      <c r="E3" s="18" t="n"/>
      <c r="F3" s="4" t="inlineStr">
        <is>
          <t>Solution ceiling level:</t>
        </is>
      </c>
      <c r="G3" s="28" t="n"/>
      <c r="H3" s="28" t="n"/>
      <c r="I3" s="29">
        <f>IF('1. AI Position'!$C$30="",5,INDEX(Lists!$AI$2:$AI$5,'1. AI Position'!$C$30))</f>
        <v>4</v>
      </c>
    </row>
    <row r="4">
      <c r="B4" s="4" t="inlineStr">
        <is>
          <t>Quadrant threshold (value and feasibility, 1-5):</t>
        </is>
      </c>
      <c r="C4" s="30" t="n">
        <v>3.25</v>
      </c>
      <c r="D4" s="31" t="str">
        <f>"Library entries offered: "&amp;COUNTIF(Lists!$BA$2:$BA$241,"?*")</f>
        <v>Library entries offered: 75</v>
      </c>
      <c r="E4" s="28" t="n"/>
    </row>
    <row r="6">
      <c r="A6" s="9" t="inlineStr">
        <is>
          <t>INPUTS (yellow)</t>
        </is>
      </c>
      <c r="B6" s="32" t="n"/>
      <c r="C6" s="32" t="n"/>
      <c r="D6" s="32" t="n"/>
      <c r="E6" s="32" t="n"/>
      <c r="F6" s="32" t="n"/>
      <c r="G6" s="32" t="n"/>
      <c r="H6" s="32" t="n"/>
      <c r="I6" s="32" t="n"/>
      <c r="J6" s="32" t="n"/>
      <c r="K6" s="32" t="n"/>
      <c r="L6" s="32" t="n"/>
      <c r="M6" s="32" t="n"/>
      <c r="N6" s="32" t="n"/>
      <c r="O6" s="33" t="inlineStr">
        <is>
          <t>AUTO-CALCULATED (recommendation and notes come from the GT AI Use-Case Library)</t>
        </is>
      </c>
      <c r="P6" s="34" t="n"/>
      <c r="Q6" s="34" t="n"/>
      <c r="R6" s="34" t="n"/>
      <c r="S6" s="34" t="n"/>
      <c r="T6" s="34" t="n"/>
      <c r="U6" s="34" t="n"/>
      <c r="V6" s="34" t="n"/>
      <c r="W6" s="34" t="n"/>
      <c r="X6" s="34" t="n"/>
      <c r="Y6" s="34" t="n"/>
      <c r="Z6" s="34" t="n"/>
      <c r="AA6" s="34" t="n"/>
      <c r="AB6" s="34" t="n"/>
      <c r="AC6" s="34" t="n"/>
      <c r="AD6" s="34" t="n"/>
      <c r="AE6" s="34" t="n"/>
      <c r="AF6" s="34" t="n"/>
      <c r="AG6" s="34" t="n"/>
    </row>
    <row r="7" ht="52" customHeight="1">
      <c r="A7" s="35" t="inlineStr">
        <is>
          <t>#</t>
        </is>
      </c>
      <c r="B7" s="35" t="inlineStr">
        <is>
          <t>Use case (select from library, or type a custom process)</t>
        </is>
      </c>
      <c r="C7" s="35" t="inlineStr">
        <is>
          <t>Client-specific note (optional)</t>
        </is>
      </c>
      <c r="D7" s="35" t="inlineStr">
        <is>
          <t>Task nature - custom entries / override</t>
        </is>
      </c>
      <c r="E7" s="35" t="inlineStr">
        <is>
          <t>Function - custom entries only</t>
        </is>
      </c>
      <c r="F7" s="35" t="inlineStr">
        <is>
          <t>Volume</t>
        </is>
      </c>
      <c r="G7" s="35" t="inlineStr">
        <is>
          <t>Effort (hrs / month)</t>
        </is>
      </c>
      <c r="H7" s="35" t="inlineStr">
        <is>
          <t>Process standardised?</t>
        </is>
      </c>
      <c r="I7" s="35" t="inlineStr">
        <is>
          <t>Data available for this process</t>
        </is>
      </c>
      <c r="J7" s="35" t="inlineStr">
        <is>
          <t>Strategic importance (1-5)</t>
        </is>
      </c>
      <c r="K7" s="35" t="inlineStr">
        <is>
          <t>Customer / quality impact (1-5)</t>
        </is>
      </c>
      <c r="L7" s="35" t="inlineStr">
        <is>
          <t>Affects individuals' rights or access?</t>
        </is>
      </c>
      <c r="M7" s="35" t="inlineStr">
        <is>
          <t>Personal or confidential data?</t>
        </is>
      </c>
      <c r="N7" s="35" t="inlineStr">
        <is>
          <t>Intended autonomy</t>
        </is>
      </c>
      <c r="O7" s="36" t="inlineStr">
        <is>
          <t>Library ID</t>
        </is>
      </c>
      <c r="P7" s="36" t="inlineStr">
        <is>
          <t>Function</t>
        </is>
      </c>
      <c r="Q7" s="36" t="inlineStr">
        <is>
          <t>Nature of the task</t>
        </is>
      </c>
      <c r="R7" s="36" t="inlineStr">
        <is>
          <t>Solution family</t>
        </is>
      </c>
      <c r="S7" s="36" t="inlineStr">
        <is>
          <t>Level</t>
        </is>
      </c>
      <c r="T7" s="36" t="inlineStr">
        <is>
          <t>AI?</t>
        </is>
      </c>
      <c r="U7" s="36" t="inlineStr">
        <is>
          <t>Data gate</t>
        </is>
      </c>
      <c r="V7" s="36" t="inlineStr">
        <is>
          <t>Organisational fit</t>
        </is>
      </c>
      <c r="W7" s="36" t="inlineStr">
        <is>
          <t>VERDICT</t>
        </is>
      </c>
      <c r="X7" s="36" t="inlineStr">
        <is>
          <t>Value</t>
        </is>
      </c>
      <c r="Y7" s="36" t="inlineStr">
        <is>
          <t>Feasib-ility</t>
        </is>
      </c>
      <c r="Z7" s="36" t="inlineStr">
        <is>
          <t>Risk tier</t>
        </is>
      </c>
      <c r="AA7" s="36" t="inlineStr">
        <is>
          <t>Quadrant</t>
        </is>
      </c>
      <c r="AB7" s="36" t="inlineStr">
        <is>
          <t>Priority score</t>
        </is>
      </c>
      <c r="AC7" s="36" t="inlineStr">
        <is>
          <t>Rank</t>
        </is>
      </c>
      <c r="AD7" s="36" t="inlineStr">
        <is>
          <t>Horizon</t>
        </is>
      </c>
      <c r="AE7" s="36" t="inlineStr">
        <is>
          <t>Est. hours released / yr</t>
        </is>
      </c>
      <c r="AF7" s="36" t="inlineStr">
        <is>
          <t>GT recommendation (library)</t>
        </is>
      </c>
      <c r="AG7" s="36" t="inlineStr">
        <is>
          <t>Regulatory &amp; risk notes (library)</t>
        </is>
      </c>
      <c r="AH7" s="36" t="inlineStr">
        <is>
          <t>h</t>
        </is>
      </c>
      <c r="AI7" s="36" t="inlineStr">
        <is>
          <t>key</t>
        </is>
      </c>
      <c r="AJ7" s="36" t="inlineStr">
        <is>
          <t>name</t>
        </is>
      </c>
    </row>
    <row r="8" ht="52" customHeight="1">
      <c r="A8" s="14" t="n">
        <v>1</v>
      </c>
      <c r="B8" s="37" t="inlineStr">
        <is>
          <t>PRO-01 | Audit - journal-entry testing (full population)</t>
        </is>
      </c>
      <c r="C8" s="37" t="n"/>
      <c r="D8" s="37" t="n"/>
      <c r="E8" s="37" t="n"/>
      <c r="F8" s="37" t="inlineStr">
        <is>
          <t>High (more than 1,000 a month)</t>
        </is>
      </c>
      <c r="G8" s="37" t="n">
        <v>300</v>
      </c>
      <c r="H8" s="37" t="inlineStr">
        <is>
          <t>Partly - common steps, some variation</t>
        </is>
      </c>
      <c r="I8" s="37" t="inlineStr">
        <is>
          <t>Digital history available</t>
        </is>
      </c>
      <c r="J8" s="37" t="n">
        <v>5</v>
      </c>
      <c r="K8" s="37" t="n">
        <v>5</v>
      </c>
      <c r="L8" s="37" t="inlineStr">
        <is>
          <t>No</t>
        </is>
      </c>
      <c r="M8" s="37" t="inlineStr">
        <is>
          <t>Yes</t>
        </is>
      </c>
      <c r="N8" s="37" t="inlineStr">
        <is>
          <t>Human approves each AI output</t>
        </is>
      </c>
      <c r="O8" s="38" t="str">
        <f>IF(B8="","",IFERROR(INDEX('2. Use-Case Library'!$A$5:$A$244,MATCH(B8,'2. Use-Case Library'!$M$5:$M$244,0)),"Custom"))</f>
        <v>PRO-01</v>
      </c>
      <c r="P8" s="39" t="str">
        <f>IF(B8="","",IF(O8="Custom",IF(E8="","(select function in E)",E8),INDEX('2. Use-Case Library'!$C$5:$C$244,MATCH($O8,'2. Use-Case Library'!$A$5:$A$244,0))))</f>
        <v>Core operations &amp; service delivery</v>
      </c>
      <c r="Q8" s="39" t="str">
        <f>IF(B8="","",IF(D8&lt;&gt;"",D8,IF(O8="Custom","",INDEX('2. Use-Case Library'!$F$5:$F$244,MATCH($O8,'2. Use-Case Library'!$A$5:$A$244,0)))))</f>
        <v>Forecast, score, classify or detect anomalies from historical data</v>
      </c>
      <c r="R8" s="39" t="str">
        <f>IF(Q8="","",INDEX(Lists!$B$2:$B$11,MATCH(Q8,Lists!$A$2:$A$11,0)))</f>
        <v>Predictive analytics / machine learning</v>
      </c>
      <c r="S8" s="38">
        <f>IF(R8="","",INDEX(Lists!$C$2:$C$11,MATCH(R8,Lists!$B$2:$B$11,0)))</f>
        <v>5</v>
      </c>
      <c r="T8" s="38" t="str">
        <f>IF(R8="","",INDEX(Lists!$D$2:$D$11,MATCH(R8,Lists!$B$2:$B$11,0)))</f>
        <v>Yes</v>
      </c>
      <c r="U8" s="38" t="str">
        <f>IF(OR(R8="",I8=""),"",IF(INDEX(Lists!$N$2:$N$5,MATCH(I8,Lists!$M$2:$M$5,0))&gt;=INDEX(Lists!$E$2:$E$11,MATCH(R8,Lists!$B$2:$B$11,0)),"Data ready","Data gap"))</f>
        <v>Data ready</v>
      </c>
      <c r="V8" s="39" t="str">
        <f>IF(R8="","",IF(S8&lt;=IF('1. AI Position'!$C$30="",5,INDEX(Lists!$AI$2:$AI$5,'1. AI Position'!$C$30)),"Within current position","Beyond current position"))</f>
        <v>Beyond current position</v>
      </c>
      <c r="W8" s="40" t="str">
        <f>IF(B8="","",IF(OR(COUNTA(F8:N8)&lt;9,Q8=""),"Complete inputs",IF(H8="No - varies by person / team","Redesign / standardise first",IF(T8="No","Automate - AI not needed",IF(U8="Data gap","AI later - close data gap first",IF(V8="Beyond current position","Stretch - partner or later stage","AI fit now"))))))</f>
        <v>Stretch - partner or later stage</v>
      </c>
      <c r="X8" s="41">
        <f>IF(OR(W8="",W8="Complete inputs"),"",ROUND(0.3*INDEX(Lists!$N$8:$N$10,MATCH(F8,Lists!$M$8:$M$10,0))+0.25*IF(G8&lt;20,1,IF(G8&lt;80,2,IF(G8&lt;160,3,IF(G8&lt;480,4,5))))+0.25*J8+0.2*K8,2))</f>
        <v>4.75</v>
      </c>
      <c r="Y8" s="41">
        <f>IF(X8="","",ROUND(0.3*IF(U8="Data ready",5,IF(INDEX(Lists!$N$2:$N$5,MATCH(I8,Lists!$M$2:$M$5,0))=INDEX(Lists!$E$2:$E$11,MATCH(R8,Lists!$B$2:$B$11,0))-1,3,1))+0.25*INDEX(Lists!$N$13:$N$15,MATCH(H8,Lists!$M$13:$M$15,0))+0.25*(6-S8)+0.2*IF(V8="Within current position",5,2),2))</f>
        <v>2.9</v>
      </c>
      <c r="Z8" s="38" t="str">
        <f>IF(X8="","",CHOOSE(MAX(IF(T8="No",IF(L8="Yes",2,1),IF(IF(L8="Yes",2,0)+IF(M8="Yes",1,0)+INDEX(Lists!$N$18:$N$20,MATCH(N8,Lists!$M$18:$M$20,0))+IF(K8=5,2,IF(K8&gt;=4,1,0))&gt;=4,3,IF(IF(L8="Yes",2,0)+IF(M8="Yes",1,0)+INDEX(Lists!$N$18:$N$20,MATCH(N8,Lists!$M$18:$M$20,0))+IF(K8=5,2,IF(K8&gt;=4,1,0))&gt;=2,2,1))),IF($O8="Custom",1,MATCH(INDEX('2. Use-Case Library'!$L$5:$L$244,MATCH($O8,'2. Use-Case Library'!$A$5:$A$244,0)),{"Low","Medium","High"},0))),"Low","Medium","High"))</f>
        <v>High</v>
      </c>
      <c r="AA8" s="38" t="str">
        <f>IF(X8="","",IF(AND(X8&gt;=$C$4,Y8&gt;=$C$4),"Quick win",IF(X8&gt;=$C$4,"Strategic bet",IF(Y8&gt;=$C$4,"Fill-in","Deprioritise"))))</f>
        <v>Strategic bet</v>
      </c>
      <c r="AB8" s="41">
        <f>IF(X8="","",ROUND(X8*Y8*IF(Z8="High",0.85,1)*IF(W8="Redesign / standardise first",0.8,1),2))</f>
        <v>11.71</v>
      </c>
      <c r="AC8" s="42">
        <f>IF(AB8="","",RANK(AB8,$AB$8:$AB$57)+COUNTIF($AB$7:AB7,AB8))</f>
        <v>15</v>
      </c>
      <c r="AD8" s="39" t="str">
        <f>IF(AH8="","",INDEX(Lists!$AV$2:$AV$5,AH8))</f>
        <v>H2 - Next (6-12 months)</v>
      </c>
      <c r="AE8" s="43">
        <f>IF(AB8="","",ROUND(G8*12*INDEX(Lists!$F$2:$F$11,MATCH(R8,Lists!$B$2:$B$11,0)),0))</f>
        <v>720</v>
      </c>
      <c r="AF8" s="44" t="str">
        <f>IF(OR(B8="",R8=""),"",IF(O8="Custom",INDEX(Lists!$I$2:$I$11,MATCH(R8,Lists!$B$2:$B$11,0)),INDEX('2. Use-Case Library'!$H$5:$H$244,MATCH($O8,'2. Use-Case Library'!$A$5:$A$244,0))))</f>
        <v>Full-population JE analytics with rules and ML anomaly scoring; auditor investigates and concludes.</v>
      </c>
      <c r="AG8" s="44" t="str">
        <f>IF(OR(B8="",O8="Custom"),"",INDEX('2. Use-Case Library'!$K$5:$K$244,MATCH($O8,'2. Use-Case Library'!$A$5:$A$244,0)))</f>
        <v>ISA 240 / 330; documentation in working papers; client-data confidentiality.</v>
      </c>
      <c r="AH8" s="38">
        <f>IF(AB8="","",IF(AA8="Deprioritise",4,IF(W8="AI later - close data gap first",3,IF(OR(W8="Redesign / standardise first",W8="Stretch - partner or later stage",AA8="Strategic bet",Z8="High",S8=5),2,1))))</f>
        <v>2</v>
      </c>
      <c r="AI8" s="38">
        <f>IF(AC8="","",AH8*100+AC8)</f>
        <v>215</v>
      </c>
      <c r="AJ8" s="38" t="str">
        <f>IF(B8="","",IF(O8="Custom",B8,INDEX('2. Use-Case Library'!$D$5:$D$244,MATCH($O8,'2. Use-Case Library'!$A$5:$A$244,0))))</f>
        <v>Audit - journal-entry testing (full population)</v>
      </c>
    </row>
    <row r="9" ht="52" customHeight="1">
      <c r="A9" s="14" t="n">
        <v>2</v>
      </c>
      <c r="B9" s="37" t="inlineStr">
        <is>
          <t>PRO-02 | Audit - working papers &amp; memo drafting</t>
        </is>
      </c>
      <c r="C9" s="37" t="n"/>
      <c r="D9" s="37" t="n"/>
      <c r="E9" s="37" t="n"/>
      <c r="F9" s="37" t="inlineStr">
        <is>
          <t>Medium (100 - 1,000 a month)</t>
        </is>
      </c>
      <c r="G9" s="37" t="n">
        <v>400</v>
      </c>
      <c r="H9" s="37" t="inlineStr">
        <is>
          <t>Yes - documented and consistent</t>
        </is>
      </c>
      <c r="I9" s="37" t="inlineStr">
        <is>
          <t>Digital history available</t>
        </is>
      </c>
      <c r="J9" s="37" t="n">
        <v>4</v>
      </c>
      <c r="K9" s="37" t="n">
        <v>4</v>
      </c>
      <c r="L9" s="37" t="inlineStr">
        <is>
          <t>No</t>
        </is>
      </c>
      <c r="M9" s="37" t="inlineStr">
        <is>
          <t>Yes</t>
        </is>
      </c>
      <c r="N9" s="37" t="inlineStr">
        <is>
          <t>Human approves each AI output</t>
        </is>
      </c>
      <c r="O9" s="38" t="str">
        <f>IF(B9="","",IFERROR(INDEX('2. Use-Case Library'!$A$5:$A$244,MATCH(B9,'2. Use-Case Library'!$M$5:$M$244,0)),"Custom"))</f>
        <v>PRO-02</v>
      </c>
      <c r="P9" s="39" t="str">
        <f>IF(B9="","",IF(O9="Custom",IF(E9="","(select function in E)",E9),INDEX('2. Use-Case Library'!$C$5:$C$244,MATCH($O9,'2. Use-Case Library'!$A$5:$A$244,0))))</f>
        <v>Core operations &amp; service delivery</v>
      </c>
      <c r="Q9" s="39" t="str">
        <f>IF(B9="","",IF(D9&lt;&gt;"",D9,IF(O9="Custom","",INDEX('2. Use-Case Library'!$F$5:$F$244,MATCH($O9,'2. Use-Case Library'!$A$5:$A$244,0)))))</f>
        <v>Draft, summarise, translate or review text</v>
      </c>
      <c r="R9" s="39" t="str">
        <f>IF(Q9="","",INDEX(Lists!$B$2:$B$11,MATCH(Q9,Lists!$A$2:$A$11,0)))</f>
        <v>Generative AI assistant (off-the-shelf)</v>
      </c>
      <c r="S9" s="38">
        <f>IF(R9="","",INDEX(Lists!$C$2:$C$11,MATCH(R9,Lists!$B$2:$B$11,0)))</f>
        <v>3</v>
      </c>
      <c r="T9" s="38" t="str">
        <f>IF(R9="","",INDEX(Lists!$D$2:$D$11,MATCH(R9,Lists!$B$2:$B$11,0)))</f>
        <v>Yes</v>
      </c>
      <c r="U9" s="38" t="str">
        <f>IF(OR(R9="",I9=""),"",IF(INDEX(Lists!$N$2:$N$5,MATCH(I9,Lists!$M$2:$M$5,0))&gt;=INDEX(Lists!$E$2:$E$11,MATCH(R9,Lists!$B$2:$B$11,0)),"Data ready","Data gap"))</f>
        <v>Data ready</v>
      </c>
      <c r="V9" s="39" t="str">
        <f>IF(R9="","",IF(S9&lt;=IF('1. AI Position'!$C$30="",5,INDEX(Lists!$AI$2:$AI$5,'1. AI Position'!$C$30)),"Within current position","Beyond current position"))</f>
        <v>Within current position</v>
      </c>
      <c r="W9" s="40" t="str">
        <f>IF(B9="","",IF(OR(COUNTA(F9:N9)&lt;9,Q9=""),"Complete inputs",IF(H9="No - varies by person / team","Redesign / standardise first",IF(T9="No","Automate - AI not needed",IF(U9="Data gap","AI later - close data gap first",IF(V9="Beyond current position","Stretch - partner or later stage","AI fit now"))))))</f>
        <v>AI fit now</v>
      </c>
      <c r="X9" s="41">
        <f>IF(OR(W9="",W9="Complete inputs"),"",ROUND(0.3*INDEX(Lists!$N$8:$N$10,MATCH(F9,Lists!$M$8:$M$10,0))+0.25*IF(G9&lt;20,1,IF(G9&lt;80,2,IF(G9&lt;160,3,IF(G9&lt;480,4,5))))+0.25*J9+0.2*K9,2))</f>
        <v>3.7</v>
      </c>
      <c r="Y9" s="41">
        <f>IF(X9="","",ROUND(0.3*IF(U9="Data ready",5,IF(INDEX(Lists!$N$2:$N$5,MATCH(I9,Lists!$M$2:$M$5,0))=INDEX(Lists!$E$2:$E$11,MATCH(R9,Lists!$B$2:$B$11,0))-1,3,1))+0.25*INDEX(Lists!$N$13:$N$15,MATCH(H9,Lists!$M$13:$M$15,0))+0.25*(6-S9)+0.2*IF(V9="Within current position",5,2),2))</f>
        <v>4.5</v>
      </c>
      <c r="Z9" s="38" t="str">
        <f>IF(X9="","",CHOOSE(MAX(IF(T9="No",IF(L9="Yes",2,1),IF(IF(L9="Yes",2,0)+IF(M9="Yes",1,0)+INDEX(Lists!$N$18:$N$20,MATCH(N9,Lists!$M$18:$M$20,0))+IF(K9=5,2,IF(K9&gt;=4,1,0))&gt;=4,3,IF(IF(L9="Yes",2,0)+IF(M9="Yes",1,0)+INDEX(Lists!$N$18:$N$20,MATCH(N9,Lists!$M$18:$M$20,0))+IF(K9=5,2,IF(K9&gt;=4,1,0))&gt;=2,2,1))),IF($O9="Custom",1,MATCH(INDEX('2. Use-Case Library'!$L$5:$L$244,MATCH($O9,'2. Use-Case Library'!$A$5:$A$244,0)),{"Low","Medium","High"},0))),"Low","Medium","High"))</f>
        <v>Medium</v>
      </c>
      <c r="AA9" s="38" t="str">
        <f>IF(X9="","",IF(AND(X9&gt;=$C$4,Y9&gt;=$C$4),"Quick win",IF(X9&gt;=$C$4,"Strategic bet",IF(Y9&gt;=$C$4,"Fill-in","Deprioritise"))))</f>
        <v>Quick win</v>
      </c>
      <c r="AB9" s="41">
        <f>IF(X9="","",ROUND(X9*Y9*IF(Z9="High",0.85,1)*IF(W9="Redesign / standardise first",0.8,1),2))</f>
        <v>16.65</v>
      </c>
      <c r="AC9" s="42">
        <f>IF(AB9="","",RANK(AB9,$AB$8:$AB$57)+COUNTIF($AB$7:AB8,AB9))</f>
        <v>4</v>
      </c>
      <c r="AD9" s="39" t="str">
        <f>IF(AH9="","",INDEX(Lists!$AV$2:$AV$5,AH9))</f>
        <v>H1 - Now (0-6 months)</v>
      </c>
      <c r="AE9" s="43">
        <f>IF(AB9="","",ROUND(G9*12*INDEX(Lists!$F$2:$F$11,MATCH(R9,Lists!$B$2:$B$11,0)),0))</f>
        <v>1440</v>
      </c>
      <c r="AF9" s="44" t="str">
        <f>IF(OR(B9="",R9=""),"",IF(O9="Custom",INDEX(Lists!$I$2:$I$11,MATCH(R9,Lists!$B$2:$B$11,0)),INDEX('2. Use-Case Library'!$H$5:$H$244,MATCH($O9,'2. Use-Case Library'!$A$5:$A$244,0))))</f>
        <v>GenAI drafting within methodology templates in an approved environment; reviewer sign-off.</v>
      </c>
      <c r="AG9" s="44" t="str">
        <f>IF(OR(B9="",O9="Custom"),"",INDEX('2. Use-Case Library'!$K$5:$K$244,MATCH($O9,'2. Use-Case Library'!$A$5:$A$244,0)))</f>
        <v>ISQM 1; human review; client confidentiality.</v>
      </c>
      <c r="AH9" s="38">
        <f>IF(AB9="","",IF(AA9="Deprioritise",4,IF(W9="AI later - close data gap first",3,IF(OR(W9="Redesign / standardise first",W9="Stretch - partner or later stage",AA9="Strategic bet",Z9="High",S9=5),2,1))))</f>
        <v>1</v>
      </c>
      <c r="AI9" s="38">
        <f>IF(AC9="","",AH9*100+AC9)</f>
        <v>104</v>
      </c>
      <c r="AJ9" s="38" t="str">
        <f>IF(B9="","",IF(O9="Custom",B9,INDEX('2. Use-Case Library'!$D$5:$D$244,MATCH($O9,'2. Use-Case Library'!$A$5:$A$244,0))))</f>
        <v>Audit - working papers &amp; memo drafting</v>
      </c>
    </row>
    <row r="10" ht="52" customHeight="1">
      <c r="A10" s="14" t="n">
        <v>3</v>
      </c>
      <c r="B10" s="37" t="inlineStr">
        <is>
          <t>PRO-03 | Audit - bank &amp; external confirmations</t>
        </is>
      </c>
      <c r="C10" s="37" t="n"/>
      <c r="D10" s="37" t="n"/>
      <c r="E10" s="37" t="n"/>
      <c r="F10" s="37" t="inlineStr">
        <is>
          <t>High (more than 1,000 a month)</t>
        </is>
      </c>
      <c r="G10" s="37" t="n">
        <v>120</v>
      </c>
      <c r="H10" s="37" t="inlineStr">
        <is>
          <t>Yes - documented and consistent</t>
        </is>
      </c>
      <c r="I10" s="37" t="inlineStr">
        <is>
          <t>Digital history available</t>
        </is>
      </c>
      <c r="J10" s="37" t="n">
        <v>3</v>
      </c>
      <c r="K10" s="37" t="n">
        <v>3</v>
      </c>
      <c r="L10" s="37" t="inlineStr">
        <is>
          <t>No</t>
        </is>
      </c>
      <c r="M10" s="37" t="inlineStr">
        <is>
          <t>Yes</t>
        </is>
      </c>
      <c r="N10" s="37" t="inlineStr">
        <is>
          <t>Human approves each AI output</t>
        </is>
      </c>
      <c r="O10" s="38" t="str">
        <f>IF(B10="","",IFERROR(INDEX('2. Use-Case Library'!$A$5:$A$244,MATCH(B10,'2. Use-Case Library'!$M$5:$M$244,0)),"Custom"))</f>
        <v>PRO-03</v>
      </c>
      <c r="P10" s="39" t="str">
        <f>IF(B10="","",IF(O10="Custom",IF(E10="","(select function in E)",E10),INDEX('2. Use-Case Library'!$C$5:$C$244,MATCH($O10,'2. Use-Case Library'!$A$5:$A$244,0))))</f>
        <v>Core operations &amp; service delivery</v>
      </c>
      <c r="Q10" s="39" t="str">
        <f>IF(B10="","",IF(D10&lt;&gt;"",D10,IF(O10="Custom","",INDEX('2. Use-Case Library'!$F$5:$F$244,MATCH($O10,'2. Use-Case Library'!$A$5:$A$244,0)))))</f>
        <v>Extract information from documents, forms or emails</v>
      </c>
      <c r="R10" s="39" t="str">
        <f>IF(Q10="","",INDEX(Lists!$B$2:$B$11,MATCH(Q10,Lists!$A$2:$A$11,0)))</f>
        <v>Intelligent document processing (IDP)</v>
      </c>
      <c r="S10" s="38">
        <f>IF(R10="","",INDEX(Lists!$C$2:$C$11,MATCH(R10,Lists!$B$2:$B$11,0)))</f>
        <v>3</v>
      </c>
      <c r="T10" s="38" t="str">
        <f>IF(R10="","",INDEX(Lists!$D$2:$D$11,MATCH(R10,Lists!$B$2:$B$11,0)))</f>
        <v>Light</v>
      </c>
      <c r="U10" s="38" t="str">
        <f>IF(OR(R10="",I10=""),"",IF(INDEX(Lists!$N$2:$N$5,MATCH(I10,Lists!$M$2:$M$5,0))&gt;=INDEX(Lists!$E$2:$E$11,MATCH(R10,Lists!$B$2:$B$11,0)),"Data ready","Data gap"))</f>
        <v>Data ready</v>
      </c>
      <c r="V10" s="39" t="str">
        <f>IF(R10="","",IF(S10&lt;=IF('1. AI Position'!$C$30="",5,INDEX(Lists!$AI$2:$AI$5,'1. AI Position'!$C$30)),"Within current position","Beyond current position"))</f>
        <v>Within current position</v>
      </c>
      <c r="W10" s="40" t="str">
        <f>IF(B10="","",IF(OR(COUNTA(F10:N10)&lt;9,Q10=""),"Complete inputs",IF(H10="No - varies by person / team","Redesign / standardise first",IF(T10="No","Automate - AI not needed",IF(U10="Data gap","AI later - close data gap first",IF(V10="Beyond current position","Stretch - partner or later stage","AI fit now"))))))</f>
        <v>AI fit now</v>
      </c>
      <c r="X10" s="41">
        <f>IF(OR(W10="",W10="Complete inputs"),"",ROUND(0.3*INDEX(Lists!$N$8:$N$10,MATCH(F10,Lists!$M$8:$M$10,0))+0.25*IF(G10&lt;20,1,IF(G10&lt;80,2,IF(G10&lt;160,3,IF(G10&lt;480,4,5))))+0.25*J10+0.2*K10,2))</f>
        <v>3.6</v>
      </c>
      <c r="Y10" s="41">
        <f>IF(X10="","",ROUND(0.3*IF(U10="Data ready",5,IF(INDEX(Lists!$N$2:$N$5,MATCH(I10,Lists!$M$2:$M$5,0))=INDEX(Lists!$E$2:$E$11,MATCH(R10,Lists!$B$2:$B$11,0))-1,3,1))+0.25*INDEX(Lists!$N$13:$N$15,MATCH(H10,Lists!$M$13:$M$15,0))+0.25*(6-S10)+0.2*IF(V10="Within current position",5,2),2))</f>
        <v>4.5</v>
      </c>
      <c r="Z10" s="38" t="str">
        <f>IF(X10="","",CHOOSE(MAX(IF(T10="No",IF(L10="Yes",2,1),IF(IF(L10="Yes",2,0)+IF(M10="Yes",1,0)+INDEX(Lists!$N$18:$N$20,MATCH(N10,Lists!$M$18:$M$20,0))+IF(K10=5,2,IF(K10&gt;=4,1,0))&gt;=4,3,IF(IF(L10="Yes",2,0)+IF(M10="Yes",1,0)+INDEX(Lists!$N$18:$N$20,MATCH(N10,Lists!$M$18:$M$20,0))+IF(K10=5,2,IF(K10&gt;=4,1,0))&gt;=2,2,1))),IF($O10="Custom",1,MATCH(INDEX('2. Use-Case Library'!$L$5:$L$244,MATCH($O10,'2. Use-Case Library'!$A$5:$A$244,0)),{"Low","Medium","High"},0))),"Low","Medium","High"))</f>
        <v>Medium</v>
      </c>
      <c r="AA10" s="38" t="str">
        <f>IF(X10="","",IF(AND(X10&gt;=$C$4,Y10&gt;=$C$4),"Quick win",IF(X10&gt;=$C$4,"Strategic bet",IF(Y10&gt;=$C$4,"Fill-in","Deprioritise"))))</f>
        <v>Quick win</v>
      </c>
      <c r="AB10" s="41">
        <f>IF(X10="","",ROUND(X10*Y10*IF(Z10="High",0.85,1)*IF(W10="Redesign / standardise first",0.8,1),2))</f>
        <v>16.2</v>
      </c>
      <c r="AC10" s="42">
        <f>IF(AB10="","",RANK(AB10,$AB$8:$AB$57)+COUNTIF($AB$7:AB9,AB10))</f>
        <v>6</v>
      </c>
      <c r="AD10" s="39" t="str">
        <f>IF(AH10="","",INDEX(Lists!$AV$2:$AV$5,AH10))</f>
        <v>H1 - Now (0-6 months)</v>
      </c>
      <c r="AE10" s="43">
        <f>IF(AB10="","",ROUND(G10*12*INDEX(Lists!$F$2:$F$11,MATCH(R10,Lists!$B$2:$B$11,0)),0))</f>
        <v>720</v>
      </c>
      <c r="AF10" s="44" t="str">
        <f>IF(OR(B10="",R10=""),"",IF(O10="Custom",INDEX(Lists!$I$2:$I$11,MATCH(R10,Lists!$B$2:$B$11,0)),INDEX('2. Use-Case Library'!$H$5:$H$244,MATCH($O10,'2. Use-Case Library'!$A$5:$A$244,0))))</f>
        <v>IDP of confirmation responses with automatic agreement to records.</v>
      </c>
      <c r="AG10" s="44" t="str">
        <f>IF(OR(B10="",O10="Custom"),"",INDEX('2. Use-Case Library'!$K$5:$K$244,MATCH($O10,'2. Use-Case Library'!$A$5:$A$244,0)))</f>
        <v>ISA 505 evidence requirements.</v>
      </c>
      <c r="AH10" s="38">
        <f>IF(AB10="","",IF(AA10="Deprioritise",4,IF(W10="AI later - close data gap first",3,IF(OR(W10="Redesign / standardise first",W10="Stretch - partner or later stage",AA10="Strategic bet",Z10="High",S10=5),2,1))))</f>
        <v>1</v>
      </c>
      <c r="AI10" s="38">
        <f>IF(AC10="","",AH10*100+AC10)</f>
        <v>106</v>
      </c>
      <c r="AJ10" s="38" t="str">
        <f>IF(B10="","",IF(O10="Custom",B10,INDEX('2. Use-Case Library'!$D$5:$D$244,MATCH($O10,'2. Use-Case Library'!$A$5:$A$244,0))))</f>
        <v>Audit - bank &amp; external confirmations</v>
      </c>
    </row>
    <row r="11" ht="52" customHeight="1">
      <c r="A11" s="14" t="n">
        <v>4</v>
      </c>
      <c r="B11" s="37" t="inlineStr">
        <is>
          <t>PRO-04 | Tax research &amp; technical Q&amp;A</t>
        </is>
      </c>
      <c r="C11" s="37" t="n"/>
      <c r="D11" s="37" t="n"/>
      <c r="E11" s="37" t="n"/>
      <c r="F11" s="37" t="inlineStr">
        <is>
          <t>Medium (100 - 1,000 a month)</t>
        </is>
      </c>
      <c r="G11" s="37" t="n">
        <v>160</v>
      </c>
      <c r="H11" s="37" t="inlineStr">
        <is>
          <t>Partly - common steps, some variation</t>
        </is>
      </c>
      <c r="I11" s="37" t="inlineStr">
        <is>
          <t>Digital history available</t>
        </is>
      </c>
      <c r="J11" s="37" t="n">
        <v>4</v>
      </c>
      <c r="K11" s="37" t="n">
        <v>4</v>
      </c>
      <c r="L11" s="37" t="inlineStr">
        <is>
          <t>No</t>
        </is>
      </c>
      <c r="M11" s="37" t="inlineStr">
        <is>
          <t>No</t>
        </is>
      </c>
      <c r="N11" s="37" t="inlineStr">
        <is>
          <t>Assist - AI suggests, a person does the work</t>
        </is>
      </c>
      <c r="O11" s="38" t="str">
        <f>IF(B11="","",IFERROR(INDEX('2. Use-Case Library'!$A$5:$A$244,MATCH(B11,'2. Use-Case Library'!$M$5:$M$244,0)),"Custom"))</f>
        <v>PRO-04</v>
      </c>
      <c r="P11" s="39" t="str">
        <f>IF(B11="","",IF(O11="Custom",IF(E11="","(select function in E)",E11),INDEX('2. Use-Case Library'!$C$5:$C$244,MATCH($O11,'2. Use-Case Library'!$A$5:$A$244,0))))</f>
        <v>Core operations &amp; service delivery</v>
      </c>
      <c r="Q11" s="39" t="str">
        <f>IF(B11="","",IF(D11&lt;&gt;"",D11,IF(O11="Custom","",INDEX('2. Use-Case Library'!$F$5:$F$244,MATCH($O11,'2. Use-Case Library'!$A$5:$A$244,0)))))</f>
        <v>Answer questions from internal knowledge, policies or past work</v>
      </c>
      <c r="R11" s="39" t="str">
        <f>IF(Q11="","",INDEX(Lists!$B$2:$B$11,MATCH(Q11,Lists!$A$2:$A$11,0)))</f>
        <v>GenAI knowledge assistant (RAG on own content)</v>
      </c>
      <c r="S11" s="38">
        <f>IF(R11="","",INDEX(Lists!$C$2:$C$11,MATCH(R11,Lists!$B$2:$B$11,0)))</f>
        <v>4</v>
      </c>
      <c r="T11" s="38" t="str">
        <f>IF(R11="","",INDEX(Lists!$D$2:$D$11,MATCH(R11,Lists!$B$2:$B$11,0)))</f>
        <v>Yes</v>
      </c>
      <c r="U11" s="38" t="str">
        <f>IF(OR(R11="",I11=""),"",IF(INDEX(Lists!$N$2:$N$5,MATCH(I11,Lists!$M$2:$M$5,0))&gt;=INDEX(Lists!$E$2:$E$11,MATCH(R11,Lists!$B$2:$B$11,0)),"Data ready","Data gap"))</f>
        <v>Data ready</v>
      </c>
      <c r="V11" s="39" t="str">
        <f>IF(R11="","",IF(S11&lt;=IF('1. AI Position'!$C$30="",5,INDEX(Lists!$AI$2:$AI$5,'1. AI Position'!$C$30)),"Within current position","Beyond current position"))</f>
        <v>Within current position</v>
      </c>
      <c r="W11" s="40" t="str">
        <f>IF(B11="","",IF(OR(COUNTA(F11:N11)&lt;9,Q11=""),"Complete inputs",IF(H11="No - varies by person / team","Redesign / standardise first",IF(T11="No","Automate - AI not needed",IF(U11="Data gap","AI later - close data gap first",IF(V11="Beyond current position","Stretch - partner or later stage","AI fit now"))))))</f>
        <v>AI fit now</v>
      </c>
      <c r="X11" s="41">
        <f>IF(OR(W11="",W11="Complete inputs"),"",ROUND(0.3*INDEX(Lists!$N$8:$N$10,MATCH(F11,Lists!$M$8:$M$10,0))+0.25*IF(G11&lt;20,1,IF(G11&lt;80,2,IF(G11&lt;160,3,IF(G11&lt;480,4,5))))+0.25*J11+0.2*K11,2))</f>
        <v>3.7</v>
      </c>
      <c r="Y11" s="41">
        <f>IF(X11="","",ROUND(0.3*IF(U11="Data ready",5,IF(INDEX(Lists!$N$2:$N$5,MATCH(I11,Lists!$M$2:$M$5,0))=INDEX(Lists!$E$2:$E$11,MATCH(R11,Lists!$B$2:$B$11,0))-1,3,1))+0.25*INDEX(Lists!$N$13:$N$15,MATCH(H11,Lists!$M$13:$M$15,0))+0.25*(6-S11)+0.2*IF(V11="Within current position",5,2),2))</f>
        <v>3.75</v>
      </c>
      <c r="Z11" s="38" t="str">
        <f>IF(X11="","",CHOOSE(MAX(IF(T11="No",IF(L11="Yes",2,1),IF(IF(L11="Yes",2,0)+IF(M11="Yes",1,0)+INDEX(Lists!$N$18:$N$20,MATCH(N11,Lists!$M$18:$M$20,0))+IF(K11=5,2,IF(K11&gt;=4,1,0))&gt;=4,3,IF(IF(L11="Yes",2,0)+IF(M11="Yes",1,0)+INDEX(Lists!$N$18:$N$20,MATCH(N11,Lists!$M$18:$M$20,0))+IF(K11=5,2,IF(K11&gt;=4,1,0))&gt;=2,2,1))),IF($O11="Custom",1,MATCH(INDEX('2. Use-Case Library'!$L$5:$L$244,MATCH($O11,'2. Use-Case Library'!$A$5:$A$244,0)),{"Low","Medium","High"},0))),"Low","Medium","High"))</f>
        <v>Low</v>
      </c>
      <c r="AA11" s="38" t="str">
        <f>IF(X11="","",IF(AND(X11&gt;=$C$4,Y11&gt;=$C$4),"Quick win",IF(X11&gt;=$C$4,"Strategic bet",IF(Y11&gt;=$C$4,"Fill-in","Deprioritise"))))</f>
        <v>Quick win</v>
      </c>
      <c r="AB11" s="41">
        <f>IF(X11="","",ROUND(X11*Y11*IF(Z11="High",0.85,1)*IF(W11="Redesign / standardise first",0.8,1),2))</f>
        <v>13.88</v>
      </c>
      <c r="AC11" s="42">
        <f>IF(AB11="","",RANK(AB11,$AB$8:$AB$57)+COUNTIF($AB$7:AB10,AB11))</f>
        <v>9</v>
      </c>
      <c r="AD11" s="39" t="str">
        <f>IF(AH11="","",INDEX(Lists!$AV$2:$AV$5,AH11))</f>
        <v>H1 - Now (0-6 months)</v>
      </c>
      <c r="AE11" s="43">
        <f>IF(AB11="","",ROUND(G11*12*INDEX(Lists!$F$2:$F$11,MATCH(R11,Lists!$B$2:$B$11,0)),0))</f>
        <v>480</v>
      </c>
      <c r="AF11" s="44" t="str">
        <f>IF(OR(B11="",R11=""),"",IF(O11="Custom",INDEX(Lists!$I$2:$I$11,MATCH(R11,Lists!$B$2:$B$11,0)),INDEX('2. Use-Case Library'!$H$5:$H$244,MATCH($O11,'2. Use-Case Library'!$A$5:$A$244,0))))</f>
        <v>Grounded tax assistant over Bahrain / GCC tax law, NBR guidance and approved internal positions with citations.</v>
      </c>
      <c r="AG11" s="44" t="str">
        <f>IF(OR(B11="",O11="Custom"),"",INDEX('2. Use-Case Library'!$K$5:$K$244,MATCH($O11,'2. Use-Case Library'!$A$5:$A$244,0)))</f>
        <v>Partner review of advice; verify citations.</v>
      </c>
      <c r="AH11" s="38">
        <f>IF(AB11="","",IF(AA11="Deprioritise",4,IF(W11="AI later - close data gap first",3,IF(OR(W11="Redesign / standardise first",W11="Stretch - partner or later stage",AA11="Strategic bet",Z11="High",S11=5),2,1))))</f>
        <v>1</v>
      </c>
      <c r="AI11" s="38">
        <f>IF(AC11="","",AH11*100+AC11)</f>
        <v>109</v>
      </c>
      <c r="AJ11" s="38" t="str">
        <f>IF(B11="","",IF(O11="Custom",B11,INDEX('2. Use-Case Library'!$D$5:$D$244,MATCH($O11,'2. Use-Case Library'!$A$5:$A$244,0))))</f>
        <v>Tax research &amp; technical Q&amp;A</v>
      </c>
    </row>
    <row r="12" ht="52" customHeight="1">
      <c r="A12" s="14" t="n">
        <v>5</v>
      </c>
      <c r="B12" s="37" t="inlineStr">
        <is>
          <t>PRO-05 | Tax - VAT / tax return data preparation</t>
        </is>
      </c>
      <c r="C12" s="37" t="n"/>
      <c r="D12" s="37" t="n"/>
      <c r="E12" s="37" t="n"/>
      <c r="F12" s="37" t="inlineStr">
        <is>
          <t>High (more than 1,000 a month)</t>
        </is>
      </c>
      <c r="G12" s="37" t="n">
        <v>200</v>
      </c>
      <c r="H12" s="37" t="inlineStr">
        <is>
          <t>Yes - documented and consistent</t>
        </is>
      </c>
      <c r="I12" s="37" t="inlineStr">
        <is>
          <t>Digital history available</t>
        </is>
      </c>
      <c r="J12" s="37" t="n">
        <v>3</v>
      </c>
      <c r="K12" s="37" t="n">
        <v>4</v>
      </c>
      <c r="L12" s="37" t="inlineStr">
        <is>
          <t>No</t>
        </is>
      </c>
      <c r="M12" s="37" t="inlineStr">
        <is>
          <t>Yes</t>
        </is>
      </c>
      <c r="N12" s="37" t="inlineStr">
        <is>
          <t>Human approves each AI output</t>
        </is>
      </c>
      <c r="O12" s="38" t="str">
        <f>IF(B12="","",IFERROR(INDEX('2. Use-Case Library'!$A$5:$A$244,MATCH(B12,'2. Use-Case Library'!$M$5:$M$244,0)),"Custom"))</f>
        <v>PRO-05</v>
      </c>
      <c r="P12" s="39" t="str">
        <f>IF(B12="","",IF(O12="Custom",IF(E12="","(select function in E)",E12),INDEX('2. Use-Case Library'!$C$5:$C$244,MATCH($O12,'2. Use-Case Library'!$A$5:$A$244,0))))</f>
        <v>Core operations &amp; service delivery</v>
      </c>
      <c r="Q12" s="39" t="str">
        <f>IF(B12="","",IF(D12&lt;&gt;"",D12,IF(O12="Custom","",INDEX('2. Use-Case Library'!$F$5:$F$244,MATCH($O12,'2. Use-Case Library'!$A$5:$A$244,0)))))</f>
        <v>Move or re-key data between systems following fixed rules</v>
      </c>
      <c r="R12" s="39" t="str">
        <f>IF(Q12="","",INDEX(Lists!$B$2:$B$11,MATCH(Q12,Lists!$A$2:$A$11,0)))</f>
        <v>Workflow automation / RPA</v>
      </c>
      <c r="S12" s="38">
        <f>IF(R12="","",INDEX(Lists!$C$2:$C$11,MATCH(R12,Lists!$B$2:$B$11,0)))</f>
        <v>2</v>
      </c>
      <c r="T12" s="38" t="str">
        <f>IF(R12="","",INDEX(Lists!$D$2:$D$11,MATCH(R12,Lists!$B$2:$B$11,0)))</f>
        <v>No</v>
      </c>
      <c r="U12" s="38" t="str">
        <f>IF(OR(R12="",I12=""),"",IF(INDEX(Lists!$N$2:$N$5,MATCH(I12,Lists!$M$2:$M$5,0))&gt;=INDEX(Lists!$E$2:$E$11,MATCH(R12,Lists!$B$2:$B$11,0)),"Data ready","Data gap"))</f>
        <v>Data ready</v>
      </c>
      <c r="V12" s="39" t="str">
        <f>IF(R12="","",IF(S12&lt;=IF('1. AI Position'!$C$30="",5,INDEX(Lists!$AI$2:$AI$5,'1. AI Position'!$C$30)),"Within current position","Beyond current position"))</f>
        <v>Within current position</v>
      </c>
      <c r="W12" s="40" t="str">
        <f>IF(B12="","",IF(OR(COUNTA(F12:N12)&lt;9,Q12=""),"Complete inputs",IF(H12="No - varies by person / team","Redesign / standardise first",IF(T12="No","Automate - AI not needed",IF(U12="Data gap","AI later - close data gap first",IF(V12="Beyond current position","Stretch - partner or later stage","AI fit now"))))))</f>
        <v>Automate - AI not needed</v>
      </c>
      <c r="X12" s="41">
        <f>IF(OR(W12="",W12="Complete inputs"),"",ROUND(0.3*INDEX(Lists!$N$8:$N$10,MATCH(F12,Lists!$M$8:$M$10,0))+0.25*IF(G12&lt;20,1,IF(G12&lt;80,2,IF(G12&lt;160,3,IF(G12&lt;480,4,5))))+0.25*J12+0.2*K12,2))</f>
        <v>4.05</v>
      </c>
      <c r="Y12" s="41">
        <f>IF(X12="","",ROUND(0.3*IF(U12="Data ready",5,IF(INDEX(Lists!$N$2:$N$5,MATCH(I12,Lists!$M$2:$M$5,0))=INDEX(Lists!$E$2:$E$11,MATCH(R12,Lists!$B$2:$B$11,0))-1,3,1))+0.25*INDEX(Lists!$N$13:$N$15,MATCH(H12,Lists!$M$13:$M$15,0))+0.25*(6-S12)+0.2*IF(V12="Within current position",5,2),2))</f>
        <v>4.75</v>
      </c>
      <c r="Z12" s="38" t="str">
        <f>IF(X12="","",CHOOSE(MAX(IF(T12="No",IF(L12="Yes",2,1),IF(IF(L12="Yes",2,0)+IF(M12="Yes",1,0)+INDEX(Lists!$N$18:$N$20,MATCH(N12,Lists!$M$18:$M$20,0))+IF(K12=5,2,IF(K12&gt;=4,1,0))&gt;=4,3,IF(IF(L12="Yes",2,0)+IF(M12="Yes",1,0)+INDEX(Lists!$N$18:$N$20,MATCH(N12,Lists!$M$18:$M$20,0))+IF(K12=5,2,IF(K12&gt;=4,1,0))&gt;=2,2,1))),IF($O12="Custom",1,MATCH(INDEX('2. Use-Case Library'!$L$5:$L$244,MATCH($O12,'2. Use-Case Library'!$A$5:$A$244,0)),{"Low","Medium","High"},0))),"Low","Medium","High"))</f>
        <v>Low</v>
      </c>
      <c r="AA12" s="38" t="str">
        <f>IF(X12="","",IF(AND(X12&gt;=$C$4,Y12&gt;=$C$4),"Quick win",IF(X12&gt;=$C$4,"Strategic bet",IF(Y12&gt;=$C$4,"Fill-in","Deprioritise"))))</f>
        <v>Quick win</v>
      </c>
      <c r="AB12" s="41">
        <f>IF(X12="","",ROUND(X12*Y12*IF(Z12="High",0.85,1)*IF(W12="Redesign / standardise first",0.8,1),2))</f>
        <v>19.24</v>
      </c>
      <c r="AC12" s="42">
        <f>IF(AB12="","",RANK(AB12,$AB$8:$AB$57)+COUNTIF($AB$7:AB11,AB12))</f>
        <v>1</v>
      </c>
      <c r="AD12" s="39" t="str">
        <f>IF(AH12="","",INDEX(Lists!$AV$2:$AV$5,AH12))</f>
        <v>H1 - Now (0-6 months)</v>
      </c>
      <c r="AE12" s="43">
        <f>IF(AB12="","",ROUND(G12*12*INDEX(Lists!$F$2:$F$11,MATCH(R12,Lists!$B$2:$B$11,0)),0))</f>
        <v>1440</v>
      </c>
      <c r="AF12" s="44" t="str">
        <f>IF(OR(B12="",R12=""),"",IF(O12="Custom",INDEX(Lists!$I$2:$I$11,MATCH(R12,Lists!$B$2:$B$11,0)),INDEX('2. Use-Case Library'!$H$5:$H$244,MATCH($O12,'2. Use-Case Library'!$A$5:$A$244,0))))</f>
        <v>Automated extraction, mapping and validation of client data into returns.</v>
      </c>
      <c r="AG12" s="44" t="str">
        <f>IF(OR(B12="",O12="Custom"),"",INDEX('2. Use-Case Library'!$K$5:$K$244,MATCH($O12,'2. Use-Case Library'!$A$5:$A$244,0)))</f>
        <v>Maker-checker; client sign-off.</v>
      </c>
      <c r="AH12" s="38">
        <f>IF(AB12="","",IF(AA12="Deprioritise",4,IF(W12="AI later - close data gap first",3,IF(OR(W12="Redesign / standardise first",W12="Stretch - partner or later stage",AA12="Strategic bet",Z12="High",S12=5),2,1))))</f>
        <v>1</v>
      </c>
      <c r="AI12" s="38">
        <f>IF(AC12="","",AH12*100+AC12)</f>
        <v>101</v>
      </c>
      <c r="AJ12" s="38" t="str">
        <f>IF(B12="","",IF(O12="Custom",B12,INDEX('2. Use-Case Library'!$D$5:$D$244,MATCH($O12,'2. Use-Case Library'!$A$5:$A$244,0))))</f>
        <v>Tax - VAT / tax return data preparation</v>
      </c>
    </row>
    <row r="13" ht="52" customHeight="1">
      <c r="A13" s="14" t="n">
        <v>6</v>
      </c>
      <c r="B13" s="37" t="inlineStr">
        <is>
          <t>PRO-06 | Predictive tax scenario modelling</t>
        </is>
      </c>
      <c r="C13" s="37" t="n"/>
      <c r="D13" s="37" t="n"/>
      <c r="E13" s="37" t="n"/>
      <c r="F13" s="37" t="inlineStr">
        <is>
          <t>Low (fewer than 100 a month)</t>
        </is>
      </c>
      <c r="G13" s="37" t="n">
        <v>80</v>
      </c>
      <c r="H13" s="37" t="inlineStr">
        <is>
          <t>Partly - common steps, some variation</t>
        </is>
      </c>
      <c r="I13" s="37" t="inlineStr">
        <is>
          <t>Digital history available</t>
        </is>
      </c>
      <c r="J13" s="37" t="n">
        <v>4</v>
      </c>
      <c r="K13" s="37" t="n">
        <v>4</v>
      </c>
      <c r="L13" s="37" t="inlineStr">
        <is>
          <t>No</t>
        </is>
      </c>
      <c r="M13" s="37" t="inlineStr">
        <is>
          <t>Yes</t>
        </is>
      </c>
      <c r="N13" s="37" t="inlineStr">
        <is>
          <t>Assist - AI suggests, a person does the work</t>
        </is>
      </c>
      <c r="O13" s="38" t="str">
        <f>IF(B13="","",IFERROR(INDEX('2. Use-Case Library'!$A$5:$A$244,MATCH(B13,'2. Use-Case Library'!$M$5:$M$244,0)),"Custom"))</f>
        <v>PRO-06</v>
      </c>
      <c r="P13" s="39" t="str">
        <f>IF(B13="","",IF(O13="Custom",IF(E13="","(select function in E)",E13),INDEX('2. Use-Case Library'!$C$5:$C$244,MATCH($O13,'2. Use-Case Library'!$A$5:$A$244,0))))</f>
        <v>Core operations &amp; service delivery</v>
      </c>
      <c r="Q13" s="39" t="str">
        <f>IF(B13="","",IF(D13&lt;&gt;"",D13,IF(O13="Custom","",INDEX('2. Use-Case Library'!$F$5:$F$244,MATCH($O13,'2. Use-Case Library'!$A$5:$A$244,0)))))</f>
        <v>Forecast, score, classify or detect anomalies from historical data</v>
      </c>
      <c r="R13" s="39" t="str">
        <f>IF(Q13="","",INDEX(Lists!$B$2:$B$11,MATCH(Q13,Lists!$A$2:$A$11,0)))</f>
        <v>Predictive analytics / machine learning</v>
      </c>
      <c r="S13" s="38">
        <f>IF(R13="","",INDEX(Lists!$C$2:$C$11,MATCH(R13,Lists!$B$2:$B$11,0)))</f>
        <v>5</v>
      </c>
      <c r="T13" s="38" t="str">
        <f>IF(R13="","",INDEX(Lists!$D$2:$D$11,MATCH(R13,Lists!$B$2:$B$11,0)))</f>
        <v>Yes</v>
      </c>
      <c r="U13" s="38" t="str">
        <f>IF(OR(R13="",I13=""),"",IF(INDEX(Lists!$N$2:$N$5,MATCH(I13,Lists!$M$2:$M$5,0))&gt;=INDEX(Lists!$E$2:$E$11,MATCH(R13,Lists!$B$2:$B$11,0)),"Data ready","Data gap"))</f>
        <v>Data ready</v>
      </c>
      <c r="V13" s="39" t="str">
        <f>IF(R13="","",IF(S13&lt;=IF('1. AI Position'!$C$30="",5,INDEX(Lists!$AI$2:$AI$5,'1. AI Position'!$C$30)),"Within current position","Beyond current position"))</f>
        <v>Beyond current position</v>
      </c>
      <c r="W13" s="40" t="str">
        <f>IF(B13="","",IF(OR(COUNTA(F13:N13)&lt;9,Q13=""),"Complete inputs",IF(H13="No - varies by person / team","Redesign / standardise first",IF(T13="No","Automate - AI not needed",IF(U13="Data gap","AI later - close data gap first",IF(V13="Beyond current position","Stretch - partner or later stage","AI fit now"))))))</f>
        <v>Stretch - partner or later stage</v>
      </c>
      <c r="X13" s="41">
        <f>IF(OR(W13="",W13="Complete inputs"),"",ROUND(0.3*INDEX(Lists!$N$8:$N$10,MATCH(F13,Lists!$M$8:$M$10,0))+0.25*IF(G13&lt;20,1,IF(G13&lt;80,2,IF(G13&lt;160,3,IF(G13&lt;480,4,5))))+0.25*J13+0.2*K13,2))</f>
        <v>2.85</v>
      </c>
      <c r="Y13" s="41">
        <f>IF(X13="","",ROUND(0.3*IF(U13="Data ready",5,IF(INDEX(Lists!$N$2:$N$5,MATCH(I13,Lists!$M$2:$M$5,0))=INDEX(Lists!$E$2:$E$11,MATCH(R13,Lists!$B$2:$B$11,0))-1,3,1))+0.25*INDEX(Lists!$N$13:$N$15,MATCH(H13,Lists!$M$13:$M$15,0))+0.25*(6-S13)+0.2*IF(V13="Within current position",5,2),2))</f>
        <v>2.9</v>
      </c>
      <c r="Z13" s="38" t="str">
        <f>IF(X13="","",CHOOSE(MAX(IF(T13="No",IF(L13="Yes",2,1),IF(IF(L13="Yes",2,0)+IF(M13="Yes",1,0)+INDEX(Lists!$N$18:$N$20,MATCH(N13,Lists!$M$18:$M$20,0))+IF(K13=5,2,IF(K13&gt;=4,1,0))&gt;=4,3,IF(IF(L13="Yes",2,0)+IF(M13="Yes",1,0)+INDEX(Lists!$N$18:$N$20,MATCH(N13,Lists!$M$18:$M$20,0))+IF(K13=5,2,IF(K13&gt;=4,1,0))&gt;=2,2,1))),IF($O13="Custom",1,MATCH(INDEX('2. Use-Case Library'!$L$5:$L$244,MATCH($O13,'2. Use-Case Library'!$A$5:$A$244,0)),{"Low","Medium","High"},0))),"Low","Medium","High"))</f>
        <v>Medium</v>
      </c>
      <c r="AA13" s="38" t="str">
        <f>IF(X13="","",IF(AND(X13&gt;=$C$4,Y13&gt;=$C$4),"Quick win",IF(X13&gt;=$C$4,"Strategic bet",IF(Y13&gt;=$C$4,"Fill-in","Deprioritise"))))</f>
        <v>Deprioritise</v>
      </c>
      <c r="AB13" s="41">
        <f>IF(X13="","",ROUND(X13*Y13*IF(Z13="High",0.85,1)*IF(W13="Redesign / standardise first",0.8,1),2))</f>
        <v>8.27</v>
      </c>
      <c r="AC13" s="42">
        <f>IF(AB13="","",RANK(AB13,$AB$8:$AB$57)+COUNTIF($AB$7:AB12,AB13))</f>
        <v>20</v>
      </c>
      <c r="AD13" s="39" t="str">
        <f>IF(AH13="","",INDEX(Lists!$AV$2:$AV$5,AH13))</f>
        <v>Backlog / not prioritised</v>
      </c>
      <c r="AE13" s="43">
        <f>IF(AB13="","",ROUND(G13*12*INDEX(Lists!$F$2:$F$11,MATCH(R13,Lists!$B$2:$B$11,0)),0))</f>
        <v>192</v>
      </c>
      <c r="AF13" s="44" t="str">
        <f>IF(OR(B13="",R13=""),"",IF(O13="Custom",INDEX(Lists!$I$2:$I$11,MATCH(R13,Lists!$B$2:$B$11,0)),INDEX('2. Use-Case Library'!$H$5:$H$244,MATCH($O13,'2. Use-Case Library'!$A$5:$A$244,0))))</f>
        <v>Scenario models of tax outcomes for planning decisions (e.g., Pillar Two, CIT).</v>
      </c>
      <c r="AG13" s="44" t="str">
        <f>IF(OR(B13="",O13="Custom"),"",INDEX('2. Use-Case Library'!$K$5:$K$244,MATCH($O13,'2. Use-Case Library'!$A$5:$A$244,0)))</f>
        <v>Assumptions documented; partner review.</v>
      </c>
      <c r="AH13" s="38">
        <f>IF(AB13="","",IF(AA13="Deprioritise",4,IF(W13="AI later - close data gap first",3,IF(OR(W13="Redesign / standardise first",W13="Stretch - partner or later stage",AA13="Strategic bet",Z13="High",S13=5),2,1))))</f>
        <v>4</v>
      </c>
      <c r="AI13" s="38">
        <f>IF(AC13="","",AH13*100+AC13)</f>
        <v>420</v>
      </c>
      <c r="AJ13" s="38" t="str">
        <f>IF(B13="","",IF(O13="Custom",B13,INDEX('2. Use-Case Library'!$D$5:$D$244,MATCH($O13,'2. Use-Case Library'!$A$5:$A$244,0))))</f>
        <v>Predictive tax scenario modelling</v>
      </c>
    </row>
    <row r="14" ht="52" customHeight="1">
      <c r="A14" s="14" t="n">
        <v>7</v>
      </c>
      <c r="B14" s="37" t="inlineStr">
        <is>
          <t>XI-26 | Proposal, quotation &amp; tender responses</t>
        </is>
      </c>
      <c r="C14" s="37" t="n"/>
      <c r="D14" s="37" t="n"/>
      <c r="E14" s="37" t="n"/>
      <c r="F14" s="37" t="inlineStr">
        <is>
          <t>Medium (100 - 1,000 a month)</t>
        </is>
      </c>
      <c r="G14" s="37" t="n">
        <v>350</v>
      </c>
      <c r="H14" s="37" t="inlineStr">
        <is>
          <t>Partly - common steps, some variation</t>
        </is>
      </c>
      <c r="I14" s="37" t="inlineStr">
        <is>
          <t>Digital history available</t>
        </is>
      </c>
      <c r="J14" s="37" t="n">
        <v>4</v>
      </c>
      <c r="K14" s="37" t="n">
        <v>4</v>
      </c>
      <c r="L14" s="37" t="inlineStr">
        <is>
          <t>No</t>
        </is>
      </c>
      <c r="M14" s="37" t="inlineStr">
        <is>
          <t>No</t>
        </is>
      </c>
      <c r="N14" s="37" t="inlineStr">
        <is>
          <t>Assist - AI suggests, a person does the work</t>
        </is>
      </c>
      <c r="O14" s="38" t="str">
        <f>IF(B14="","",IFERROR(INDEX('2. Use-Case Library'!$A$5:$A$244,MATCH(B14,'2. Use-Case Library'!$M$5:$M$244,0)),"Custom"))</f>
        <v>XI-26</v>
      </c>
      <c r="P14" s="39" t="str">
        <f>IF(B14="","",IF(O14="Custom",IF(E14="","(select function in E)",E14),INDEX('2. Use-Case Library'!$C$5:$C$244,MATCH($O14,'2. Use-Case Library'!$A$5:$A$244,0))))</f>
        <v>Sales &amp; marketing</v>
      </c>
      <c r="Q14" s="39" t="str">
        <f>IF(B14="","",IF(D14&lt;&gt;"",D14,IF(O14="Custom","",INDEX('2. Use-Case Library'!$F$5:$F$244,MATCH($O14,'2. Use-Case Library'!$A$5:$A$244,0)))))</f>
        <v>Answer questions from internal knowledge, policies or past work</v>
      </c>
      <c r="R14" s="39" t="str">
        <f>IF(Q14="","",INDEX(Lists!$B$2:$B$11,MATCH(Q14,Lists!$A$2:$A$11,0)))</f>
        <v>GenAI knowledge assistant (RAG on own content)</v>
      </c>
      <c r="S14" s="38">
        <f>IF(R14="","",INDEX(Lists!$C$2:$C$11,MATCH(R14,Lists!$B$2:$B$11,0)))</f>
        <v>4</v>
      </c>
      <c r="T14" s="38" t="str">
        <f>IF(R14="","",INDEX(Lists!$D$2:$D$11,MATCH(R14,Lists!$B$2:$B$11,0)))</f>
        <v>Yes</v>
      </c>
      <c r="U14" s="38" t="str">
        <f>IF(OR(R14="",I14=""),"",IF(INDEX(Lists!$N$2:$N$5,MATCH(I14,Lists!$M$2:$M$5,0))&gt;=INDEX(Lists!$E$2:$E$11,MATCH(R14,Lists!$B$2:$B$11,0)),"Data ready","Data gap"))</f>
        <v>Data ready</v>
      </c>
      <c r="V14" s="39" t="str">
        <f>IF(R14="","",IF(S14&lt;=IF('1. AI Position'!$C$30="",5,INDEX(Lists!$AI$2:$AI$5,'1. AI Position'!$C$30)),"Within current position","Beyond current position"))</f>
        <v>Within current position</v>
      </c>
      <c r="W14" s="40" t="str">
        <f>IF(B14="","",IF(OR(COUNTA(F14:N14)&lt;9,Q14=""),"Complete inputs",IF(H14="No - varies by person / team","Redesign / standardise first",IF(T14="No","Automate - AI not needed",IF(U14="Data gap","AI later - close data gap first",IF(V14="Beyond current position","Stretch - partner or later stage","AI fit now"))))))</f>
        <v>AI fit now</v>
      </c>
      <c r="X14" s="41">
        <f>IF(OR(W14="",W14="Complete inputs"),"",ROUND(0.3*INDEX(Lists!$N$8:$N$10,MATCH(F14,Lists!$M$8:$M$10,0))+0.25*IF(G14&lt;20,1,IF(G14&lt;80,2,IF(G14&lt;160,3,IF(G14&lt;480,4,5))))+0.25*J14+0.2*K14,2))</f>
        <v>3.7</v>
      </c>
      <c r="Y14" s="41">
        <f>IF(X14="","",ROUND(0.3*IF(U14="Data ready",5,IF(INDEX(Lists!$N$2:$N$5,MATCH(I14,Lists!$M$2:$M$5,0))=INDEX(Lists!$E$2:$E$11,MATCH(R14,Lists!$B$2:$B$11,0))-1,3,1))+0.25*INDEX(Lists!$N$13:$N$15,MATCH(H14,Lists!$M$13:$M$15,0))+0.25*(6-S14)+0.2*IF(V14="Within current position",5,2),2))</f>
        <v>3.75</v>
      </c>
      <c r="Z14" s="38" t="str">
        <f>IF(X14="","",CHOOSE(MAX(IF(T14="No",IF(L14="Yes",2,1),IF(IF(L14="Yes",2,0)+IF(M14="Yes",1,0)+INDEX(Lists!$N$18:$N$20,MATCH(N14,Lists!$M$18:$M$20,0))+IF(K14=5,2,IF(K14&gt;=4,1,0))&gt;=4,3,IF(IF(L14="Yes",2,0)+IF(M14="Yes",1,0)+INDEX(Lists!$N$18:$N$20,MATCH(N14,Lists!$M$18:$M$20,0))+IF(K14=5,2,IF(K14&gt;=4,1,0))&gt;=2,2,1))),IF($O14="Custom",1,MATCH(INDEX('2. Use-Case Library'!$L$5:$L$244,MATCH($O14,'2. Use-Case Library'!$A$5:$A$244,0)),{"Low","Medium","High"},0))),"Low","Medium","High"))</f>
        <v>Low</v>
      </c>
      <c r="AA14" s="38" t="str">
        <f>IF(X14="","",IF(AND(X14&gt;=$C$4,Y14&gt;=$C$4),"Quick win",IF(X14&gt;=$C$4,"Strategic bet",IF(Y14&gt;=$C$4,"Fill-in","Deprioritise"))))</f>
        <v>Quick win</v>
      </c>
      <c r="AB14" s="41">
        <f>IF(X14="","",ROUND(X14*Y14*IF(Z14="High",0.85,1)*IF(W14="Redesign / standardise first",0.8,1),2))</f>
        <v>13.88</v>
      </c>
      <c r="AC14" s="42">
        <f>IF(AB14="","",RANK(AB14,$AB$8:$AB$57)+COUNTIF($AB$7:AB13,AB14))</f>
        <v>10</v>
      </c>
      <c r="AD14" s="39" t="str">
        <f>IF(AH14="","",INDEX(Lists!$AV$2:$AV$5,AH14))</f>
        <v>H1 - Now (0-6 months)</v>
      </c>
      <c r="AE14" s="43">
        <f>IF(AB14="","",ROUND(G14*12*INDEX(Lists!$F$2:$F$11,MATCH(R14,Lists!$B$2:$B$11,0)),0))</f>
        <v>1050</v>
      </c>
      <c r="AF14" s="44" t="str">
        <f>IF(OR(B14="",R14=""),"",IF(O14="Custom",INDEX(Lists!$I$2:$I$11,MATCH(R14,Lists!$B$2:$B$11,0)),INDEX('2. Use-Case Library'!$H$5:$H$244,MATCH($O14,'2. Use-Case Library'!$A$5:$A$244,0))))</f>
        <v>Knowledge assistant over approved credentials, CVs and past proposals to draft responses; bid manager review.</v>
      </c>
      <c r="AG14" s="44" t="str">
        <f>IF(OR(B14="",O14="Custom"),"",INDEX('2. Use-Case Library'!$K$5:$K$244,MATCH($O14,'2. Use-Case Library'!$A$5:$A$244,0)))</f>
        <v>Client confidentiality - sanitise past work; human review.</v>
      </c>
      <c r="AH14" s="38">
        <f>IF(AB14="","",IF(AA14="Deprioritise",4,IF(W14="AI later - close data gap first",3,IF(OR(W14="Redesign / standardise first",W14="Stretch - partner or later stage",AA14="Strategic bet",Z14="High",S14=5),2,1))))</f>
        <v>1</v>
      </c>
      <c r="AI14" s="38">
        <f>IF(AC14="","",AH14*100+AC14)</f>
        <v>110</v>
      </c>
      <c r="AJ14" s="38" t="str">
        <f>IF(B14="","",IF(O14="Custom",B14,INDEX('2. Use-Case Library'!$D$5:$D$244,MATCH($O14,'2. Use-Case Library'!$A$5:$A$244,0))))</f>
        <v>Proposal, quotation &amp; tender responses</v>
      </c>
    </row>
    <row r="15" ht="52" customHeight="1">
      <c r="A15" s="14" t="n">
        <v>8</v>
      </c>
      <c r="B15" s="37" t="inlineStr">
        <is>
          <t>PRO-07 | Advisory - due-diligence data-room review</t>
        </is>
      </c>
      <c r="C15" s="37" t="n"/>
      <c r="D15" s="37" t="n"/>
      <c r="E15" s="37" t="n"/>
      <c r="F15" s="37" t="inlineStr">
        <is>
          <t>Medium (100 - 1,000 a month)</t>
        </is>
      </c>
      <c r="G15" s="37" t="n">
        <v>220</v>
      </c>
      <c r="H15" s="37" t="inlineStr">
        <is>
          <t>Partly - common steps, some variation</t>
        </is>
      </c>
      <c r="I15" s="37" t="inlineStr">
        <is>
          <t>Digital history available</t>
        </is>
      </c>
      <c r="J15" s="37" t="n">
        <v>4</v>
      </c>
      <c r="K15" s="37" t="n">
        <v>4</v>
      </c>
      <c r="L15" s="37" t="inlineStr">
        <is>
          <t>No</t>
        </is>
      </c>
      <c r="M15" s="37" t="inlineStr">
        <is>
          <t>Yes</t>
        </is>
      </c>
      <c r="N15" s="37" t="inlineStr">
        <is>
          <t>Human approves each AI output</t>
        </is>
      </c>
      <c r="O15" s="38" t="str">
        <f>IF(B15="","",IFERROR(INDEX('2. Use-Case Library'!$A$5:$A$244,MATCH(B15,'2. Use-Case Library'!$M$5:$M$244,0)),"Custom"))</f>
        <v>PRO-07</v>
      </c>
      <c r="P15" s="39" t="str">
        <f>IF(B15="","",IF(O15="Custom",IF(E15="","(select function in E)",E15),INDEX('2. Use-Case Library'!$C$5:$C$244,MATCH($O15,'2. Use-Case Library'!$A$5:$A$244,0))))</f>
        <v>Core operations &amp; service delivery</v>
      </c>
      <c r="Q15" s="39" t="str">
        <f>IF(B15="","",IF(D15&lt;&gt;"",D15,IF(O15="Custom","",INDEX('2. Use-Case Library'!$F$5:$F$244,MATCH($O15,'2. Use-Case Library'!$A$5:$A$244,0)))))</f>
        <v>Draft, summarise, translate or review text</v>
      </c>
      <c r="R15" s="39" t="str">
        <f>IF(Q15="","",INDEX(Lists!$B$2:$B$11,MATCH(Q15,Lists!$A$2:$A$11,0)))</f>
        <v>Generative AI assistant (off-the-shelf)</v>
      </c>
      <c r="S15" s="38">
        <f>IF(R15="","",INDEX(Lists!$C$2:$C$11,MATCH(R15,Lists!$B$2:$B$11,0)))</f>
        <v>3</v>
      </c>
      <c r="T15" s="38" t="str">
        <f>IF(R15="","",INDEX(Lists!$D$2:$D$11,MATCH(R15,Lists!$B$2:$B$11,0)))</f>
        <v>Yes</v>
      </c>
      <c r="U15" s="38" t="str">
        <f>IF(OR(R15="",I15=""),"",IF(INDEX(Lists!$N$2:$N$5,MATCH(I15,Lists!$M$2:$M$5,0))&gt;=INDEX(Lists!$E$2:$E$11,MATCH(R15,Lists!$B$2:$B$11,0)),"Data ready","Data gap"))</f>
        <v>Data ready</v>
      </c>
      <c r="V15" s="39" t="str">
        <f>IF(R15="","",IF(S15&lt;=IF('1. AI Position'!$C$30="",5,INDEX(Lists!$AI$2:$AI$5,'1. AI Position'!$C$30)),"Within current position","Beyond current position"))</f>
        <v>Within current position</v>
      </c>
      <c r="W15" s="40" t="str">
        <f>IF(B15="","",IF(OR(COUNTA(F15:N15)&lt;9,Q15=""),"Complete inputs",IF(H15="No - varies by person / team","Redesign / standardise first",IF(T15="No","Automate - AI not needed",IF(U15="Data gap","AI later - close data gap first",IF(V15="Beyond current position","Stretch - partner or later stage","AI fit now"))))))</f>
        <v>AI fit now</v>
      </c>
      <c r="X15" s="41">
        <f>IF(OR(W15="",W15="Complete inputs"),"",ROUND(0.3*INDEX(Lists!$N$8:$N$10,MATCH(F15,Lists!$M$8:$M$10,0))+0.25*IF(G15&lt;20,1,IF(G15&lt;80,2,IF(G15&lt;160,3,IF(G15&lt;480,4,5))))+0.25*J15+0.2*K15,2))</f>
        <v>3.7</v>
      </c>
      <c r="Y15" s="41">
        <f>IF(X15="","",ROUND(0.3*IF(U15="Data ready",5,IF(INDEX(Lists!$N$2:$N$5,MATCH(I15,Lists!$M$2:$M$5,0))=INDEX(Lists!$E$2:$E$11,MATCH(R15,Lists!$B$2:$B$11,0))-1,3,1))+0.25*INDEX(Lists!$N$13:$N$15,MATCH(H15,Lists!$M$13:$M$15,0))+0.25*(6-S15)+0.2*IF(V15="Within current position",5,2),2))</f>
        <v>4</v>
      </c>
      <c r="Z15" s="38" t="str">
        <f>IF(X15="","",CHOOSE(MAX(IF(T15="No",IF(L15="Yes",2,1),IF(IF(L15="Yes",2,0)+IF(M15="Yes",1,0)+INDEX(Lists!$N$18:$N$20,MATCH(N15,Lists!$M$18:$M$20,0))+IF(K15=5,2,IF(K15&gt;=4,1,0))&gt;=4,3,IF(IF(L15="Yes",2,0)+IF(M15="Yes",1,0)+INDEX(Lists!$N$18:$N$20,MATCH(N15,Lists!$M$18:$M$20,0))+IF(K15=5,2,IF(K15&gt;=4,1,0))&gt;=2,2,1))),IF($O15="Custom",1,MATCH(INDEX('2. Use-Case Library'!$L$5:$L$244,MATCH($O15,'2. Use-Case Library'!$A$5:$A$244,0)),{"Low","Medium","High"},0))),"Low","Medium","High"))</f>
        <v>Medium</v>
      </c>
      <c r="AA15" s="38" t="str">
        <f>IF(X15="","",IF(AND(X15&gt;=$C$4,Y15&gt;=$C$4),"Quick win",IF(X15&gt;=$C$4,"Strategic bet",IF(Y15&gt;=$C$4,"Fill-in","Deprioritise"))))</f>
        <v>Quick win</v>
      </c>
      <c r="AB15" s="41">
        <f>IF(X15="","",ROUND(X15*Y15*IF(Z15="High",0.85,1)*IF(W15="Redesign / standardise first",0.8,1),2))</f>
        <v>14.8</v>
      </c>
      <c r="AC15" s="42">
        <f>IF(AB15="","",RANK(AB15,$AB$8:$AB$57)+COUNTIF($AB$7:AB14,AB15))</f>
        <v>8</v>
      </c>
      <c r="AD15" s="39" t="str">
        <f>IF(AH15="","",INDEX(Lists!$AV$2:$AV$5,AH15))</f>
        <v>H1 - Now (0-6 months)</v>
      </c>
      <c r="AE15" s="43">
        <f>IF(AB15="","",ROUND(G15*12*INDEX(Lists!$F$2:$F$11,MATCH(R15,Lists!$B$2:$B$11,0)),0))</f>
        <v>792</v>
      </c>
      <c r="AF15" s="44" t="str">
        <f>IF(OR(B15="",R15=""),"",IF(O15="Custom",INDEX(Lists!$I$2:$I$11,MATCH(R15,Lists!$B$2:$B$11,0)),INDEX('2. Use-Case Library'!$H$5:$H$244,MATCH($O15,'2. Use-Case Library'!$A$5:$A$244,0))))</f>
        <v>GenAI review of data-room documents against DD checklists with red-flag summaries.</v>
      </c>
      <c r="AG15" s="44" t="str">
        <f>IF(OR(B15="",O15="Custom"),"",INDEX('2. Use-Case Library'!$K$5:$K$244,MATCH($O15,'2. Use-Case Library'!$A$5:$A$244,0)))</f>
        <v>Confidentiality; NDA terms; verify findings.</v>
      </c>
      <c r="AH15" s="38">
        <f>IF(AB15="","",IF(AA15="Deprioritise",4,IF(W15="AI later - close data gap first",3,IF(OR(W15="Redesign / standardise first",W15="Stretch - partner or later stage",AA15="Strategic bet",Z15="High",S15=5),2,1))))</f>
        <v>1</v>
      </c>
      <c r="AI15" s="38">
        <f>IF(AC15="","",AH15*100+AC15)</f>
        <v>108</v>
      </c>
      <c r="AJ15" s="38" t="str">
        <f>IF(B15="","",IF(O15="Custom",B15,INDEX('2. Use-Case Library'!$D$5:$D$244,MATCH($O15,'2. Use-Case Library'!$A$5:$A$244,0))))</f>
        <v>Advisory - due-diligence data-room review</v>
      </c>
    </row>
    <row r="16" ht="52" customHeight="1">
      <c r="A16" s="14" t="n">
        <v>9</v>
      </c>
      <c r="B16" s="37" t="inlineStr">
        <is>
          <t>XI-54 | Meeting minutes &amp; action tracking</t>
        </is>
      </c>
      <c r="C16" s="37" t="n"/>
      <c r="D16" s="37" t="n"/>
      <c r="E16" s="37" t="n"/>
      <c r="F16" s="37" t="inlineStr">
        <is>
          <t>High (more than 1,000 a month)</t>
        </is>
      </c>
      <c r="G16" s="37" t="n">
        <v>250</v>
      </c>
      <c r="H16" s="37" t="inlineStr">
        <is>
          <t>Yes - documented and consistent</t>
        </is>
      </c>
      <c r="I16" s="37" t="inlineStr">
        <is>
          <t>Partial or paper-based</t>
        </is>
      </c>
      <c r="J16" s="37" t="n">
        <v>3</v>
      </c>
      <c r="K16" s="37" t="n">
        <v>3</v>
      </c>
      <c r="L16" s="37" t="inlineStr">
        <is>
          <t>No</t>
        </is>
      </c>
      <c r="M16" s="37" t="inlineStr">
        <is>
          <t>No</t>
        </is>
      </c>
      <c r="N16" s="37" t="inlineStr">
        <is>
          <t>Assist - AI suggests, a person does the work</t>
        </is>
      </c>
      <c r="O16" s="38" t="str">
        <f>IF(B16="","",IFERROR(INDEX('2. Use-Case Library'!$A$5:$A$244,MATCH(B16,'2. Use-Case Library'!$M$5:$M$244,0)),"Custom"))</f>
        <v>XI-54</v>
      </c>
      <c r="P16" s="39" t="str">
        <f>IF(B16="","",IF(O16="Custom",IF(E16="","(select function in E)",E16),INDEX('2. Use-Case Library'!$C$5:$C$244,MATCH($O16,'2. Use-Case Library'!$A$5:$A$244,0))))</f>
        <v>Strategy, management &amp; reporting</v>
      </c>
      <c r="Q16" s="39" t="str">
        <f>IF(B16="","",IF(D16&lt;&gt;"",D16,IF(O16="Custom","",INDEX('2. Use-Case Library'!$F$5:$F$244,MATCH($O16,'2. Use-Case Library'!$A$5:$A$244,0)))))</f>
        <v>Draft, summarise, translate or review text</v>
      </c>
      <c r="R16" s="39" t="str">
        <f>IF(Q16="","",INDEX(Lists!$B$2:$B$11,MATCH(Q16,Lists!$A$2:$A$11,0)))</f>
        <v>Generative AI assistant (off-the-shelf)</v>
      </c>
      <c r="S16" s="38">
        <f>IF(R16="","",INDEX(Lists!$C$2:$C$11,MATCH(R16,Lists!$B$2:$B$11,0)))</f>
        <v>3</v>
      </c>
      <c r="T16" s="38" t="str">
        <f>IF(R16="","",INDEX(Lists!$D$2:$D$11,MATCH(R16,Lists!$B$2:$B$11,0)))</f>
        <v>Yes</v>
      </c>
      <c r="U16" s="38" t="str">
        <f>IF(OR(R16="",I16=""),"",IF(INDEX(Lists!$N$2:$N$5,MATCH(I16,Lists!$M$2:$M$5,0))&gt;=INDEX(Lists!$E$2:$E$11,MATCH(R16,Lists!$B$2:$B$11,0)),"Data ready","Data gap"))</f>
        <v>Data ready</v>
      </c>
      <c r="V16" s="39" t="str">
        <f>IF(R16="","",IF(S16&lt;=IF('1. AI Position'!$C$30="",5,INDEX(Lists!$AI$2:$AI$5,'1. AI Position'!$C$30)),"Within current position","Beyond current position"))</f>
        <v>Within current position</v>
      </c>
      <c r="W16" s="40" t="str">
        <f>IF(B16="","",IF(OR(COUNTA(F16:N16)&lt;9,Q16=""),"Complete inputs",IF(H16="No - varies by person / team","Redesign / standardise first",IF(T16="No","Automate - AI not needed",IF(U16="Data gap","AI later - close data gap first",IF(V16="Beyond current position","Stretch - partner or later stage","AI fit now"))))))</f>
        <v>AI fit now</v>
      </c>
      <c r="X16" s="41">
        <f>IF(OR(W16="",W16="Complete inputs"),"",ROUND(0.3*INDEX(Lists!$N$8:$N$10,MATCH(F16,Lists!$M$8:$M$10,0))+0.25*IF(G16&lt;20,1,IF(G16&lt;80,2,IF(G16&lt;160,3,IF(G16&lt;480,4,5))))+0.25*J16+0.2*K16,2))</f>
        <v>3.85</v>
      </c>
      <c r="Y16" s="41">
        <f>IF(X16="","",ROUND(0.3*IF(U16="Data ready",5,IF(INDEX(Lists!$N$2:$N$5,MATCH(I16,Lists!$M$2:$M$5,0))=INDEX(Lists!$E$2:$E$11,MATCH(R16,Lists!$B$2:$B$11,0))-1,3,1))+0.25*INDEX(Lists!$N$13:$N$15,MATCH(H16,Lists!$M$13:$M$15,0))+0.25*(6-S16)+0.2*IF(V16="Within current position",5,2),2))</f>
        <v>4.5</v>
      </c>
      <c r="Z16" s="38" t="str">
        <f>IF(X16="","",CHOOSE(MAX(IF(T16="No",IF(L16="Yes",2,1),IF(IF(L16="Yes",2,0)+IF(M16="Yes",1,0)+INDEX(Lists!$N$18:$N$20,MATCH(N16,Lists!$M$18:$M$20,0))+IF(K16=5,2,IF(K16&gt;=4,1,0))&gt;=4,3,IF(IF(L16="Yes",2,0)+IF(M16="Yes",1,0)+INDEX(Lists!$N$18:$N$20,MATCH(N16,Lists!$M$18:$M$20,0))+IF(K16=5,2,IF(K16&gt;=4,1,0))&gt;=2,2,1))),IF($O16="Custom",1,MATCH(INDEX('2. Use-Case Library'!$L$5:$L$244,MATCH($O16,'2. Use-Case Library'!$A$5:$A$244,0)),{"Low","Medium","High"},0))),"Low","Medium","High"))</f>
        <v>Low</v>
      </c>
      <c r="AA16" s="38" t="str">
        <f>IF(X16="","",IF(AND(X16&gt;=$C$4,Y16&gt;=$C$4),"Quick win",IF(X16&gt;=$C$4,"Strategic bet",IF(Y16&gt;=$C$4,"Fill-in","Deprioritise"))))</f>
        <v>Quick win</v>
      </c>
      <c r="AB16" s="41">
        <f>IF(X16="","",ROUND(X16*Y16*IF(Z16="High",0.85,1)*IF(W16="Redesign / standardise first",0.8,1),2))</f>
        <v>17.33</v>
      </c>
      <c r="AC16" s="42">
        <f>IF(AB16="","",RANK(AB16,$AB$8:$AB$57)+COUNTIF($AB$7:AB15,AB16))</f>
        <v>3</v>
      </c>
      <c r="AD16" s="39" t="str">
        <f>IF(AH16="","",INDEX(Lists!$AV$2:$AV$5,AH16))</f>
        <v>H1 - Now (0-6 months)</v>
      </c>
      <c r="AE16" s="43">
        <f>IF(AB16="","",ROUND(G16*12*INDEX(Lists!$F$2:$F$11,MATCH(R16,Lists!$B$2:$B$11,0)),0))</f>
        <v>900</v>
      </c>
      <c r="AF16" s="44" t="str">
        <f>IF(OR(B16="",R16=""),"",IF(O16="Custom",INDEX(Lists!$I$2:$I$11,MATCH(R16,Lists!$B$2:$B$11,0)),INDEX('2. Use-Case Library'!$H$5:$H$244,MATCH($O16,'2. Use-Case Library'!$A$5:$A$244,0))))</f>
        <v>Enterprise meeting assistant for transcripts, summaries and action tracking (with participant notice).</v>
      </c>
      <c r="AG16" s="44" t="str">
        <f>IF(OR(B16="",O16="Custom"),"",INDEX('2. Use-Case Library'!$K$5:$K$244,MATCH($O16,'2. Use-Case Library'!$A$5:$A$244,0)))</f>
        <v>Participant consent; confidential meetings excluded.</v>
      </c>
      <c r="AH16" s="38">
        <f>IF(AB16="","",IF(AA16="Deprioritise",4,IF(W16="AI later - close data gap first",3,IF(OR(W16="Redesign / standardise first",W16="Stretch - partner or later stage",AA16="Strategic bet",Z16="High",S16=5),2,1))))</f>
        <v>1</v>
      </c>
      <c r="AI16" s="38">
        <f>IF(AC16="","",AH16*100+AC16)</f>
        <v>103</v>
      </c>
      <c r="AJ16" s="38" t="str">
        <f>IF(B16="","",IF(O16="Custom",B16,INDEX('2. Use-Case Library'!$D$5:$D$244,MATCH($O16,'2. Use-Case Library'!$A$5:$A$244,0))))</f>
        <v>Meeting minutes &amp; action tracking</v>
      </c>
    </row>
    <row r="17" ht="52" customHeight="1">
      <c r="A17" s="14" t="n">
        <v>10</v>
      </c>
      <c r="B17" s="37" t="inlineStr">
        <is>
          <t>PRO-15 | Methodology &amp; knowledge Q&amp;A</t>
        </is>
      </c>
      <c r="C17" s="37" t="n"/>
      <c r="D17" s="37" t="n"/>
      <c r="E17" s="37" t="n"/>
      <c r="F17" s="37" t="inlineStr">
        <is>
          <t>High (more than 1,000 a month)</t>
        </is>
      </c>
      <c r="G17" s="37" t="n">
        <v>200</v>
      </c>
      <c r="H17" s="37" t="inlineStr">
        <is>
          <t>Partly - common steps, some variation</t>
        </is>
      </c>
      <c r="I17" s="37" t="inlineStr">
        <is>
          <t>Digital history available</t>
        </is>
      </c>
      <c r="J17" s="37" t="n">
        <v>4</v>
      </c>
      <c r="K17" s="37" t="n">
        <v>3</v>
      </c>
      <c r="L17" s="37" t="inlineStr">
        <is>
          <t>No</t>
        </is>
      </c>
      <c r="M17" s="37" t="inlineStr">
        <is>
          <t>No</t>
        </is>
      </c>
      <c r="N17" s="37" t="inlineStr">
        <is>
          <t>Assist - AI suggests, a person does the work</t>
        </is>
      </c>
      <c r="O17" s="38" t="str">
        <f>IF(B17="","",IFERROR(INDEX('2. Use-Case Library'!$A$5:$A$244,MATCH(B17,'2. Use-Case Library'!$M$5:$M$244,0)),"Custom"))</f>
        <v>PRO-15</v>
      </c>
      <c r="P17" s="39" t="str">
        <f>IF(B17="","",IF(O17="Custom",IF(E17="","(select function in E)",E17),INDEX('2. Use-Case Library'!$C$5:$C$244,MATCH($O17,'2. Use-Case Library'!$A$5:$A$244,0))))</f>
        <v>Knowledge &amp; collaboration</v>
      </c>
      <c r="Q17" s="39" t="str">
        <f>IF(B17="","",IF(D17&lt;&gt;"",D17,IF(O17="Custom","",INDEX('2. Use-Case Library'!$F$5:$F$244,MATCH($O17,'2. Use-Case Library'!$A$5:$A$244,0)))))</f>
        <v>Answer questions from internal knowledge, policies or past work</v>
      </c>
      <c r="R17" s="39" t="str">
        <f>IF(Q17="","",INDEX(Lists!$B$2:$B$11,MATCH(Q17,Lists!$A$2:$A$11,0)))</f>
        <v>GenAI knowledge assistant (RAG on own content)</v>
      </c>
      <c r="S17" s="38">
        <f>IF(R17="","",INDEX(Lists!$C$2:$C$11,MATCH(R17,Lists!$B$2:$B$11,0)))</f>
        <v>4</v>
      </c>
      <c r="T17" s="38" t="str">
        <f>IF(R17="","",INDEX(Lists!$D$2:$D$11,MATCH(R17,Lists!$B$2:$B$11,0)))</f>
        <v>Yes</v>
      </c>
      <c r="U17" s="38" t="str">
        <f>IF(OR(R17="",I17=""),"",IF(INDEX(Lists!$N$2:$N$5,MATCH(I17,Lists!$M$2:$M$5,0))&gt;=INDEX(Lists!$E$2:$E$11,MATCH(R17,Lists!$B$2:$B$11,0)),"Data ready","Data gap"))</f>
        <v>Data ready</v>
      </c>
      <c r="V17" s="39" t="str">
        <f>IF(R17="","",IF(S17&lt;=IF('1. AI Position'!$C$30="",5,INDEX(Lists!$AI$2:$AI$5,'1. AI Position'!$C$30)),"Within current position","Beyond current position"))</f>
        <v>Within current position</v>
      </c>
      <c r="W17" s="40" t="str">
        <f>IF(B17="","",IF(OR(COUNTA(F17:N17)&lt;9,Q17=""),"Complete inputs",IF(H17="No - varies by person / team","Redesign / standardise first",IF(T17="No","Automate - AI not needed",IF(U17="Data gap","AI later - close data gap first",IF(V17="Beyond current position","Stretch - partner or later stage","AI fit now"))))))</f>
        <v>AI fit now</v>
      </c>
      <c r="X17" s="41">
        <f>IF(OR(W17="",W17="Complete inputs"),"",ROUND(0.3*INDEX(Lists!$N$8:$N$10,MATCH(F17,Lists!$M$8:$M$10,0))+0.25*IF(G17&lt;20,1,IF(G17&lt;80,2,IF(G17&lt;160,3,IF(G17&lt;480,4,5))))+0.25*J17+0.2*K17,2))</f>
        <v>4.1</v>
      </c>
      <c r="Y17" s="41">
        <f>IF(X17="","",ROUND(0.3*IF(U17="Data ready",5,IF(INDEX(Lists!$N$2:$N$5,MATCH(I17,Lists!$M$2:$M$5,0))=INDEX(Lists!$E$2:$E$11,MATCH(R17,Lists!$B$2:$B$11,0))-1,3,1))+0.25*INDEX(Lists!$N$13:$N$15,MATCH(H17,Lists!$M$13:$M$15,0))+0.25*(6-S17)+0.2*IF(V17="Within current position",5,2),2))</f>
        <v>3.75</v>
      </c>
      <c r="Z17" s="38" t="str">
        <f>IF(X17="","",CHOOSE(MAX(IF(T17="No",IF(L17="Yes",2,1),IF(IF(L17="Yes",2,0)+IF(M17="Yes",1,0)+INDEX(Lists!$N$18:$N$20,MATCH(N17,Lists!$M$18:$M$20,0))+IF(K17=5,2,IF(K17&gt;=4,1,0))&gt;=4,3,IF(IF(L17="Yes",2,0)+IF(M17="Yes",1,0)+INDEX(Lists!$N$18:$N$20,MATCH(N17,Lists!$M$18:$M$20,0))+IF(K17=5,2,IF(K17&gt;=4,1,0))&gt;=2,2,1))),IF($O17="Custom",1,MATCH(INDEX('2. Use-Case Library'!$L$5:$L$244,MATCH($O17,'2. Use-Case Library'!$A$5:$A$244,0)),{"Low","Medium","High"},0))),"Low","Medium","High"))</f>
        <v>Low</v>
      </c>
      <c r="AA17" s="38" t="str">
        <f>IF(X17="","",IF(AND(X17&gt;=$C$4,Y17&gt;=$C$4),"Quick win",IF(X17&gt;=$C$4,"Strategic bet",IF(Y17&gt;=$C$4,"Fill-in","Deprioritise"))))</f>
        <v>Quick win</v>
      </c>
      <c r="AB17" s="41">
        <f>IF(X17="","",ROUND(X17*Y17*IF(Z17="High",0.85,1)*IF(W17="Redesign / standardise first",0.8,1),2))</f>
        <v>15.38</v>
      </c>
      <c r="AC17" s="42">
        <f>IF(AB17="","",RANK(AB17,$AB$8:$AB$57)+COUNTIF($AB$7:AB16,AB17))</f>
        <v>7</v>
      </c>
      <c r="AD17" s="39" t="str">
        <f>IF(AH17="","",INDEX(Lists!$AV$2:$AV$5,AH17))</f>
        <v>H1 - Now (0-6 months)</v>
      </c>
      <c r="AE17" s="43">
        <f>IF(AB17="","",ROUND(G17*12*INDEX(Lists!$F$2:$F$11,MATCH(R17,Lists!$B$2:$B$11,0)),0))</f>
        <v>600</v>
      </c>
      <c r="AF17" s="44" t="str">
        <f>IF(OR(B17="",R17=""),"",IF(O17="Custom",INDEX(Lists!$I$2:$I$11,MATCH(R17,Lists!$B$2:$B$11,0)),INDEX('2. Use-Case Library'!$H$5:$H$244,MATCH($O17,'2. Use-Case Library'!$A$5:$A$244,0))))</f>
        <v>Grounded assistant over firm methodologies and sanitised precedents.</v>
      </c>
      <c r="AG17" s="44" t="str">
        <f>IF(OR(B17="",O17="Custom"),"",INDEX('2. Use-Case Library'!$K$5:$K$244,MATCH($O17,'2. Use-Case Library'!$A$5:$A$244,0)))</f>
        <v>Client confidentiality in precedents.</v>
      </c>
      <c r="AH17" s="38">
        <f>IF(AB17="","",IF(AA17="Deprioritise",4,IF(W17="AI later - close data gap first",3,IF(OR(W17="Redesign / standardise first",W17="Stretch - partner or later stage",AA17="Strategic bet",Z17="High",S17=5),2,1))))</f>
        <v>1</v>
      </c>
      <c r="AI17" s="38">
        <f>IF(AC17="","",AH17*100+AC17)</f>
        <v>107</v>
      </c>
      <c r="AJ17" s="38" t="str">
        <f>IF(B17="","",IF(O17="Custom",B17,INDEX('2. Use-Case Library'!$D$5:$D$244,MATCH($O17,'2. Use-Case Library'!$A$5:$A$244,0))))</f>
        <v>Methodology &amp; knowledge Q&amp;A</v>
      </c>
    </row>
    <row r="18" ht="52" customHeight="1">
      <c r="A18" s="14" t="n">
        <v>11</v>
      </c>
      <c r="B18" s="37" t="inlineStr">
        <is>
          <t>PRO-08 | Client acceptance &amp; independence checks</t>
        </is>
      </c>
      <c r="C18" s="37" t="n"/>
      <c r="D18" s="37" t="n"/>
      <c r="E18" s="37" t="n"/>
      <c r="F18" s="37" t="inlineStr">
        <is>
          <t>Medium (100 - 1,000 a month)</t>
        </is>
      </c>
      <c r="G18" s="37" t="n">
        <v>140</v>
      </c>
      <c r="H18" s="37" t="inlineStr">
        <is>
          <t>Yes - documented and consistent</t>
        </is>
      </c>
      <c r="I18" s="37" t="inlineStr">
        <is>
          <t>Digital history available</t>
        </is>
      </c>
      <c r="J18" s="37" t="n">
        <v>4</v>
      </c>
      <c r="K18" s="37" t="n">
        <v>4</v>
      </c>
      <c r="L18" s="37" t="inlineStr">
        <is>
          <t>No</t>
        </is>
      </c>
      <c r="M18" s="37" t="inlineStr">
        <is>
          <t>Yes</t>
        </is>
      </c>
      <c r="N18" s="37" t="inlineStr">
        <is>
          <t>Human approves each AI output</t>
        </is>
      </c>
      <c r="O18" s="38" t="str">
        <f>IF(B18="","",IFERROR(INDEX('2. Use-Case Library'!$A$5:$A$244,MATCH(B18,'2. Use-Case Library'!$M$5:$M$244,0)),"Custom"))</f>
        <v>PRO-08</v>
      </c>
      <c r="P18" s="39" t="str">
        <f>IF(B18="","",IF(O18="Custom",IF(E18="","(select function in E)",E18),INDEX('2. Use-Case Library'!$C$5:$C$244,MATCH($O18,'2. Use-Case Library'!$A$5:$A$244,0))))</f>
        <v>Risk, compliance &amp; legal</v>
      </c>
      <c r="Q18" s="39" t="str">
        <f>IF(B18="","",IF(D18&lt;&gt;"",D18,IF(O18="Custom","",INDEX('2. Use-Case Library'!$F$5:$F$244,MATCH($O18,'2. Use-Case Library'!$A$5:$A$244,0)))))</f>
        <v>Check or approve items against fixed criteria (rules, thresholds, checklists)</v>
      </c>
      <c r="R18" s="39" t="str">
        <f>IF(Q18="","",INDEX(Lists!$B$2:$B$11,MATCH(Q18,Lists!$A$2:$A$11,0)))</f>
        <v>Rules engine / workflow automation</v>
      </c>
      <c r="S18" s="38">
        <f>IF(R18="","",INDEX(Lists!$C$2:$C$11,MATCH(R18,Lists!$B$2:$B$11,0)))</f>
        <v>2</v>
      </c>
      <c r="T18" s="38" t="str">
        <f>IF(R18="","",INDEX(Lists!$D$2:$D$11,MATCH(R18,Lists!$B$2:$B$11,0)))</f>
        <v>No</v>
      </c>
      <c r="U18" s="38" t="str">
        <f>IF(OR(R18="",I18=""),"",IF(INDEX(Lists!$N$2:$N$5,MATCH(I18,Lists!$M$2:$M$5,0))&gt;=INDEX(Lists!$E$2:$E$11,MATCH(R18,Lists!$B$2:$B$11,0)),"Data ready","Data gap"))</f>
        <v>Data ready</v>
      </c>
      <c r="V18" s="39" t="str">
        <f>IF(R18="","",IF(S18&lt;=IF('1. AI Position'!$C$30="",5,INDEX(Lists!$AI$2:$AI$5,'1. AI Position'!$C$30)),"Within current position","Beyond current position"))</f>
        <v>Within current position</v>
      </c>
      <c r="W18" s="40" t="str">
        <f>IF(B18="","",IF(OR(COUNTA(F18:N18)&lt;9,Q18=""),"Complete inputs",IF(H18="No - varies by person / team","Redesign / standardise first",IF(T18="No","Automate - AI not needed",IF(U18="Data gap","AI later - close data gap first",IF(V18="Beyond current position","Stretch - partner or later stage","AI fit now"))))))</f>
        <v>Automate - AI not needed</v>
      </c>
      <c r="X18" s="41">
        <f>IF(OR(W18="",W18="Complete inputs"),"",ROUND(0.3*INDEX(Lists!$N$8:$N$10,MATCH(F18,Lists!$M$8:$M$10,0))+0.25*IF(G18&lt;20,1,IF(G18&lt;80,2,IF(G18&lt;160,3,IF(G18&lt;480,4,5))))+0.25*J18+0.2*K18,2))</f>
        <v>3.45</v>
      </c>
      <c r="Y18" s="41">
        <f>IF(X18="","",ROUND(0.3*IF(U18="Data ready",5,IF(INDEX(Lists!$N$2:$N$5,MATCH(I18,Lists!$M$2:$M$5,0))=INDEX(Lists!$E$2:$E$11,MATCH(R18,Lists!$B$2:$B$11,0))-1,3,1))+0.25*INDEX(Lists!$N$13:$N$15,MATCH(H18,Lists!$M$13:$M$15,0))+0.25*(6-S18)+0.2*IF(V18="Within current position",5,2),2))</f>
        <v>4.75</v>
      </c>
      <c r="Z18" s="38" t="str">
        <f>IF(X18="","",CHOOSE(MAX(IF(T18="No",IF(L18="Yes",2,1),IF(IF(L18="Yes",2,0)+IF(M18="Yes",1,0)+INDEX(Lists!$N$18:$N$20,MATCH(N18,Lists!$M$18:$M$20,0))+IF(K18=5,2,IF(K18&gt;=4,1,0))&gt;=4,3,IF(IF(L18="Yes",2,0)+IF(M18="Yes",1,0)+INDEX(Lists!$N$18:$N$20,MATCH(N18,Lists!$M$18:$M$20,0))+IF(K18=5,2,IF(K18&gt;=4,1,0))&gt;=2,2,1))),IF($O18="Custom",1,MATCH(INDEX('2. Use-Case Library'!$L$5:$L$244,MATCH($O18,'2. Use-Case Library'!$A$5:$A$244,0)),{"Low","Medium","High"},0))),"Low","Medium","High"))</f>
        <v>Low</v>
      </c>
      <c r="AA18" s="38" t="str">
        <f>IF(X18="","",IF(AND(X18&gt;=$C$4,Y18&gt;=$C$4),"Quick win",IF(X18&gt;=$C$4,"Strategic bet",IF(Y18&gt;=$C$4,"Fill-in","Deprioritise"))))</f>
        <v>Quick win</v>
      </c>
      <c r="AB18" s="41">
        <f>IF(X18="","",ROUND(X18*Y18*IF(Z18="High",0.85,1)*IF(W18="Redesign / standardise first",0.8,1),2))</f>
        <v>16.39</v>
      </c>
      <c r="AC18" s="42">
        <f>IF(AB18="","",RANK(AB18,$AB$8:$AB$57)+COUNTIF($AB$7:AB17,AB18))</f>
        <v>5</v>
      </c>
      <c r="AD18" s="39" t="str">
        <f>IF(AH18="","",INDEX(Lists!$AV$2:$AV$5,AH18))</f>
        <v>H1 - Now (0-6 months)</v>
      </c>
      <c r="AE18" s="43">
        <f>IF(AB18="","",ROUND(G18*12*INDEX(Lists!$F$2:$F$11,MATCH(R18,Lists!$B$2:$B$11,0)),0))</f>
        <v>840</v>
      </c>
      <c r="AF18" s="44" t="str">
        <f>IF(OR(B18="",R18=""),"",IF(O18="Custom",INDEX(Lists!$I$2:$I$11,MATCH(R18,Lists!$B$2:$B$11,0)),INDEX('2. Use-Case Library'!$H$5:$H$244,MATCH($O18,'2. Use-Case Library'!$A$5:$A$244,0))))</f>
        <v>Workflow with rules-based independence and conflict checks against the client database.</v>
      </c>
      <c r="AG18" s="44" t="str">
        <f>IF(OR(B18="",O18="Custom"),"",INDEX('2. Use-Case Library'!$K$5:$K$244,MATCH($O18,'2. Use-Case Library'!$A$5:$A$244,0)))</f>
        <v>IESBA Code; ISQM 1.</v>
      </c>
      <c r="AH18" s="38">
        <f>IF(AB18="","",IF(AA18="Deprioritise",4,IF(W18="AI later - close data gap first",3,IF(OR(W18="Redesign / standardise first",W18="Stretch - partner or later stage",AA18="Strategic bet",Z18="High",S18=5),2,1))))</f>
        <v>1</v>
      </c>
      <c r="AI18" s="38">
        <f>IF(AC18="","",AH18*100+AC18)</f>
        <v>105</v>
      </c>
      <c r="AJ18" s="38" t="str">
        <f>IF(B18="","",IF(O18="Custom",B18,INDEX('2. Use-Case Library'!$D$5:$D$244,MATCH($O18,'2. Use-Case Library'!$A$5:$A$244,0))))</f>
        <v>Client acceptance &amp; independence checks</v>
      </c>
    </row>
    <row r="19" ht="52" customHeight="1">
      <c r="A19" s="14" t="n">
        <v>12</v>
      </c>
      <c r="B19" s="37" t="inlineStr">
        <is>
          <t>PRO-09 | Timesheets, WIP &amp; billing</t>
        </is>
      </c>
      <c r="C19" s="37" t="n"/>
      <c r="D19" s="37" t="n"/>
      <c r="E19" s="37" t="n"/>
      <c r="F19" s="37" t="inlineStr">
        <is>
          <t>High (more than 1,000 a month)</t>
        </is>
      </c>
      <c r="G19" s="37" t="n">
        <v>180</v>
      </c>
      <c r="H19" s="37" t="inlineStr">
        <is>
          <t>Yes - documented and consistent</t>
        </is>
      </c>
      <c r="I19" s="37" t="inlineStr">
        <is>
          <t>Digital history with recorded outcomes</t>
        </is>
      </c>
      <c r="J19" s="37" t="n">
        <v>3</v>
      </c>
      <c r="K19" s="37" t="n">
        <v>3</v>
      </c>
      <c r="L19" s="37" t="inlineStr">
        <is>
          <t>No</t>
        </is>
      </c>
      <c r="M19" s="37" t="inlineStr">
        <is>
          <t>No</t>
        </is>
      </c>
      <c r="N19" s="37" t="inlineStr">
        <is>
          <t>Human approves each AI output</t>
        </is>
      </c>
      <c r="O19" s="38" t="str">
        <f>IF(B19="","",IFERROR(INDEX('2. Use-Case Library'!$A$5:$A$244,MATCH(B19,'2. Use-Case Library'!$M$5:$M$244,0)),"Custom"))</f>
        <v>PRO-09</v>
      </c>
      <c r="P19" s="39" t="str">
        <f>IF(B19="","",IF(O19="Custom",IF(E19="","(select function in E)",E19),INDEX('2. Use-Case Library'!$C$5:$C$244,MATCH($O19,'2. Use-Case Library'!$A$5:$A$244,0))))</f>
        <v>Finance &amp; accounting</v>
      </c>
      <c r="Q19" s="39" t="str">
        <f>IF(B19="","",IF(D19&lt;&gt;"",D19,IF(O19="Custom","",INDEX('2. Use-Case Library'!$F$5:$F$244,MATCH($O19,'2. Use-Case Library'!$A$5:$A$244,0)))))</f>
        <v>Move or re-key data between systems following fixed rules</v>
      </c>
      <c r="R19" s="39" t="str">
        <f>IF(Q19="","",INDEX(Lists!$B$2:$B$11,MATCH(Q19,Lists!$A$2:$A$11,0)))</f>
        <v>Workflow automation / RPA</v>
      </c>
      <c r="S19" s="38">
        <f>IF(R19="","",INDEX(Lists!$C$2:$C$11,MATCH(R19,Lists!$B$2:$B$11,0)))</f>
        <v>2</v>
      </c>
      <c r="T19" s="38" t="str">
        <f>IF(R19="","",INDEX(Lists!$D$2:$D$11,MATCH(R19,Lists!$B$2:$B$11,0)))</f>
        <v>No</v>
      </c>
      <c r="U19" s="38" t="str">
        <f>IF(OR(R19="",I19=""),"",IF(INDEX(Lists!$N$2:$N$5,MATCH(I19,Lists!$M$2:$M$5,0))&gt;=INDEX(Lists!$E$2:$E$11,MATCH(R19,Lists!$B$2:$B$11,0)),"Data ready","Data gap"))</f>
        <v>Data ready</v>
      </c>
      <c r="V19" s="39" t="str">
        <f>IF(R19="","",IF(S19&lt;=IF('1. AI Position'!$C$30="",5,INDEX(Lists!$AI$2:$AI$5,'1. AI Position'!$C$30)),"Within current position","Beyond current position"))</f>
        <v>Within current position</v>
      </c>
      <c r="W19" s="40" t="str">
        <f>IF(B19="","",IF(OR(COUNTA(F19:N19)&lt;9,Q19=""),"Complete inputs",IF(H19="No - varies by person / team","Redesign / standardise first",IF(T19="No","Automate - AI not needed",IF(U19="Data gap","AI later - close data gap first",IF(V19="Beyond current position","Stretch - partner or later stage","AI fit now"))))))</f>
        <v>Automate - AI not needed</v>
      </c>
      <c r="X19" s="41">
        <f>IF(OR(W19="",W19="Complete inputs"),"",ROUND(0.3*INDEX(Lists!$N$8:$N$10,MATCH(F19,Lists!$M$8:$M$10,0))+0.25*IF(G19&lt;20,1,IF(G19&lt;80,2,IF(G19&lt;160,3,IF(G19&lt;480,4,5))))+0.25*J19+0.2*K19,2))</f>
        <v>3.85</v>
      </c>
      <c r="Y19" s="41">
        <f>IF(X19="","",ROUND(0.3*IF(U19="Data ready",5,IF(INDEX(Lists!$N$2:$N$5,MATCH(I19,Lists!$M$2:$M$5,0))=INDEX(Lists!$E$2:$E$11,MATCH(R19,Lists!$B$2:$B$11,0))-1,3,1))+0.25*INDEX(Lists!$N$13:$N$15,MATCH(H19,Lists!$M$13:$M$15,0))+0.25*(6-S19)+0.2*IF(V19="Within current position",5,2),2))</f>
        <v>4.75</v>
      </c>
      <c r="Z19" s="38" t="str">
        <f>IF(X19="","",CHOOSE(MAX(IF(T19="No",IF(L19="Yes",2,1),IF(IF(L19="Yes",2,0)+IF(M19="Yes",1,0)+INDEX(Lists!$N$18:$N$20,MATCH(N19,Lists!$M$18:$M$20,0))+IF(K19=5,2,IF(K19&gt;=4,1,0))&gt;=4,3,IF(IF(L19="Yes",2,0)+IF(M19="Yes",1,0)+INDEX(Lists!$N$18:$N$20,MATCH(N19,Lists!$M$18:$M$20,0))+IF(K19=5,2,IF(K19&gt;=4,1,0))&gt;=2,2,1))),IF($O19="Custom",1,MATCH(INDEX('2. Use-Case Library'!$L$5:$L$244,MATCH($O19,'2. Use-Case Library'!$A$5:$A$244,0)),{"Low","Medium","High"},0))),"Low","Medium","High"))</f>
        <v>Low</v>
      </c>
      <c r="AA19" s="38" t="str">
        <f>IF(X19="","",IF(AND(X19&gt;=$C$4,Y19&gt;=$C$4),"Quick win",IF(X19&gt;=$C$4,"Strategic bet",IF(Y19&gt;=$C$4,"Fill-in","Deprioritise"))))</f>
        <v>Quick win</v>
      </c>
      <c r="AB19" s="41">
        <f>IF(X19="","",ROUND(X19*Y19*IF(Z19="High",0.85,1)*IF(W19="Redesign / standardise first",0.8,1),2))</f>
        <v>18.29</v>
      </c>
      <c r="AC19" s="42">
        <f>IF(AB19="","",RANK(AB19,$AB$8:$AB$57)+COUNTIF($AB$7:AB18,AB19))</f>
        <v>2</v>
      </c>
      <c r="AD19" s="39" t="str">
        <f>IF(AH19="","",INDEX(Lists!$AV$2:$AV$5,AH19))</f>
        <v>H1 - Now (0-6 months)</v>
      </c>
      <c r="AE19" s="43">
        <f>IF(AB19="","",ROUND(G19*12*INDEX(Lists!$F$2:$F$11,MATCH(R19,Lists!$B$2:$B$11,0)),0))</f>
        <v>1296</v>
      </c>
      <c r="AF19" s="44" t="str">
        <f>IF(OR(B19="",R19=""),"",IF(O19="Custom",INDEX(Lists!$I$2:$I$11,MATCH(R19,Lists!$B$2:$B$11,0)),INDEX('2. Use-Case Library'!$H$5:$H$244,MATCH($O19,'2. Use-Case Library'!$A$5:$A$244,0))))</f>
        <v>Automated timesheet reminders, WIP reports and draft billing narratives.</v>
      </c>
      <c r="AG19" s="44" t="str">
        <f>IF(OR(B19="",O19="Custom"),"",INDEX('2. Use-Case Library'!$K$5:$K$244,MATCH($O19,'2. Use-Case Library'!$A$5:$A$244,0)))</f>
        <v>-</v>
      </c>
      <c r="AH19" s="38">
        <f>IF(AB19="","",IF(AA19="Deprioritise",4,IF(W19="AI later - close data gap first",3,IF(OR(W19="Redesign / standardise first",W19="Stretch - partner or later stage",AA19="Strategic bet",Z19="High",S19=5),2,1))))</f>
        <v>1</v>
      </c>
      <c r="AI19" s="38">
        <f>IF(AC19="","",AH19*100+AC19)</f>
        <v>102</v>
      </c>
      <c r="AJ19" s="38" t="str">
        <f>IF(B19="","",IF(O19="Custom",B19,INDEX('2. Use-Case Library'!$D$5:$D$244,MATCH($O19,'2. Use-Case Library'!$A$5:$A$244,0))))</f>
        <v>Timesheets, WIP &amp; billing</v>
      </c>
    </row>
    <row r="20" ht="52" customHeight="1">
      <c r="A20" s="14" t="n">
        <v>13</v>
      </c>
      <c r="B20" s="37" t="inlineStr">
        <is>
          <t>XI-09 | Expense claims audit</t>
        </is>
      </c>
      <c r="C20" s="37" t="n"/>
      <c r="D20" s="37" t="n"/>
      <c r="E20" s="37" t="n"/>
      <c r="F20" s="37" t="inlineStr">
        <is>
          <t>Medium (100 - 1,000 a month)</t>
        </is>
      </c>
      <c r="G20" s="37" t="n">
        <v>60</v>
      </c>
      <c r="H20" s="37" t="inlineStr">
        <is>
          <t>Yes - documented and consistent</t>
        </is>
      </c>
      <c r="I20" s="37" t="inlineStr">
        <is>
          <t>Digital history available</t>
        </is>
      </c>
      <c r="J20" s="37" t="n">
        <v>2</v>
      </c>
      <c r="K20" s="37" t="n">
        <v>2</v>
      </c>
      <c r="L20" s="37" t="inlineStr">
        <is>
          <t>No</t>
        </is>
      </c>
      <c r="M20" s="37" t="inlineStr">
        <is>
          <t>Yes</t>
        </is>
      </c>
      <c r="N20" s="37" t="inlineStr">
        <is>
          <t>Human approves each AI output</t>
        </is>
      </c>
      <c r="O20" s="38" t="str">
        <f>IF(B20="","",IFERROR(INDEX('2. Use-Case Library'!$A$5:$A$244,MATCH(B20,'2. Use-Case Library'!$M$5:$M$244,0)),"Custom"))</f>
        <v>XI-09</v>
      </c>
      <c r="P20" s="39" t="str">
        <f>IF(B20="","",IF(O20="Custom",IF(E20="","(select function in E)",E20),INDEX('2. Use-Case Library'!$C$5:$C$244,MATCH($O20,'2. Use-Case Library'!$A$5:$A$244,0))))</f>
        <v>Finance &amp; accounting</v>
      </c>
      <c r="Q20" s="39" t="str">
        <f>IF(B20="","",IF(D20&lt;&gt;"",D20,IF(O20="Custom","",INDEX('2. Use-Case Library'!$F$5:$F$244,MATCH($O20,'2. Use-Case Library'!$A$5:$A$244,0)))))</f>
        <v>Extract information from documents, forms or emails</v>
      </c>
      <c r="R20" s="39" t="str">
        <f>IF(Q20="","",INDEX(Lists!$B$2:$B$11,MATCH(Q20,Lists!$A$2:$A$11,0)))</f>
        <v>Intelligent document processing (IDP)</v>
      </c>
      <c r="S20" s="38">
        <f>IF(R20="","",INDEX(Lists!$C$2:$C$11,MATCH(R20,Lists!$B$2:$B$11,0)))</f>
        <v>3</v>
      </c>
      <c r="T20" s="38" t="str">
        <f>IF(R20="","",INDEX(Lists!$D$2:$D$11,MATCH(R20,Lists!$B$2:$B$11,0)))</f>
        <v>Light</v>
      </c>
      <c r="U20" s="38" t="str">
        <f>IF(OR(R20="",I20=""),"",IF(INDEX(Lists!$N$2:$N$5,MATCH(I20,Lists!$M$2:$M$5,0))&gt;=INDEX(Lists!$E$2:$E$11,MATCH(R20,Lists!$B$2:$B$11,0)),"Data ready","Data gap"))</f>
        <v>Data ready</v>
      </c>
      <c r="V20" s="39" t="str">
        <f>IF(R20="","",IF(S20&lt;=IF('1. AI Position'!$C$30="",5,INDEX(Lists!$AI$2:$AI$5,'1. AI Position'!$C$30)),"Within current position","Beyond current position"))</f>
        <v>Within current position</v>
      </c>
      <c r="W20" s="40" t="str">
        <f>IF(B20="","",IF(OR(COUNTA(F20:N20)&lt;9,Q20=""),"Complete inputs",IF(H20="No - varies by person / team","Redesign / standardise first",IF(T20="No","Automate - AI not needed",IF(U20="Data gap","AI later - close data gap first",IF(V20="Beyond current position","Stretch - partner or later stage","AI fit now"))))))</f>
        <v>AI fit now</v>
      </c>
      <c r="X20" s="41">
        <f>IF(OR(W20="",W20="Complete inputs"),"",ROUND(0.3*INDEX(Lists!$N$8:$N$10,MATCH(F20,Lists!$M$8:$M$10,0))+0.25*IF(G20&lt;20,1,IF(G20&lt;80,2,IF(G20&lt;160,3,IF(G20&lt;480,4,5))))+0.25*J20+0.2*K20,2))</f>
        <v>2.3</v>
      </c>
      <c r="Y20" s="41">
        <f>IF(X20="","",ROUND(0.3*IF(U20="Data ready",5,IF(INDEX(Lists!$N$2:$N$5,MATCH(I20,Lists!$M$2:$M$5,0))=INDEX(Lists!$E$2:$E$11,MATCH(R20,Lists!$B$2:$B$11,0))-1,3,1))+0.25*INDEX(Lists!$N$13:$N$15,MATCH(H20,Lists!$M$13:$M$15,0))+0.25*(6-S20)+0.2*IF(V20="Within current position",5,2),2))</f>
        <v>4.5</v>
      </c>
      <c r="Z20" s="38" t="str">
        <f>IF(X20="","",CHOOSE(MAX(IF(T20="No",IF(L20="Yes",2,1),IF(IF(L20="Yes",2,0)+IF(M20="Yes",1,0)+INDEX(Lists!$N$18:$N$20,MATCH(N20,Lists!$M$18:$M$20,0))+IF(K20=5,2,IF(K20&gt;=4,1,0))&gt;=4,3,IF(IF(L20="Yes",2,0)+IF(M20="Yes",1,0)+INDEX(Lists!$N$18:$N$20,MATCH(N20,Lists!$M$18:$M$20,0))+IF(K20=5,2,IF(K20&gt;=4,1,0))&gt;=2,2,1))),IF($O20="Custom",1,MATCH(INDEX('2. Use-Case Library'!$L$5:$L$244,MATCH($O20,'2. Use-Case Library'!$A$5:$A$244,0)),{"Low","Medium","High"},0))),"Low","Medium","High"))</f>
        <v>Medium</v>
      </c>
      <c r="AA20" s="38" t="str">
        <f>IF(X20="","",IF(AND(X20&gt;=$C$4,Y20&gt;=$C$4),"Quick win",IF(X20&gt;=$C$4,"Strategic bet",IF(Y20&gt;=$C$4,"Fill-in","Deprioritise"))))</f>
        <v>Fill-in</v>
      </c>
      <c r="AB20" s="41">
        <f>IF(X20="","",ROUND(X20*Y20*IF(Z20="High",0.85,1)*IF(W20="Redesign / standardise first",0.8,1),2))</f>
        <v>10.35</v>
      </c>
      <c r="AC20" s="42">
        <f>IF(AB20="","",RANK(AB20,$AB$8:$AB$57)+COUNTIF($AB$7:AB19,AB20))</f>
        <v>18</v>
      </c>
      <c r="AD20" s="39" t="str">
        <f>IF(AH20="","",INDEX(Lists!$AV$2:$AV$5,AH20))</f>
        <v>H1 - Now (0-6 months)</v>
      </c>
      <c r="AE20" s="43">
        <f>IF(AB20="","",ROUND(G20*12*INDEX(Lists!$F$2:$F$11,MATCH(R20,Lists!$B$2:$B$11,0)),0))</f>
        <v>360</v>
      </c>
      <c r="AF20" s="44" t="str">
        <f>IF(OR(B20="",R20=""),"",IF(O20="Custom",INDEX(Lists!$I$2:$I$11,MATCH(R20,Lists!$B$2:$B$11,0)),INDEX('2. Use-Case Library'!$H$5:$H$244,MATCH($O20,'2. Use-Case Library'!$A$5:$A$244,0))))</f>
        <v>Receipt capture with IDP, a rules engine for policy checks and duplicate / anomaly flags for review.</v>
      </c>
      <c r="AG20" s="44" t="str">
        <f>IF(OR(B20="",O20="Custom"),"",INDEX('2. Use-Case Library'!$K$5:$K$244,MATCH($O20,'2. Use-Case Library'!$A$5:$A$244,0)))</f>
        <v>Employee data - PDPL; transparent policy rules.</v>
      </c>
      <c r="AH20" s="38">
        <f>IF(AB20="","",IF(AA20="Deprioritise",4,IF(W20="AI later - close data gap first",3,IF(OR(W20="Redesign / standardise first",W20="Stretch - partner or later stage",AA20="Strategic bet",Z20="High",S20=5),2,1))))</f>
        <v>1</v>
      </c>
      <c r="AI20" s="38">
        <f>IF(AC20="","",AH20*100+AC20)</f>
        <v>118</v>
      </c>
      <c r="AJ20" s="38" t="str">
        <f>IF(B20="","",IF(O20="Custom",B20,INDEX('2. Use-Case Library'!$D$5:$D$244,MATCH($O20,'2. Use-Case Library'!$A$5:$A$244,0))))</f>
        <v>Expense claims audit</v>
      </c>
    </row>
    <row r="21" ht="52" customHeight="1">
      <c r="A21" s="14" t="n">
        <v>14</v>
      </c>
      <c r="B21" s="37" t="inlineStr">
        <is>
          <t>XI-14 | CV screening &amp; shortlisting</t>
        </is>
      </c>
      <c r="C21" s="37" t="n"/>
      <c r="D21" s="37" t="n"/>
      <c r="E21" s="37" t="n"/>
      <c r="F21" s="37" t="inlineStr">
        <is>
          <t>Medium (100 - 1,000 a month)</t>
        </is>
      </c>
      <c r="G21" s="37" t="n">
        <v>80</v>
      </c>
      <c r="H21" s="37" t="inlineStr">
        <is>
          <t>Partly - common steps, some variation</t>
        </is>
      </c>
      <c r="I21" s="37" t="inlineStr">
        <is>
          <t>Partial or paper-based</t>
        </is>
      </c>
      <c r="J21" s="37" t="n">
        <v>3</v>
      </c>
      <c r="K21" s="37" t="n">
        <v>3</v>
      </c>
      <c r="L21" s="37" t="inlineStr">
        <is>
          <t>Yes</t>
        </is>
      </c>
      <c r="M21" s="37" t="inlineStr">
        <is>
          <t>Yes</t>
        </is>
      </c>
      <c r="N21" s="37" t="inlineStr">
        <is>
          <t>Human approves each AI output</t>
        </is>
      </c>
      <c r="O21" s="38" t="str">
        <f>IF(B21="","",IFERROR(INDEX('2. Use-Case Library'!$A$5:$A$244,MATCH(B21,'2. Use-Case Library'!$M$5:$M$244,0)),"Custom"))</f>
        <v>XI-14</v>
      </c>
      <c r="P21" s="39" t="str">
        <f>IF(B21="","",IF(O21="Custom",IF(E21="","(select function in E)",E21),INDEX('2. Use-Case Library'!$C$5:$C$244,MATCH($O21,'2. Use-Case Library'!$A$5:$A$244,0))))</f>
        <v>HR &amp; people</v>
      </c>
      <c r="Q21" s="39" t="str">
        <f>IF(B21="","",IF(D21&lt;&gt;"",D21,IF(O21="Custom","",INDEX('2. Use-Case Library'!$F$5:$F$244,MATCH($O21,'2. Use-Case Library'!$A$5:$A$244,0)))))</f>
        <v>Forecast, score, classify or detect anomalies from historical data</v>
      </c>
      <c r="R21" s="39" t="str">
        <f>IF(Q21="","",INDEX(Lists!$B$2:$B$11,MATCH(Q21,Lists!$A$2:$A$11,0)))</f>
        <v>Predictive analytics / machine learning</v>
      </c>
      <c r="S21" s="38">
        <f>IF(R21="","",INDEX(Lists!$C$2:$C$11,MATCH(R21,Lists!$B$2:$B$11,0)))</f>
        <v>5</v>
      </c>
      <c r="T21" s="38" t="str">
        <f>IF(R21="","",INDEX(Lists!$D$2:$D$11,MATCH(R21,Lists!$B$2:$B$11,0)))</f>
        <v>Yes</v>
      </c>
      <c r="U21" s="38" t="str">
        <f>IF(OR(R21="",I21=""),"",IF(INDEX(Lists!$N$2:$N$5,MATCH(I21,Lists!$M$2:$M$5,0))&gt;=INDEX(Lists!$E$2:$E$11,MATCH(R21,Lists!$B$2:$B$11,0)),"Data ready","Data gap"))</f>
        <v>Data gap</v>
      </c>
      <c r="V21" s="39" t="str">
        <f>IF(R21="","",IF(S21&lt;=IF('1. AI Position'!$C$30="",5,INDEX(Lists!$AI$2:$AI$5,'1. AI Position'!$C$30)),"Within current position","Beyond current position"))</f>
        <v>Beyond current position</v>
      </c>
      <c r="W21" s="40" t="str">
        <f>IF(B21="","",IF(OR(COUNTA(F21:N21)&lt;9,Q21=""),"Complete inputs",IF(H21="No - varies by person / team","Redesign / standardise first",IF(T21="No","Automate - AI not needed",IF(U21="Data gap","AI later - close data gap first",IF(V21="Beyond current position","Stretch - partner or later stage","AI fit now"))))))</f>
        <v>AI later - close data gap first</v>
      </c>
      <c r="X21" s="41">
        <f>IF(OR(W21="",W21="Complete inputs"),"",ROUND(0.3*INDEX(Lists!$N$8:$N$10,MATCH(F21,Lists!$M$8:$M$10,0))+0.25*IF(G21&lt;20,1,IF(G21&lt;80,2,IF(G21&lt;160,3,IF(G21&lt;480,4,5))))+0.25*J21+0.2*K21,2))</f>
        <v>3</v>
      </c>
      <c r="Y21" s="41">
        <f>IF(X21="","",ROUND(0.3*IF(U21="Data ready",5,IF(INDEX(Lists!$N$2:$N$5,MATCH(I21,Lists!$M$2:$M$5,0))=INDEX(Lists!$E$2:$E$11,MATCH(R21,Lists!$B$2:$B$11,0))-1,3,1))+0.25*INDEX(Lists!$N$13:$N$15,MATCH(H21,Lists!$M$13:$M$15,0))+0.25*(6-S21)+0.2*IF(V21="Within current position",5,2),2))</f>
        <v>2.3</v>
      </c>
      <c r="Z21" s="38" t="str">
        <f>IF(X21="","",CHOOSE(MAX(IF(T21="No",IF(L21="Yes",2,1),IF(IF(L21="Yes",2,0)+IF(M21="Yes",1,0)+INDEX(Lists!$N$18:$N$20,MATCH(N21,Lists!$M$18:$M$20,0))+IF(K21=5,2,IF(K21&gt;=4,1,0))&gt;=4,3,IF(IF(L21="Yes",2,0)+IF(M21="Yes",1,0)+INDEX(Lists!$N$18:$N$20,MATCH(N21,Lists!$M$18:$M$20,0))+IF(K21=5,2,IF(K21&gt;=4,1,0))&gt;=2,2,1))),IF($O21="Custom",1,MATCH(INDEX('2. Use-Case Library'!$L$5:$L$244,MATCH($O21,'2. Use-Case Library'!$A$5:$A$244,0)),{"Low","Medium","High"},0))),"Low","Medium","High"))</f>
        <v>High</v>
      </c>
      <c r="AA21" s="38" t="str">
        <f>IF(X21="","",IF(AND(X21&gt;=$C$4,Y21&gt;=$C$4),"Quick win",IF(X21&gt;=$C$4,"Strategic bet",IF(Y21&gt;=$C$4,"Fill-in","Deprioritise"))))</f>
        <v>Deprioritise</v>
      </c>
      <c r="AB21" s="41">
        <f>IF(X21="","",ROUND(X21*Y21*IF(Z21="High",0.85,1)*IF(W21="Redesign / standardise first",0.8,1),2))</f>
        <v>5.87</v>
      </c>
      <c r="AC21" s="42">
        <f>IF(AB21="","",RANK(AB21,$AB$8:$AB$57)+COUNTIF($AB$7:AB20,AB21))</f>
        <v>21</v>
      </c>
      <c r="AD21" s="39" t="str">
        <f>IF(AH21="","",INDEX(Lists!$AV$2:$AV$5,AH21))</f>
        <v>Backlog / not prioritised</v>
      </c>
      <c r="AE21" s="43">
        <f>IF(AB21="","",ROUND(G21*12*INDEX(Lists!$F$2:$F$11,MATCH(R21,Lists!$B$2:$B$11,0)),0))</f>
        <v>192</v>
      </c>
      <c r="AF21" s="44" t="str">
        <f>IF(OR(B21="",R21=""),"",IF(O21="Custom",INDEX(Lists!$I$2:$I$11,MATCH(R21,Lists!$B$2:$B$11,0)),INDEX('2. Use-Case Library'!$H$5:$H$244,MATCH($O21,'2. Use-Case Library'!$A$5:$A$244,0))))</f>
        <v>Start with structured screening criteria (rules). If ML / GenAI ranking is used: bias testing, human decision on every candidate, candidate notice and records.</v>
      </c>
      <c r="AG21" s="44" t="str">
        <f>IF(OR(B21="",O21="Custom"),"",INDEX('2. Use-Case Library'!$K$5:$K$244,MATCH($O21,'2. Use-Case Library'!$A$5:$A$244,0)))</f>
        <v>HIGH-RISK under EU AI Act Annex III (4) - employment; emotion recognition at work prohibited (Art. 5); PDPL; non-discrimination.</v>
      </c>
      <c r="AH21" s="38">
        <f>IF(AB21="","",IF(AA21="Deprioritise",4,IF(W21="AI later - close data gap first",3,IF(OR(W21="Redesign / standardise first",W21="Stretch - partner or later stage",AA21="Strategic bet",Z21="High",S21=5),2,1))))</f>
        <v>4</v>
      </c>
      <c r="AI21" s="38">
        <f>IF(AC21="","",AH21*100+AC21)</f>
        <v>421</v>
      </c>
      <c r="AJ21" s="38" t="str">
        <f>IF(B21="","",IF(O21="Custom",B21,INDEX('2. Use-Case Library'!$D$5:$D$244,MATCH($O21,'2. Use-Case Library'!$A$5:$A$244,0))))</f>
        <v>CV screening &amp; shortlisting</v>
      </c>
    </row>
    <row r="22" ht="52" customHeight="1">
      <c r="A22" s="14" t="n">
        <v>15</v>
      </c>
      <c r="B22" s="37" t="inlineStr">
        <is>
          <t>XI-16 | Employee HR queries (leave, policies, payslips)</t>
        </is>
      </c>
      <c r="C22" s="37" t="n"/>
      <c r="D22" s="37" t="n"/>
      <c r="E22" s="37" t="n"/>
      <c r="F22" s="37" t="inlineStr">
        <is>
          <t>Medium (100 - 1,000 a month)</t>
        </is>
      </c>
      <c r="G22" s="37" t="n">
        <v>60</v>
      </c>
      <c r="H22" s="37" t="inlineStr">
        <is>
          <t>Yes - documented and consistent</t>
        </is>
      </c>
      <c r="I22" s="37" t="inlineStr">
        <is>
          <t>Digital history available</t>
        </is>
      </c>
      <c r="J22" s="37" t="n">
        <v>2</v>
      </c>
      <c r="K22" s="37" t="n">
        <v>3</v>
      </c>
      <c r="L22" s="37" t="inlineStr">
        <is>
          <t>No</t>
        </is>
      </c>
      <c r="M22" s="37" t="inlineStr">
        <is>
          <t>Yes</t>
        </is>
      </c>
      <c r="N22" s="37" t="inlineStr">
        <is>
          <t>Assist - AI suggests, a person does the work</t>
        </is>
      </c>
      <c r="O22" s="38" t="str">
        <f>IF(B22="","",IFERROR(INDEX('2. Use-Case Library'!$A$5:$A$244,MATCH(B22,'2. Use-Case Library'!$M$5:$M$244,0)),"Custom"))</f>
        <v>XI-16</v>
      </c>
      <c r="P22" s="39" t="str">
        <f>IF(B22="","",IF(O22="Custom",IF(E22="","(select function in E)",E22),INDEX('2. Use-Case Library'!$C$5:$C$244,MATCH($O22,'2. Use-Case Library'!$A$5:$A$244,0))))</f>
        <v>HR &amp; people</v>
      </c>
      <c r="Q22" s="39" t="str">
        <f>IF(B22="","",IF(D22&lt;&gt;"",D22,IF(O22="Custom","",INDEX('2. Use-Case Library'!$F$5:$F$244,MATCH($O22,'2. Use-Case Library'!$A$5:$A$244,0)))))</f>
        <v>Converse with customers, citizens or staff (chat, voice, WhatsApp)</v>
      </c>
      <c r="R22" s="39" t="str">
        <f>IF(Q22="","",INDEX(Lists!$B$2:$B$11,MATCH(Q22,Lists!$A$2:$A$11,0)))</f>
        <v>Conversational AI / virtual agent</v>
      </c>
      <c r="S22" s="38">
        <f>IF(R22="","",INDEX(Lists!$C$2:$C$11,MATCH(R22,Lists!$B$2:$B$11,0)))</f>
        <v>4</v>
      </c>
      <c r="T22" s="38" t="str">
        <f>IF(R22="","",INDEX(Lists!$D$2:$D$11,MATCH(R22,Lists!$B$2:$B$11,0)))</f>
        <v>Yes</v>
      </c>
      <c r="U22" s="38" t="str">
        <f>IF(OR(R22="",I22=""),"",IF(INDEX(Lists!$N$2:$N$5,MATCH(I22,Lists!$M$2:$M$5,0))&gt;=INDEX(Lists!$E$2:$E$11,MATCH(R22,Lists!$B$2:$B$11,0)),"Data ready","Data gap"))</f>
        <v>Data ready</v>
      </c>
      <c r="V22" s="39" t="str">
        <f>IF(R22="","",IF(S22&lt;=IF('1. AI Position'!$C$30="",5,INDEX(Lists!$AI$2:$AI$5,'1. AI Position'!$C$30)),"Within current position","Beyond current position"))</f>
        <v>Within current position</v>
      </c>
      <c r="W22" s="40" t="str">
        <f>IF(B22="","",IF(OR(COUNTA(F22:N22)&lt;9,Q22=""),"Complete inputs",IF(H22="No - varies by person / team","Redesign / standardise first",IF(T22="No","Automate - AI not needed",IF(U22="Data gap","AI later - close data gap first",IF(V22="Beyond current position","Stretch - partner or later stage","AI fit now"))))))</f>
        <v>AI fit now</v>
      </c>
      <c r="X22" s="41">
        <f>IF(OR(W22="",W22="Complete inputs"),"",ROUND(0.3*INDEX(Lists!$N$8:$N$10,MATCH(F22,Lists!$M$8:$M$10,0))+0.25*IF(G22&lt;20,1,IF(G22&lt;80,2,IF(G22&lt;160,3,IF(G22&lt;480,4,5))))+0.25*J22+0.2*K22,2))</f>
        <v>2.5</v>
      </c>
      <c r="Y22" s="41">
        <f>IF(X22="","",ROUND(0.3*IF(U22="Data ready",5,IF(INDEX(Lists!$N$2:$N$5,MATCH(I22,Lists!$M$2:$M$5,0))=INDEX(Lists!$E$2:$E$11,MATCH(R22,Lists!$B$2:$B$11,0))-1,3,1))+0.25*INDEX(Lists!$N$13:$N$15,MATCH(H22,Lists!$M$13:$M$15,0))+0.25*(6-S22)+0.2*IF(V22="Within current position",5,2),2))</f>
        <v>4.25</v>
      </c>
      <c r="Z22" s="38" t="str">
        <f>IF(X22="","",CHOOSE(MAX(IF(T22="No",IF(L22="Yes",2,1),IF(IF(L22="Yes",2,0)+IF(M22="Yes",1,0)+INDEX(Lists!$N$18:$N$20,MATCH(N22,Lists!$M$18:$M$20,0))+IF(K22=5,2,IF(K22&gt;=4,1,0))&gt;=4,3,IF(IF(L22="Yes",2,0)+IF(M22="Yes",1,0)+INDEX(Lists!$N$18:$N$20,MATCH(N22,Lists!$M$18:$M$20,0))+IF(K22=5,2,IF(K22&gt;=4,1,0))&gt;=2,2,1))),IF($O22="Custom",1,MATCH(INDEX('2. Use-Case Library'!$L$5:$L$244,MATCH($O22,'2. Use-Case Library'!$A$5:$A$244,0)),{"Low","Medium","High"},0))),"Low","Medium","High"))</f>
        <v>Low</v>
      </c>
      <c r="AA22" s="38" t="str">
        <f>IF(X22="","",IF(AND(X22&gt;=$C$4,Y22&gt;=$C$4),"Quick win",IF(X22&gt;=$C$4,"Strategic bet",IF(Y22&gt;=$C$4,"Fill-in","Deprioritise"))))</f>
        <v>Fill-in</v>
      </c>
      <c r="AB22" s="41">
        <f>IF(X22="","",ROUND(X22*Y22*IF(Z22="High",0.85,1)*IF(W22="Redesign / standardise first",0.8,1),2))</f>
        <v>10.63</v>
      </c>
      <c r="AC22" s="42">
        <f>IF(AB22="","",RANK(AB22,$AB$8:$AB$57)+COUNTIF($AB$7:AB21,AB22))</f>
        <v>17</v>
      </c>
      <c r="AD22" s="39" t="str">
        <f>IF(AH22="","",INDEX(Lists!$AV$2:$AV$5,AH22))</f>
        <v>H1 - Now (0-6 months)</v>
      </c>
      <c r="AE22" s="43">
        <f>IF(AB22="","",ROUND(G22*12*INDEX(Lists!$F$2:$F$11,MATCH(R22,Lists!$B$2:$B$11,0)),0))</f>
        <v>216</v>
      </c>
      <c r="AF22" s="44" t="str">
        <f>IF(OR(B22="",R22=""),"",IF(O22="Custom",INDEX(Lists!$I$2:$I$11,MATCH(R22,Lists!$B$2:$B$11,0)),INDEX('2. Use-Case Library'!$H$5:$H$244,MATCH($O22,'2. Use-Case Library'!$A$5:$A$244,0))))</f>
        <v>HR virtual agent grounded on HR policies plus self-service transactions via HRIS integration; hand-off to HR for sensitive cases.</v>
      </c>
      <c r="AG22" s="44" t="str">
        <f>IF(OR(B22="",O22="Custom"),"",INDEX('2. Use-Case Library'!$K$5:$K$244,MATCH($O22,'2. Use-Case Library'!$A$5:$A$244,0)))</f>
        <v>Disclose AI to users; access control on personal data.</v>
      </c>
      <c r="AH22" s="38">
        <f>IF(AB22="","",IF(AA22="Deprioritise",4,IF(W22="AI later - close data gap first",3,IF(OR(W22="Redesign / standardise first",W22="Stretch - partner or later stage",AA22="Strategic bet",Z22="High",S22=5),2,1))))</f>
        <v>1</v>
      </c>
      <c r="AI22" s="38">
        <f>IF(AC22="","",AH22*100+AC22)</f>
        <v>117</v>
      </c>
      <c r="AJ22" s="38" t="str">
        <f>IF(B22="","",IF(O22="Custom",B22,INDEX('2. Use-Case Library'!$D$5:$D$244,MATCH($O22,'2. Use-Case Library'!$A$5:$A$244,0))))</f>
        <v>Employee HR queries (leave, policies, payslips)</v>
      </c>
    </row>
    <row r="23" ht="52" customHeight="1">
      <c r="A23" s="14" t="n">
        <v>16</v>
      </c>
      <c r="B23" s="37" t="inlineStr">
        <is>
          <t>XI-29 | Marketing content &amp; campaigns</t>
        </is>
      </c>
      <c r="C23" s="37" t="n"/>
      <c r="D23" s="37" t="n"/>
      <c r="E23" s="37" t="n"/>
      <c r="F23" s="37" t="inlineStr">
        <is>
          <t>Medium (100 - 1,000 a month)</t>
        </is>
      </c>
      <c r="G23" s="37" t="n">
        <v>80</v>
      </c>
      <c r="H23" s="37" t="inlineStr">
        <is>
          <t>Yes - documented and consistent</t>
        </is>
      </c>
      <c r="I23" s="37" t="inlineStr">
        <is>
          <t>None - not captured</t>
        </is>
      </c>
      <c r="J23" s="37" t="n">
        <v>3</v>
      </c>
      <c r="K23" s="37" t="n">
        <v>2</v>
      </c>
      <c r="L23" s="37" t="inlineStr">
        <is>
          <t>No</t>
        </is>
      </c>
      <c r="M23" s="37" t="inlineStr">
        <is>
          <t>No</t>
        </is>
      </c>
      <c r="N23" s="37" t="inlineStr">
        <is>
          <t>Assist - AI suggests, a person does the work</t>
        </is>
      </c>
      <c r="O23" s="38" t="str">
        <f>IF(B23="","",IFERROR(INDEX('2. Use-Case Library'!$A$5:$A$244,MATCH(B23,'2. Use-Case Library'!$M$5:$M$244,0)),"Custom"))</f>
        <v>XI-29</v>
      </c>
      <c r="P23" s="39" t="str">
        <f>IF(B23="","",IF(O23="Custom",IF(E23="","(select function in E)",E23),INDEX('2. Use-Case Library'!$C$5:$C$244,MATCH($O23,'2. Use-Case Library'!$A$5:$A$244,0))))</f>
        <v>Sales &amp; marketing</v>
      </c>
      <c r="Q23" s="39" t="str">
        <f>IF(B23="","",IF(D23&lt;&gt;"",D23,IF(O23="Custom","",INDEX('2. Use-Case Library'!$F$5:$F$244,MATCH($O23,'2. Use-Case Library'!$A$5:$A$244,0)))))</f>
        <v>Draft, summarise, translate or review text</v>
      </c>
      <c r="R23" s="39" t="str">
        <f>IF(Q23="","",INDEX(Lists!$B$2:$B$11,MATCH(Q23,Lists!$A$2:$A$11,0)))</f>
        <v>Generative AI assistant (off-the-shelf)</v>
      </c>
      <c r="S23" s="38">
        <f>IF(R23="","",INDEX(Lists!$C$2:$C$11,MATCH(R23,Lists!$B$2:$B$11,0)))</f>
        <v>3</v>
      </c>
      <c r="T23" s="38" t="str">
        <f>IF(R23="","",INDEX(Lists!$D$2:$D$11,MATCH(R23,Lists!$B$2:$B$11,0)))</f>
        <v>Yes</v>
      </c>
      <c r="U23" s="38" t="str">
        <f>IF(OR(R23="",I23=""),"",IF(INDEX(Lists!$N$2:$N$5,MATCH(I23,Lists!$M$2:$M$5,0))&gt;=INDEX(Lists!$E$2:$E$11,MATCH(R23,Lists!$B$2:$B$11,0)),"Data ready","Data gap"))</f>
        <v>Data ready</v>
      </c>
      <c r="V23" s="39" t="str">
        <f>IF(R23="","",IF(S23&lt;=IF('1. AI Position'!$C$30="",5,INDEX(Lists!$AI$2:$AI$5,'1. AI Position'!$C$30)),"Within current position","Beyond current position"))</f>
        <v>Within current position</v>
      </c>
      <c r="W23" s="40" t="str">
        <f>IF(B23="","",IF(OR(COUNTA(F23:N23)&lt;9,Q23=""),"Complete inputs",IF(H23="No - varies by person / team","Redesign / standardise first",IF(T23="No","Automate - AI not needed",IF(U23="Data gap","AI later - close data gap first",IF(V23="Beyond current position","Stretch - partner or later stage","AI fit now"))))))</f>
        <v>AI fit now</v>
      </c>
      <c r="X23" s="41">
        <f>IF(OR(W23="",W23="Complete inputs"),"",ROUND(0.3*INDEX(Lists!$N$8:$N$10,MATCH(F23,Lists!$M$8:$M$10,0))+0.25*IF(G23&lt;20,1,IF(G23&lt;80,2,IF(G23&lt;160,3,IF(G23&lt;480,4,5))))+0.25*J23+0.2*K23,2))</f>
        <v>2.8</v>
      </c>
      <c r="Y23" s="41">
        <f>IF(X23="","",ROUND(0.3*IF(U23="Data ready",5,IF(INDEX(Lists!$N$2:$N$5,MATCH(I23,Lists!$M$2:$M$5,0))=INDEX(Lists!$E$2:$E$11,MATCH(R23,Lists!$B$2:$B$11,0))-1,3,1))+0.25*INDEX(Lists!$N$13:$N$15,MATCH(H23,Lists!$M$13:$M$15,0))+0.25*(6-S23)+0.2*IF(V23="Within current position",5,2),2))</f>
        <v>4.5</v>
      </c>
      <c r="Z23" s="38" t="str">
        <f>IF(X23="","",CHOOSE(MAX(IF(T23="No",IF(L23="Yes",2,1),IF(IF(L23="Yes",2,0)+IF(M23="Yes",1,0)+INDEX(Lists!$N$18:$N$20,MATCH(N23,Lists!$M$18:$M$20,0))+IF(K23=5,2,IF(K23&gt;=4,1,0))&gt;=4,3,IF(IF(L23="Yes",2,0)+IF(M23="Yes",1,0)+INDEX(Lists!$N$18:$N$20,MATCH(N23,Lists!$M$18:$M$20,0))+IF(K23=5,2,IF(K23&gt;=4,1,0))&gt;=2,2,1))),IF($O23="Custom",1,MATCH(INDEX('2. Use-Case Library'!$L$5:$L$244,MATCH($O23,'2. Use-Case Library'!$A$5:$A$244,0)),{"Low","Medium","High"},0))),"Low","Medium","High"))</f>
        <v>Low</v>
      </c>
      <c r="AA23" s="38" t="str">
        <f>IF(X23="","",IF(AND(X23&gt;=$C$4,Y23&gt;=$C$4),"Quick win",IF(X23&gt;=$C$4,"Strategic bet",IF(Y23&gt;=$C$4,"Fill-in","Deprioritise"))))</f>
        <v>Fill-in</v>
      </c>
      <c r="AB23" s="41">
        <f>IF(X23="","",ROUND(X23*Y23*IF(Z23="High",0.85,1)*IF(W23="Redesign / standardise first",0.8,1),2))</f>
        <v>12.6</v>
      </c>
      <c r="AC23" s="42">
        <f>IF(AB23="","",RANK(AB23,$AB$8:$AB$57)+COUNTIF($AB$7:AB22,AB23))</f>
        <v>12</v>
      </c>
      <c r="AD23" s="39" t="str">
        <f>IF(AH23="","",INDEX(Lists!$AV$2:$AV$5,AH23))</f>
        <v>H1 - Now (0-6 months)</v>
      </c>
      <c r="AE23" s="43">
        <f>IF(AB23="","",ROUND(G23*12*INDEX(Lists!$F$2:$F$11,MATCH(R23,Lists!$B$2:$B$11,0)),0))</f>
        <v>288</v>
      </c>
      <c r="AF23" s="44" t="str">
        <f>IF(OR(B23="",R23=""),"",IF(O23="Custom",INDEX(Lists!$I$2:$I$11,MATCH(R23,Lists!$B$2:$B$11,0)),INDEX('2. Use-Case Library'!$H$5:$H$244,MATCH($O23,'2. Use-Case Library'!$A$5:$A$244,0))))</f>
        <v>GenAI-assisted copy, images and variants within brand guidelines; brand and legal approval.</v>
      </c>
      <c r="AG23" s="44" t="str">
        <f>IF(OR(B23="",O23="Custom"),"",INDEX('2. Use-Case Library'!$K$5:$K$244,MATCH($O23,'2. Use-Case Library'!$A$5:$A$244,0)))</f>
        <v>Copyright / IP; label synthetic media where required (EU AI Act Art. 50).</v>
      </c>
      <c r="AH23" s="38">
        <f>IF(AB23="","",IF(AA23="Deprioritise",4,IF(W23="AI later - close data gap first",3,IF(OR(W23="Redesign / standardise first",W23="Stretch - partner or later stage",AA23="Strategic bet",Z23="High",S23=5),2,1))))</f>
        <v>1</v>
      </c>
      <c r="AI23" s="38">
        <f>IF(AC23="","",AH23*100+AC23)</f>
        <v>112</v>
      </c>
      <c r="AJ23" s="38" t="str">
        <f>IF(B23="","",IF(O23="Custom",B23,INDEX('2. Use-Case Library'!$D$5:$D$244,MATCH($O23,'2. Use-Case Library'!$A$5:$A$244,0))))</f>
        <v>Marketing content &amp; campaigns</v>
      </c>
    </row>
    <row r="24" ht="52" customHeight="1">
      <c r="A24" s="14" t="n">
        <v>17</v>
      </c>
      <c r="B24" s="37" t="inlineStr">
        <is>
          <t>PRO-10 | Engagement workflow coordination</t>
        </is>
      </c>
      <c r="C24" s="37" t="n"/>
      <c r="D24" s="37" t="n"/>
      <c r="E24" s="37" t="n"/>
      <c r="F24" s="37" t="inlineStr">
        <is>
          <t>Medium (100 - 1,000 a month)</t>
        </is>
      </c>
      <c r="G24" s="37" t="n">
        <v>150</v>
      </c>
      <c r="H24" s="37" t="inlineStr">
        <is>
          <t>No - varies by person / team</t>
        </is>
      </c>
      <c r="I24" s="37" t="inlineStr">
        <is>
          <t>Partial or paper-based</t>
        </is>
      </c>
      <c r="J24" s="37" t="n">
        <v>4</v>
      </c>
      <c r="K24" s="37" t="n">
        <v>3</v>
      </c>
      <c r="L24" s="37" t="inlineStr">
        <is>
          <t>No</t>
        </is>
      </c>
      <c r="M24" s="37" t="inlineStr">
        <is>
          <t>Yes</t>
        </is>
      </c>
      <c r="N24" s="37" t="inlineStr">
        <is>
          <t>Human approves each AI output</t>
        </is>
      </c>
      <c r="O24" s="38" t="str">
        <f>IF(B24="","",IFERROR(INDEX('2. Use-Case Library'!$A$5:$A$244,MATCH(B24,'2. Use-Case Library'!$M$5:$M$244,0)),"Custom"))</f>
        <v>PRO-10</v>
      </c>
      <c r="P24" s="39" t="str">
        <f>IF(B24="","",IF(O24="Custom",IF(E24="","(select function in E)",E24),INDEX('2. Use-Case Library'!$C$5:$C$244,MATCH($O24,'2. Use-Case Library'!$A$5:$A$244,0))))</f>
        <v>Core operations &amp; service delivery</v>
      </c>
      <c r="Q24" s="39" t="str">
        <f>IF(B24="","",IF(D24&lt;&gt;"",D24,IF(O24="Custom","",INDEX('2. Use-Case Library'!$F$5:$F$244,MATCH($O24,'2. Use-Case Library'!$A$5:$A$244,0)))))</f>
        <v>Coordinate multi-step work across systems that needs judgement</v>
      </c>
      <c r="R24" s="39" t="str">
        <f>IF(Q24="","",INDEX(Lists!$B$2:$B$11,MATCH(Q24,Lists!$A$2:$A$11,0)))</f>
        <v>Agentic AI (supervised agents)</v>
      </c>
      <c r="S24" s="38">
        <f>IF(R24="","",INDEX(Lists!$C$2:$C$11,MATCH(R24,Lists!$B$2:$B$11,0)))</f>
        <v>5</v>
      </c>
      <c r="T24" s="38" t="str">
        <f>IF(R24="","",INDEX(Lists!$D$2:$D$11,MATCH(R24,Lists!$B$2:$B$11,0)))</f>
        <v>Yes</v>
      </c>
      <c r="U24" s="38" t="str">
        <f>IF(OR(R24="",I24=""),"",IF(INDEX(Lists!$N$2:$N$5,MATCH(I24,Lists!$M$2:$M$5,0))&gt;=INDEX(Lists!$E$2:$E$11,MATCH(R24,Lists!$B$2:$B$11,0)),"Data ready","Data gap"))</f>
        <v>Data gap</v>
      </c>
      <c r="V24" s="39" t="str">
        <f>IF(R24="","",IF(S24&lt;=IF('1. AI Position'!$C$30="",5,INDEX(Lists!$AI$2:$AI$5,'1. AI Position'!$C$30)),"Within current position","Beyond current position"))</f>
        <v>Beyond current position</v>
      </c>
      <c r="W24" s="40" t="str">
        <f>IF(B24="","",IF(OR(COUNTA(F24:N24)&lt;9,Q24=""),"Complete inputs",IF(H24="No - varies by person / team","Redesign / standardise first",IF(T24="No","Automate - AI not needed",IF(U24="Data gap","AI later - close data gap first",IF(V24="Beyond current position","Stretch - partner or later stage","AI fit now"))))))</f>
        <v>Redesign / standardise first</v>
      </c>
      <c r="X24" s="41">
        <f>IF(OR(W24="",W24="Complete inputs"),"",ROUND(0.3*INDEX(Lists!$N$8:$N$10,MATCH(F24,Lists!$M$8:$M$10,0))+0.25*IF(G24&lt;20,1,IF(G24&lt;80,2,IF(G24&lt;160,3,IF(G24&lt;480,4,5))))+0.25*J24+0.2*K24,2))</f>
        <v>3.25</v>
      </c>
      <c r="Y24" s="41">
        <f>IF(X24="","",ROUND(0.3*IF(U24="Data ready",5,IF(INDEX(Lists!$N$2:$N$5,MATCH(I24,Lists!$M$2:$M$5,0))=INDEX(Lists!$E$2:$E$11,MATCH(R24,Lists!$B$2:$B$11,0))-1,3,1))+0.25*INDEX(Lists!$N$13:$N$15,MATCH(H24,Lists!$M$13:$M$15,0))+0.25*(6-S24)+0.2*IF(V24="Within current position",5,2),2))</f>
        <v>1.8</v>
      </c>
      <c r="Z24" s="38" t="str">
        <f>IF(X24="","",CHOOSE(MAX(IF(T24="No",IF(L24="Yes",2,1),IF(IF(L24="Yes",2,0)+IF(M24="Yes",1,0)+INDEX(Lists!$N$18:$N$20,MATCH(N24,Lists!$M$18:$M$20,0))+IF(K24=5,2,IF(K24&gt;=4,1,0))&gt;=4,3,IF(IF(L24="Yes",2,0)+IF(M24="Yes",1,0)+INDEX(Lists!$N$18:$N$20,MATCH(N24,Lists!$M$18:$M$20,0))+IF(K24=5,2,IF(K24&gt;=4,1,0))&gt;=2,2,1))),IF($O24="Custom",1,MATCH(INDEX('2. Use-Case Library'!$L$5:$L$244,MATCH($O24,'2. Use-Case Library'!$A$5:$A$244,0)),{"Low","Medium","High"},0))),"Low","Medium","High"))</f>
        <v>Medium</v>
      </c>
      <c r="AA24" s="38" t="str">
        <f>IF(X24="","",IF(AND(X24&gt;=$C$4,Y24&gt;=$C$4),"Quick win",IF(X24&gt;=$C$4,"Strategic bet",IF(Y24&gt;=$C$4,"Fill-in","Deprioritise"))))</f>
        <v>Strategic bet</v>
      </c>
      <c r="AB24" s="41">
        <f>IF(X24="","",ROUND(X24*Y24*IF(Z24="High",0.85,1)*IF(W24="Redesign / standardise first",0.8,1),2))</f>
        <v>4.68</v>
      </c>
      <c r="AC24" s="42">
        <f>IF(AB24="","",RANK(AB24,$AB$8:$AB$57)+COUNTIF($AB$7:AB23,AB24))</f>
        <v>22</v>
      </c>
      <c r="AD24" s="39" t="str">
        <f>IF(AH24="","",INDEX(Lists!$AV$2:$AV$5,AH24))</f>
        <v>H2 - Next (6-12 months)</v>
      </c>
      <c r="AE24" s="43">
        <f>IF(AB24="","",ROUND(G24*12*INDEX(Lists!$F$2:$F$11,MATCH(R24,Lists!$B$2:$B$11,0)),0))</f>
        <v>720</v>
      </c>
      <c r="AF24" s="44" t="str">
        <f>IF(OR(B24="",R24=""),"",IF(O24="Custom",INDEX(Lists!$I$2:$I$11,MATCH(R24,Lists!$B$2:$B$11,0)),INDEX('2. Use-Case Library'!$H$5:$H$244,MATCH($O24,'2. Use-Case Library'!$A$5:$A$244,0))))</f>
        <v>Supervised agent tracking requests-for-information and status across tools; staff approve client communication.</v>
      </c>
      <c r="AG24" s="44" t="str">
        <f>IF(OR(B24="",O24="Custom"),"",INDEX('2. Use-Case Library'!$K$5:$K$244,MATCH($O24,'2. Use-Case Library'!$A$5:$A$244,0)))</f>
        <v>Agent least privilege; client data boundaries.</v>
      </c>
      <c r="AH24" s="38">
        <f>IF(AB24="","",IF(AA24="Deprioritise",4,IF(W24="AI later - close data gap first",3,IF(OR(W24="Redesign / standardise first",W24="Stretch - partner or later stage",AA24="Strategic bet",Z24="High",S24=5),2,1))))</f>
        <v>2</v>
      </c>
      <c r="AI24" s="38">
        <f>IF(AC24="","",AH24*100+AC24)</f>
        <v>222</v>
      </c>
      <c r="AJ24" s="38" t="str">
        <f>IF(B24="","",IF(O24="Custom",B24,INDEX('2. Use-Case Library'!$D$5:$D$244,MATCH($O24,'2. Use-Case Library'!$A$5:$A$244,0))))</f>
        <v>Engagement workflow coordination</v>
      </c>
    </row>
    <row r="25" ht="52" customHeight="1">
      <c r="A25" s="14" t="n">
        <v>18</v>
      </c>
      <c r="B25" s="37" t="inlineStr">
        <is>
          <t>XI-53 | KPI dashboards</t>
        </is>
      </c>
      <c r="C25" s="37" t="n"/>
      <c r="D25" s="37" t="n"/>
      <c r="E25" s="37" t="n"/>
      <c r="F25" s="37" t="inlineStr">
        <is>
          <t>Low (fewer than 100 a month)</t>
        </is>
      </c>
      <c r="G25" s="37" t="n">
        <v>100</v>
      </c>
      <c r="H25" s="37" t="inlineStr">
        <is>
          <t>Partly - common steps, some variation</t>
        </is>
      </c>
      <c r="I25" s="37" t="inlineStr">
        <is>
          <t>Digital history available</t>
        </is>
      </c>
      <c r="J25" s="37" t="n">
        <v>4</v>
      </c>
      <c r="K25" s="37" t="n">
        <v>3</v>
      </c>
      <c r="L25" s="37" t="inlineStr">
        <is>
          <t>No</t>
        </is>
      </c>
      <c r="M25" s="37" t="inlineStr">
        <is>
          <t>No</t>
        </is>
      </c>
      <c r="N25" s="37" t="inlineStr">
        <is>
          <t>Human approves each AI output</t>
        </is>
      </c>
      <c r="O25" s="38" t="str">
        <f>IF(B25="","",IFERROR(INDEX('2. Use-Case Library'!$A$5:$A$244,MATCH(B25,'2. Use-Case Library'!$M$5:$M$244,0)),"Custom"))</f>
        <v>XI-53</v>
      </c>
      <c r="P25" s="39" t="str">
        <f>IF(B25="","",IF(O25="Custom",IF(E25="","(select function in E)",E25),INDEX('2. Use-Case Library'!$C$5:$C$244,MATCH($O25,'2. Use-Case Library'!$A$5:$A$244,0))))</f>
        <v>Strategy, management &amp; reporting</v>
      </c>
      <c r="Q25" s="39" t="str">
        <f>IF(B25="","",IF(D25&lt;&gt;"",D25,IF(O25="Custom","",INDEX('2. Use-Case Library'!$F$5:$F$244,MATCH($O25,'2. Use-Case Library'!$A$5:$A$244,0)))))</f>
        <v>Produce reports, dashboards or reconciliations from existing data</v>
      </c>
      <c r="R25" s="39" t="str">
        <f>IF(Q25="","",INDEX(Lists!$B$2:$B$11,MATCH(Q25,Lists!$A$2:$A$11,0)))</f>
        <v>BI, dashboards &amp; reconciliation automation</v>
      </c>
      <c r="S25" s="38">
        <f>IF(R25="","",INDEX(Lists!$C$2:$C$11,MATCH(R25,Lists!$B$2:$B$11,0)))</f>
        <v>2</v>
      </c>
      <c r="T25" s="38" t="str">
        <f>IF(R25="","",INDEX(Lists!$D$2:$D$11,MATCH(R25,Lists!$B$2:$B$11,0)))</f>
        <v>No</v>
      </c>
      <c r="U25" s="38" t="str">
        <f>IF(OR(R25="",I25=""),"",IF(INDEX(Lists!$N$2:$N$5,MATCH(I25,Lists!$M$2:$M$5,0))&gt;=INDEX(Lists!$E$2:$E$11,MATCH(R25,Lists!$B$2:$B$11,0)),"Data ready","Data gap"))</f>
        <v>Data ready</v>
      </c>
      <c r="V25" s="39" t="str">
        <f>IF(R25="","",IF(S25&lt;=IF('1. AI Position'!$C$30="",5,INDEX(Lists!$AI$2:$AI$5,'1. AI Position'!$C$30)),"Within current position","Beyond current position"))</f>
        <v>Within current position</v>
      </c>
      <c r="W25" s="40" t="str">
        <f>IF(B25="","",IF(OR(COUNTA(F25:N25)&lt;9,Q25=""),"Complete inputs",IF(H25="No - varies by person / team","Redesign / standardise first",IF(T25="No","Automate - AI not needed",IF(U25="Data gap","AI later - close data gap first",IF(V25="Beyond current position","Stretch - partner or later stage","AI fit now"))))))</f>
        <v>Automate - AI not needed</v>
      </c>
      <c r="X25" s="41">
        <f>IF(OR(W25="",W25="Complete inputs"),"",ROUND(0.3*INDEX(Lists!$N$8:$N$10,MATCH(F25,Lists!$M$8:$M$10,0))+0.25*IF(G25&lt;20,1,IF(G25&lt;80,2,IF(G25&lt;160,3,IF(G25&lt;480,4,5))))+0.25*J25+0.2*K25,2))</f>
        <v>2.65</v>
      </c>
      <c r="Y25" s="41">
        <f>IF(X25="","",ROUND(0.3*IF(U25="Data ready",5,IF(INDEX(Lists!$N$2:$N$5,MATCH(I25,Lists!$M$2:$M$5,0))=INDEX(Lists!$E$2:$E$11,MATCH(R25,Lists!$B$2:$B$11,0))-1,3,1))+0.25*INDEX(Lists!$N$13:$N$15,MATCH(H25,Lists!$M$13:$M$15,0))+0.25*(6-S25)+0.2*IF(V25="Within current position",5,2),2))</f>
        <v>4.25</v>
      </c>
      <c r="Z25" s="38" t="str">
        <f>IF(X25="","",CHOOSE(MAX(IF(T25="No",IF(L25="Yes",2,1),IF(IF(L25="Yes",2,0)+IF(M25="Yes",1,0)+INDEX(Lists!$N$18:$N$20,MATCH(N25,Lists!$M$18:$M$20,0))+IF(K25=5,2,IF(K25&gt;=4,1,0))&gt;=4,3,IF(IF(L25="Yes",2,0)+IF(M25="Yes",1,0)+INDEX(Lists!$N$18:$N$20,MATCH(N25,Lists!$M$18:$M$20,0))+IF(K25=5,2,IF(K25&gt;=4,1,0))&gt;=2,2,1))),IF($O25="Custom",1,MATCH(INDEX('2. Use-Case Library'!$L$5:$L$244,MATCH($O25,'2. Use-Case Library'!$A$5:$A$244,0)),{"Low","Medium","High"},0))),"Low","Medium","High"))</f>
        <v>Low</v>
      </c>
      <c r="AA25" s="38" t="str">
        <f>IF(X25="","",IF(AND(X25&gt;=$C$4,Y25&gt;=$C$4),"Quick win",IF(X25&gt;=$C$4,"Strategic bet",IF(Y25&gt;=$C$4,"Fill-in","Deprioritise"))))</f>
        <v>Fill-in</v>
      </c>
      <c r="AB25" s="41">
        <f>IF(X25="","",ROUND(X25*Y25*IF(Z25="High",0.85,1)*IF(W25="Redesign / standardise first",0.8,1),2))</f>
        <v>11.26</v>
      </c>
      <c r="AC25" s="42">
        <f>IF(AB25="","",RANK(AB25,$AB$8:$AB$57)+COUNTIF($AB$7:AB24,AB25))</f>
        <v>16</v>
      </c>
      <c r="AD25" s="39" t="str">
        <f>IF(AH25="","",INDEX(Lists!$AV$2:$AV$5,AH25))</f>
        <v>H1 - Now (0-6 months)</v>
      </c>
      <c r="AE25" s="43">
        <f>IF(AB25="","",ROUND(G25*12*INDEX(Lists!$F$2:$F$11,MATCH(R25,Lists!$B$2:$B$11,0)),0))</f>
        <v>300</v>
      </c>
      <c r="AF25" s="44" t="str">
        <f>IF(OR(B25="",R25=""),"",IF(O25="Custom",INDEX(Lists!$I$2:$I$11,MATCH(R25,Lists!$B$2:$B$11,0)),INDEX('2. Use-Case Library'!$H$5:$H$244,MATCH($O25,'2. Use-Case Library'!$A$5:$A$244,0))))</f>
        <v>Governed KPI definitions and dashboards on a common data model; GenAI 'ask your data' later.</v>
      </c>
      <c r="AG25" s="44" t="str">
        <f>IF(OR(B25="",O25="Custom"),"",INDEX('2. Use-Case Library'!$K$5:$K$244,MATCH($O25,'2. Use-Case Library'!$A$5:$A$244,0)))</f>
        <v>Data ownership and definitions agreed first.</v>
      </c>
      <c r="AH25" s="38">
        <f>IF(AB25="","",IF(AA25="Deprioritise",4,IF(W25="AI later - close data gap first",3,IF(OR(W25="Redesign / standardise first",W25="Stretch - partner or later stage",AA25="Strategic bet",Z25="High",S25=5),2,1))))</f>
        <v>1</v>
      </c>
      <c r="AI25" s="38">
        <f>IF(AC25="","",AH25*100+AC25)</f>
        <v>116</v>
      </c>
      <c r="AJ25" s="38" t="str">
        <f>IF(B25="","",IF(O25="Custom",B25,INDEX('2. Use-Case Library'!$D$5:$D$244,MATCH($O25,'2. Use-Case Library'!$A$5:$A$244,0))))</f>
        <v>KPI dashboards</v>
      </c>
    </row>
    <row r="26" ht="52" customHeight="1">
      <c r="A26" s="14" t="n">
        <v>19</v>
      </c>
      <c r="B26" s="37" t="inlineStr">
        <is>
          <t>PRO-13 | Assessment &amp; maturity report production</t>
        </is>
      </c>
      <c r="C26" s="37" t="n"/>
      <c r="D26" s="37" t="n"/>
      <c r="E26" s="37" t="n"/>
      <c r="F26" s="37" t="inlineStr">
        <is>
          <t>Low (fewer than 100 a month)</t>
        </is>
      </c>
      <c r="G26" s="37" t="n">
        <v>40</v>
      </c>
      <c r="H26" s="37" t="inlineStr">
        <is>
          <t>Yes - documented and consistent</t>
        </is>
      </c>
      <c r="I26" s="37" t="inlineStr">
        <is>
          <t>Digital history available</t>
        </is>
      </c>
      <c r="J26" s="37" t="n">
        <v>4</v>
      </c>
      <c r="K26" s="37" t="n">
        <v>4</v>
      </c>
      <c r="L26" s="37" t="inlineStr">
        <is>
          <t>No</t>
        </is>
      </c>
      <c r="M26" s="37" t="inlineStr">
        <is>
          <t>No</t>
        </is>
      </c>
      <c r="N26" s="37" t="inlineStr">
        <is>
          <t>Human approves each AI output</t>
        </is>
      </c>
      <c r="O26" s="38" t="str">
        <f>IF(B26="","",IFERROR(INDEX('2. Use-Case Library'!$A$5:$A$244,MATCH(B26,'2. Use-Case Library'!$M$5:$M$244,0)),"Custom"))</f>
        <v>PRO-13</v>
      </c>
      <c r="P26" s="39" t="str">
        <f>IF(B26="","",IF(O26="Custom",IF(E26="","(select function in E)",E26),INDEX('2. Use-Case Library'!$C$5:$C$244,MATCH($O26,'2. Use-Case Library'!$A$5:$A$244,0))))</f>
        <v>Core operations &amp; service delivery</v>
      </c>
      <c r="Q26" s="39" t="str">
        <f>IF(B26="","",IF(D26&lt;&gt;"",D26,IF(O26="Custom","",INDEX('2. Use-Case Library'!$F$5:$F$244,MATCH($O26,'2. Use-Case Library'!$A$5:$A$244,0)))))</f>
        <v>Move or re-key data between systems following fixed rules</v>
      </c>
      <c r="R26" s="39" t="str">
        <f>IF(Q26="","",INDEX(Lists!$B$2:$B$11,MATCH(Q26,Lists!$A$2:$A$11,0)))</f>
        <v>Workflow automation / RPA</v>
      </c>
      <c r="S26" s="38">
        <f>IF(R26="","",INDEX(Lists!$C$2:$C$11,MATCH(R26,Lists!$B$2:$B$11,0)))</f>
        <v>2</v>
      </c>
      <c r="T26" s="38" t="str">
        <f>IF(R26="","",INDEX(Lists!$D$2:$D$11,MATCH(R26,Lists!$B$2:$B$11,0)))</f>
        <v>No</v>
      </c>
      <c r="U26" s="38" t="str">
        <f>IF(OR(R26="",I26=""),"",IF(INDEX(Lists!$N$2:$N$5,MATCH(I26,Lists!$M$2:$M$5,0))&gt;=INDEX(Lists!$E$2:$E$11,MATCH(R26,Lists!$B$2:$B$11,0)),"Data ready","Data gap"))</f>
        <v>Data ready</v>
      </c>
      <c r="V26" s="39" t="str">
        <f>IF(R26="","",IF(S26&lt;=IF('1. AI Position'!$C$30="",5,INDEX(Lists!$AI$2:$AI$5,'1. AI Position'!$C$30)),"Within current position","Beyond current position"))</f>
        <v>Within current position</v>
      </c>
      <c r="W26" s="40" t="str">
        <f>IF(B26="","",IF(OR(COUNTA(F26:N26)&lt;9,Q26=""),"Complete inputs",IF(H26="No - varies by person / team","Redesign / standardise first",IF(T26="No","Automate - AI not needed",IF(U26="Data gap","AI later - close data gap first",IF(V26="Beyond current position","Stretch - partner or later stage","AI fit now"))))))</f>
        <v>Automate - AI not needed</v>
      </c>
      <c r="X26" s="41">
        <f>IF(OR(W26="",W26="Complete inputs"),"",ROUND(0.3*INDEX(Lists!$N$8:$N$10,MATCH(F26,Lists!$M$8:$M$10,0))+0.25*IF(G26&lt;20,1,IF(G26&lt;80,2,IF(G26&lt;160,3,IF(G26&lt;480,4,5))))+0.25*J26+0.2*K26,2))</f>
        <v>2.6</v>
      </c>
      <c r="Y26" s="41">
        <f>IF(X26="","",ROUND(0.3*IF(U26="Data ready",5,IF(INDEX(Lists!$N$2:$N$5,MATCH(I26,Lists!$M$2:$M$5,0))=INDEX(Lists!$E$2:$E$11,MATCH(R26,Lists!$B$2:$B$11,0))-1,3,1))+0.25*INDEX(Lists!$N$13:$N$15,MATCH(H26,Lists!$M$13:$M$15,0))+0.25*(6-S26)+0.2*IF(V26="Within current position",5,2),2))</f>
        <v>4.75</v>
      </c>
      <c r="Z26" s="38" t="str">
        <f>IF(X26="","",CHOOSE(MAX(IF(T26="No",IF(L26="Yes",2,1),IF(IF(L26="Yes",2,0)+IF(M26="Yes",1,0)+INDEX(Lists!$N$18:$N$20,MATCH(N26,Lists!$M$18:$M$20,0))+IF(K26=5,2,IF(K26&gt;=4,1,0))&gt;=4,3,IF(IF(L26="Yes",2,0)+IF(M26="Yes",1,0)+INDEX(Lists!$N$18:$N$20,MATCH(N26,Lists!$M$18:$M$20,0))+IF(K26=5,2,IF(K26&gt;=4,1,0))&gt;=2,2,1))),IF($O26="Custom",1,MATCH(INDEX('2. Use-Case Library'!$L$5:$L$244,MATCH($O26,'2. Use-Case Library'!$A$5:$A$244,0)),{"Low","Medium","High"},0))),"Low","Medium","High"))</f>
        <v>Low</v>
      </c>
      <c r="AA26" s="38" t="str">
        <f>IF(X26="","",IF(AND(X26&gt;=$C$4,Y26&gt;=$C$4),"Quick win",IF(X26&gt;=$C$4,"Strategic bet",IF(Y26&gt;=$C$4,"Fill-in","Deprioritise"))))</f>
        <v>Fill-in</v>
      </c>
      <c r="AB26" s="41">
        <f>IF(X26="","",ROUND(X26*Y26*IF(Z26="High",0.85,1)*IF(W26="Redesign / standardise first",0.8,1),2))</f>
        <v>12.35</v>
      </c>
      <c r="AC26" s="42">
        <f>IF(AB26="","",RANK(AB26,$AB$8:$AB$57)+COUNTIF($AB$7:AB25,AB26))</f>
        <v>13</v>
      </c>
      <c r="AD26" s="39" t="str">
        <f>IF(AH26="","",INDEX(Lists!$AV$2:$AV$5,AH26))</f>
        <v>H1 - Now (0-6 months)</v>
      </c>
      <c r="AE26" s="43">
        <f>IF(AB26="","",ROUND(G26*12*INDEX(Lists!$F$2:$F$11,MATCH(R26,Lists!$B$2:$B$11,0)),0))</f>
        <v>288</v>
      </c>
      <c r="AF26" s="44" t="str">
        <f>IF(OR(B26="",R26=""),"",IF(O26="Custom",INDEX(Lists!$I$2:$I$11,MATCH(R26,Lists!$B$2:$B$11,0)),INDEX('2. Use-Case Library'!$H$5:$H$244,MATCH($O26,'2. Use-Case Library'!$A$5:$A$244,0))))</f>
        <v>Questionnaire-driven automated report generation with professional review (as for the GT AI Readiness Assessment).</v>
      </c>
      <c r="AG26" s="44" t="str">
        <f>IF(OR(B26="",O26="Custom"),"",INDEX('2. Use-Case Library'!$K$5:$K$244,MATCH($O26,'2. Use-Case Library'!$A$5:$A$244,0)))</f>
        <v>Quality review before issue.</v>
      </c>
      <c r="AH26" s="38">
        <f>IF(AB26="","",IF(AA26="Deprioritise",4,IF(W26="AI later - close data gap first",3,IF(OR(W26="Redesign / standardise first",W26="Stretch - partner or later stage",AA26="Strategic bet",Z26="High",S26=5),2,1))))</f>
        <v>1</v>
      </c>
      <c r="AI26" s="38">
        <f>IF(AC26="","",AH26*100+AC26)</f>
        <v>113</v>
      </c>
      <c r="AJ26" s="38" t="str">
        <f>IF(B26="","",IF(O26="Custom",B26,INDEX('2. Use-Case Library'!$D$5:$D$244,MATCH($O26,'2. Use-Case Library'!$A$5:$A$244,0))))</f>
        <v>Assessment &amp; maturity report production</v>
      </c>
    </row>
    <row r="27" ht="52" customHeight="1">
      <c r="A27" s="14" t="n">
        <v>20</v>
      </c>
      <c r="B27" s="37" t="inlineStr">
        <is>
          <t>PRO-12 | Client BCP &amp; business impact analysis (GT AI BCP tool - in preparation)</t>
        </is>
      </c>
      <c r="C27" s="37" t="n"/>
      <c r="D27" s="37" t="n"/>
      <c r="E27" s="37" t="n"/>
      <c r="F27" s="37" t="inlineStr">
        <is>
          <t>Low (fewer than 100 a month)</t>
        </is>
      </c>
      <c r="G27" s="37" t="n">
        <v>200</v>
      </c>
      <c r="H27" s="37" t="inlineStr">
        <is>
          <t>Partly - common steps, some variation</t>
        </is>
      </c>
      <c r="I27" s="37" t="inlineStr">
        <is>
          <t>Partial or paper-based</t>
        </is>
      </c>
      <c r="J27" s="37" t="n">
        <v>5</v>
      </c>
      <c r="K27" s="37" t="n">
        <v>4</v>
      </c>
      <c r="L27" s="37" t="inlineStr">
        <is>
          <t>No</t>
        </is>
      </c>
      <c r="M27" s="37" t="inlineStr">
        <is>
          <t>Yes</t>
        </is>
      </c>
      <c r="N27" s="37" t="inlineStr">
        <is>
          <t>Human approves each AI output</t>
        </is>
      </c>
      <c r="O27" s="38" t="str">
        <f>IF(B27="","",IFERROR(INDEX('2. Use-Case Library'!$A$5:$A$244,MATCH(B27,'2. Use-Case Library'!$M$5:$M$244,0)),"Custom"))</f>
        <v>PRO-12</v>
      </c>
      <c r="P27" s="39" t="str">
        <f>IF(B27="","",IF(O27="Custom",IF(E27="","(select function in E)",E27),INDEX('2. Use-Case Library'!$C$5:$C$244,MATCH($O27,'2. Use-Case Library'!$A$5:$A$244,0))))</f>
        <v>Risk, compliance &amp; legal</v>
      </c>
      <c r="Q27" s="39" t="str">
        <f>IF(B27="","",IF(D27&lt;&gt;"",D27,IF(O27="Custom","",INDEX('2. Use-Case Library'!$F$5:$F$244,MATCH($O27,'2. Use-Case Library'!$A$5:$A$244,0)))))</f>
        <v>Draft, summarise, translate or review text</v>
      </c>
      <c r="R27" s="39" t="str">
        <f>IF(Q27="","",INDEX(Lists!$B$2:$B$11,MATCH(Q27,Lists!$A$2:$A$11,0)))</f>
        <v>Generative AI assistant (off-the-shelf)</v>
      </c>
      <c r="S27" s="38">
        <f>IF(R27="","",INDEX(Lists!$C$2:$C$11,MATCH(R27,Lists!$B$2:$B$11,0)))</f>
        <v>3</v>
      </c>
      <c r="T27" s="38" t="str">
        <f>IF(R27="","",INDEX(Lists!$D$2:$D$11,MATCH(R27,Lists!$B$2:$B$11,0)))</f>
        <v>Yes</v>
      </c>
      <c r="U27" s="38" t="str">
        <f>IF(OR(R27="",I27=""),"",IF(INDEX(Lists!$N$2:$N$5,MATCH(I27,Lists!$M$2:$M$5,0))&gt;=INDEX(Lists!$E$2:$E$11,MATCH(R27,Lists!$B$2:$B$11,0)),"Data ready","Data gap"))</f>
        <v>Data ready</v>
      </c>
      <c r="V27" s="39" t="str">
        <f>IF(R27="","",IF(S27&lt;=IF('1. AI Position'!$C$30="",5,INDEX(Lists!$AI$2:$AI$5,'1. AI Position'!$C$30)),"Within current position","Beyond current position"))</f>
        <v>Within current position</v>
      </c>
      <c r="W27" s="40" t="str">
        <f>IF(B27="","",IF(OR(COUNTA(F27:N27)&lt;9,Q27=""),"Complete inputs",IF(H27="No - varies by person / team","Redesign / standardise first",IF(T27="No","Automate - AI not needed",IF(U27="Data gap","AI later - close data gap first",IF(V27="Beyond current position","Stretch - partner or later stage","AI fit now"))))))</f>
        <v>AI fit now</v>
      </c>
      <c r="X27" s="41">
        <f>IF(OR(W27="",W27="Complete inputs"),"",ROUND(0.3*INDEX(Lists!$N$8:$N$10,MATCH(F27,Lists!$M$8:$M$10,0))+0.25*IF(G27&lt;20,1,IF(G27&lt;80,2,IF(G27&lt;160,3,IF(G27&lt;480,4,5))))+0.25*J27+0.2*K27,2))</f>
        <v>3.35</v>
      </c>
      <c r="Y27" s="41">
        <f>IF(X27="","",ROUND(0.3*IF(U27="Data ready",5,IF(INDEX(Lists!$N$2:$N$5,MATCH(I27,Lists!$M$2:$M$5,0))=INDEX(Lists!$E$2:$E$11,MATCH(R27,Lists!$B$2:$B$11,0))-1,3,1))+0.25*INDEX(Lists!$N$13:$N$15,MATCH(H27,Lists!$M$13:$M$15,0))+0.25*(6-S27)+0.2*IF(V27="Within current position",5,2),2))</f>
        <v>4</v>
      </c>
      <c r="Z27" s="38" t="str">
        <f>IF(X27="","",CHOOSE(MAX(IF(T27="No",IF(L27="Yes",2,1),IF(IF(L27="Yes",2,0)+IF(M27="Yes",1,0)+INDEX(Lists!$N$18:$N$20,MATCH(N27,Lists!$M$18:$M$20,0))+IF(K27=5,2,IF(K27&gt;=4,1,0))&gt;=4,3,IF(IF(L27="Yes",2,0)+IF(M27="Yes",1,0)+INDEX(Lists!$N$18:$N$20,MATCH(N27,Lists!$M$18:$M$20,0))+IF(K27=5,2,IF(K27&gt;=4,1,0))&gt;=2,2,1))),IF($O27="Custom",1,MATCH(INDEX('2. Use-Case Library'!$L$5:$L$244,MATCH($O27,'2. Use-Case Library'!$A$5:$A$244,0)),{"Low","Medium","High"},0))),"Low","Medium","High"))</f>
        <v>Medium</v>
      </c>
      <c r="AA27" s="38" t="str">
        <f>IF(X27="","",IF(AND(X27&gt;=$C$4,Y27&gt;=$C$4),"Quick win",IF(X27&gt;=$C$4,"Strategic bet",IF(Y27&gt;=$C$4,"Fill-in","Deprioritise"))))</f>
        <v>Quick win</v>
      </c>
      <c r="AB27" s="41">
        <f>IF(X27="","",ROUND(X27*Y27*IF(Z27="High",0.85,1)*IF(W27="Redesign / standardise first",0.8,1),2))</f>
        <v>13.4</v>
      </c>
      <c r="AC27" s="42">
        <f>IF(AB27="","",RANK(AB27,$AB$8:$AB$57)+COUNTIF($AB$7:AB26,AB27))</f>
        <v>11</v>
      </c>
      <c r="AD27" s="39" t="str">
        <f>IF(AH27="","",INDEX(Lists!$AV$2:$AV$5,AH27))</f>
        <v>H1 - Now (0-6 months)</v>
      </c>
      <c r="AE27" s="43">
        <f>IF(AB27="","",ROUND(G27*12*INDEX(Lists!$F$2:$F$11,MATCH(R27,Lists!$B$2:$B$11,0)),0))</f>
        <v>720</v>
      </c>
      <c r="AF27" s="44" t="str">
        <f>IF(OR(B27="",R27=""),"",IF(O27="Custom",INDEX(Lists!$I$2:$I$11,MATCH(R27,Lists!$B$2:$B$11,0)),INDEX('2. Use-Case Library'!$H$5:$H$244,MATCH($O27,'2. Use-Case Library'!$A$5:$A$244,0))))</f>
        <v>AI-assisted BIA and ISO 22301-aligned plan drafting (GT AI-powered BCP tool - in preparation).</v>
      </c>
      <c r="AG27" s="44" t="str">
        <f>IF(OR(B27="",O27="Custom"),"",INDEX('2. Use-Case Library'!$K$5:$K$244,MATCH($O27,'2. Use-Case Library'!$A$5:$A$244,0)))</f>
        <v>Client validation of plans; confidentiality.</v>
      </c>
      <c r="AH27" s="38">
        <f>IF(AB27="","",IF(AA27="Deprioritise",4,IF(W27="AI later - close data gap first",3,IF(OR(W27="Redesign / standardise first",W27="Stretch - partner or later stage",AA27="Strategic bet",Z27="High",S27=5),2,1))))</f>
        <v>1</v>
      </c>
      <c r="AI27" s="38">
        <f>IF(AC27="","",AH27*100+AC27)</f>
        <v>111</v>
      </c>
      <c r="AJ27" s="38" t="str">
        <f>IF(B27="","",IF(O27="Custom",B27,INDEX('2. Use-Case Library'!$D$5:$D$244,MATCH($O27,'2. Use-Case Library'!$A$5:$A$244,0))))</f>
        <v>Client BCP &amp; business impact analysis (GT AI BCP tool - in preparation)</v>
      </c>
    </row>
    <row r="28" ht="52" customHeight="1">
      <c r="A28" s="14" t="n">
        <v>21</v>
      </c>
      <c r="B28" s="37" t="inlineStr">
        <is>
          <t>PRO-11 | Financial statements preparation (GT AI FS tool - in preparation)</t>
        </is>
      </c>
      <c r="C28" s="37" t="n"/>
      <c r="D28" s="37" t="n"/>
      <c r="E28" s="37" t="n"/>
      <c r="F28" s="37" t="inlineStr">
        <is>
          <t>Medium (100 - 1,000 a month)</t>
        </is>
      </c>
      <c r="G28" s="37" t="n">
        <v>260</v>
      </c>
      <c r="H28" s="37" t="inlineStr">
        <is>
          <t>Yes - documented and consistent</t>
        </is>
      </c>
      <c r="I28" s="37" t="inlineStr">
        <is>
          <t>Digital history available</t>
        </is>
      </c>
      <c r="J28" s="37" t="n">
        <v>5</v>
      </c>
      <c r="K28" s="37" t="n">
        <v>5</v>
      </c>
      <c r="L28" s="37" t="inlineStr">
        <is>
          <t>No</t>
        </is>
      </c>
      <c r="M28" s="37" t="inlineStr">
        <is>
          <t>Yes</t>
        </is>
      </c>
      <c r="N28" s="37" t="inlineStr">
        <is>
          <t>Human approves each AI output</t>
        </is>
      </c>
      <c r="O28" s="38" t="str">
        <f>IF(B28="","",IFERROR(INDEX('2. Use-Case Library'!$A$5:$A$244,MATCH(B28,'2. Use-Case Library'!$M$5:$M$244,0)),"Custom"))</f>
        <v>PRO-11</v>
      </c>
      <c r="P28" s="39" t="str">
        <f>IF(B28="","",IF(O28="Custom",IF(E28="","(select function in E)",E28),INDEX('2. Use-Case Library'!$C$5:$C$244,MATCH($O28,'2. Use-Case Library'!$A$5:$A$244,0))))</f>
        <v>Core operations &amp; service delivery</v>
      </c>
      <c r="Q28" s="39" t="str">
        <f>IF(B28="","",IF(D28&lt;&gt;"",D28,IF(O28="Custom","",INDEX('2. Use-Case Library'!$F$5:$F$244,MATCH($O28,'2. Use-Case Library'!$A$5:$A$244,0)))))</f>
        <v>Forecast, score, classify or detect anomalies from historical data</v>
      </c>
      <c r="R28" s="39" t="str">
        <f>IF(Q28="","",INDEX(Lists!$B$2:$B$11,MATCH(Q28,Lists!$A$2:$A$11,0)))</f>
        <v>Predictive analytics / machine learning</v>
      </c>
      <c r="S28" s="38">
        <f>IF(R28="","",INDEX(Lists!$C$2:$C$11,MATCH(R28,Lists!$B$2:$B$11,0)))</f>
        <v>5</v>
      </c>
      <c r="T28" s="38" t="str">
        <f>IF(R28="","",INDEX(Lists!$D$2:$D$11,MATCH(R28,Lists!$B$2:$B$11,0)))</f>
        <v>Yes</v>
      </c>
      <c r="U28" s="38" t="str">
        <f>IF(OR(R28="",I28=""),"",IF(INDEX(Lists!$N$2:$N$5,MATCH(I28,Lists!$M$2:$M$5,0))&gt;=INDEX(Lists!$E$2:$E$11,MATCH(R28,Lists!$B$2:$B$11,0)),"Data ready","Data gap"))</f>
        <v>Data ready</v>
      </c>
      <c r="V28" s="39" t="str">
        <f>IF(R28="","",IF(S28&lt;=IF('1. AI Position'!$C$30="",5,INDEX(Lists!$AI$2:$AI$5,'1. AI Position'!$C$30)),"Within current position","Beyond current position"))</f>
        <v>Beyond current position</v>
      </c>
      <c r="W28" s="40" t="str">
        <f>IF(B28="","",IF(OR(COUNTA(F28:N28)&lt;9,Q28=""),"Complete inputs",IF(H28="No - varies by person / team","Redesign / standardise first",IF(T28="No","Automate - AI not needed",IF(U28="Data gap","AI later - close data gap first",IF(V28="Beyond current position","Stretch - partner or later stage","AI fit now"))))))</f>
        <v>Stretch - partner or later stage</v>
      </c>
      <c r="X28" s="41">
        <f>IF(OR(W28="",W28="Complete inputs"),"",ROUND(0.3*INDEX(Lists!$N$8:$N$10,MATCH(F28,Lists!$M$8:$M$10,0))+0.25*IF(G28&lt;20,1,IF(G28&lt;80,2,IF(G28&lt;160,3,IF(G28&lt;480,4,5))))+0.25*J28+0.2*K28,2))</f>
        <v>4.15</v>
      </c>
      <c r="Y28" s="41">
        <f>IF(X28="","",ROUND(0.3*IF(U28="Data ready",5,IF(INDEX(Lists!$N$2:$N$5,MATCH(I28,Lists!$M$2:$M$5,0))=INDEX(Lists!$E$2:$E$11,MATCH(R28,Lists!$B$2:$B$11,0))-1,3,1))+0.25*INDEX(Lists!$N$13:$N$15,MATCH(H28,Lists!$M$13:$M$15,0))+0.25*(6-S28)+0.2*IF(V28="Within current position",5,2),2))</f>
        <v>3.4</v>
      </c>
      <c r="Z28" s="38" t="str">
        <f>IF(X28="","",CHOOSE(MAX(IF(T28="No",IF(L28="Yes",2,1),IF(IF(L28="Yes",2,0)+IF(M28="Yes",1,0)+INDEX(Lists!$N$18:$N$20,MATCH(N28,Lists!$M$18:$M$20,0))+IF(K28=5,2,IF(K28&gt;=4,1,0))&gt;=4,3,IF(IF(L28="Yes",2,0)+IF(M28="Yes",1,0)+INDEX(Lists!$N$18:$N$20,MATCH(N28,Lists!$M$18:$M$20,0))+IF(K28=5,2,IF(K28&gt;=4,1,0))&gt;=2,2,1))),IF($O28="Custom",1,MATCH(INDEX('2. Use-Case Library'!$L$5:$L$244,MATCH($O28,'2. Use-Case Library'!$A$5:$A$244,0)),{"Low","Medium","High"},0))),"Low","Medium","High"))</f>
        <v>High</v>
      </c>
      <c r="AA28" s="38" t="str">
        <f>IF(X28="","",IF(AND(X28&gt;=$C$4,Y28&gt;=$C$4),"Quick win",IF(X28&gt;=$C$4,"Strategic bet",IF(Y28&gt;=$C$4,"Fill-in","Deprioritise"))))</f>
        <v>Quick win</v>
      </c>
      <c r="AB28" s="41">
        <f>IF(X28="","",ROUND(X28*Y28*IF(Z28="High",0.85,1)*IF(W28="Redesign / standardise first",0.8,1),2))</f>
        <v>11.99</v>
      </c>
      <c r="AC28" s="42">
        <f>IF(AB28="","",RANK(AB28,$AB$8:$AB$57)+COUNTIF($AB$7:AB27,AB28))</f>
        <v>14</v>
      </c>
      <c r="AD28" s="39" t="str">
        <f>IF(AH28="","",INDEX(Lists!$AV$2:$AV$5,AH28))</f>
        <v>H2 - Next (6-12 months)</v>
      </c>
      <c r="AE28" s="43">
        <f>IF(AB28="","",ROUND(G28*12*INDEX(Lists!$F$2:$F$11,MATCH(R28,Lists!$B$2:$B$11,0)),0))</f>
        <v>624</v>
      </c>
      <c r="AF28" s="44" t="str">
        <f>IF(OR(B28="",R28=""),"",IF(O28="Custom",INDEX(Lists!$I$2:$I$11,MATCH(R28,Lists!$B$2:$B$11,0)),INDEX('2. Use-Case Library'!$H$5:$H$244,MATCH($O28,'2. Use-Case Library'!$A$5:$A$244,0))))</f>
        <v>AI-assisted TB mapping and notes drafting with mandatory accountant review (GT AI-powered Financial Statements tool - in preparation).</v>
      </c>
      <c r="AG28" s="44" t="str">
        <f>IF(OR(B28="",O28="Custom"),"",INDEX('2. Use-Case Library'!$K$5:$K$244,MATCH($O28,'2. Use-Case Library'!$A$5:$A$244,0)))</f>
        <v>IFRS; IESBA independence for audit clients; professional sign-off.</v>
      </c>
      <c r="AH28" s="38">
        <f>IF(AB28="","",IF(AA28="Deprioritise",4,IF(W28="AI later - close data gap first",3,IF(OR(W28="Redesign / standardise first",W28="Stretch - partner or later stage",AA28="Strategic bet",Z28="High",S28=5),2,1))))</f>
        <v>2</v>
      </c>
      <c r="AI28" s="38">
        <f>IF(AC28="","",AH28*100+AC28)</f>
        <v>214</v>
      </c>
      <c r="AJ28" s="38" t="str">
        <f>IF(B28="","",IF(O28="Custom",B28,INDEX('2. Use-Case Library'!$D$5:$D$244,MATCH($O28,'2. Use-Case Library'!$A$5:$A$244,0))))</f>
        <v>Financial statements preparation (GT AI FS tool - in preparation)</v>
      </c>
    </row>
    <row r="29" ht="52" customHeight="1">
      <c r="A29" s="14" t="n">
        <v>22</v>
      </c>
      <c r="B29" s="37" t="inlineStr">
        <is>
          <t>XI-28 | Customer churn prediction</t>
        </is>
      </c>
      <c r="C29" s="37" t="n"/>
      <c r="D29" s="37" t="n"/>
      <c r="E29" s="37" t="n"/>
      <c r="F29" s="37" t="inlineStr">
        <is>
          <t>Medium (100 - 1,000 a month)</t>
        </is>
      </c>
      <c r="G29" s="37" t="n">
        <v>200</v>
      </c>
      <c r="H29" s="37" t="inlineStr">
        <is>
          <t>Partly - common steps, some variation</t>
        </is>
      </c>
      <c r="I29" s="37" t="inlineStr">
        <is>
          <t>Partial or paper-based</t>
        </is>
      </c>
      <c r="J29" s="37" t="n">
        <v>4</v>
      </c>
      <c r="K29" s="37" t="n">
        <v>4</v>
      </c>
      <c r="L29" s="37" t="inlineStr">
        <is>
          <t>No</t>
        </is>
      </c>
      <c r="M29" s="37" t="inlineStr">
        <is>
          <t>Yes</t>
        </is>
      </c>
      <c r="N29" s="37" t="inlineStr">
        <is>
          <t>Assist - AI suggests, a person does the work</t>
        </is>
      </c>
      <c r="O29" s="38" t="str">
        <f>IF(B29="","",IFERROR(INDEX('2. Use-Case Library'!$A$5:$A$244,MATCH(B29,'2. Use-Case Library'!$M$5:$M$244,0)),"Custom"))</f>
        <v>XI-28</v>
      </c>
      <c r="P29" s="39" t="str">
        <f>IF(B29="","",IF(O29="Custom",IF(E29="","(select function in E)",E29),INDEX('2. Use-Case Library'!$C$5:$C$244,MATCH($O29,'2. Use-Case Library'!$A$5:$A$244,0))))</f>
        <v>Sales &amp; marketing</v>
      </c>
      <c r="Q29" s="39" t="str">
        <f>IF(B29="","",IF(D29&lt;&gt;"",D29,IF(O29="Custom","",INDEX('2. Use-Case Library'!$F$5:$F$244,MATCH($O29,'2. Use-Case Library'!$A$5:$A$244,0)))))</f>
        <v>Forecast, score, classify or detect anomalies from historical data</v>
      </c>
      <c r="R29" s="39" t="str">
        <f>IF(Q29="","",INDEX(Lists!$B$2:$B$11,MATCH(Q29,Lists!$A$2:$A$11,0)))</f>
        <v>Predictive analytics / machine learning</v>
      </c>
      <c r="S29" s="38">
        <f>IF(R29="","",INDEX(Lists!$C$2:$C$11,MATCH(R29,Lists!$B$2:$B$11,0)))</f>
        <v>5</v>
      </c>
      <c r="T29" s="38" t="str">
        <f>IF(R29="","",INDEX(Lists!$D$2:$D$11,MATCH(R29,Lists!$B$2:$B$11,0)))</f>
        <v>Yes</v>
      </c>
      <c r="U29" s="38" t="str">
        <f>IF(OR(R29="",I29=""),"",IF(INDEX(Lists!$N$2:$N$5,MATCH(I29,Lists!$M$2:$M$5,0))&gt;=INDEX(Lists!$E$2:$E$11,MATCH(R29,Lists!$B$2:$B$11,0)),"Data ready","Data gap"))</f>
        <v>Data gap</v>
      </c>
      <c r="V29" s="39" t="str">
        <f>IF(R29="","",IF(S29&lt;=IF('1. AI Position'!$C$30="",5,INDEX(Lists!$AI$2:$AI$5,'1. AI Position'!$C$30)),"Within current position","Beyond current position"))</f>
        <v>Beyond current position</v>
      </c>
      <c r="W29" s="40" t="str">
        <f>IF(B29="","",IF(OR(COUNTA(F29:N29)&lt;9,Q29=""),"Complete inputs",IF(H29="No - varies by person / team","Redesign / standardise first",IF(T29="No","Automate - AI not needed",IF(U29="Data gap","AI later - close data gap first",IF(V29="Beyond current position","Stretch - partner or later stage","AI fit now"))))))</f>
        <v>AI later - close data gap first</v>
      </c>
      <c r="X29" s="41">
        <f>IF(OR(W29="",W29="Complete inputs"),"",ROUND(0.3*INDEX(Lists!$N$8:$N$10,MATCH(F29,Lists!$M$8:$M$10,0))+0.25*IF(G29&lt;20,1,IF(G29&lt;80,2,IF(G29&lt;160,3,IF(G29&lt;480,4,5))))+0.25*J29+0.2*K29,2))</f>
        <v>3.7</v>
      </c>
      <c r="Y29" s="41">
        <f>IF(X29="","",ROUND(0.3*IF(U29="Data ready",5,IF(INDEX(Lists!$N$2:$N$5,MATCH(I29,Lists!$M$2:$M$5,0))=INDEX(Lists!$E$2:$E$11,MATCH(R29,Lists!$B$2:$B$11,0))-1,3,1))+0.25*INDEX(Lists!$N$13:$N$15,MATCH(H29,Lists!$M$13:$M$15,0))+0.25*(6-S29)+0.2*IF(V29="Within current position",5,2),2))</f>
        <v>2.3</v>
      </c>
      <c r="Z29" s="38" t="str">
        <f>IF(X29="","",CHOOSE(MAX(IF(T29="No",IF(L29="Yes",2,1),IF(IF(L29="Yes",2,0)+IF(M29="Yes",1,0)+INDEX(Lists!$N$18:$N$20,MATCH(N29,Lists!$M$18:$M$20,0))+IF(K29=5,2,IF(K29&gt;=4,1,0))&gt;=4,3,IF(IF(L29="Yes",2,0)+IF(M29="Yes",1,0)+INDEX(Lists!$N$18:$N$20,MATCH(N29,Lists!$M$18:$M$20,0))+IF(K29=5,2,IF(K29&gt;=4,1,0))&gt;=2,2,1))),IF($O29="Custom",1,MATCH(INDEX('2. Use-Case Library'!$L$5:$L$244,MATCH($O29,'2. Use-Case Library'!$A$5:$A$244,0)),{"Low","Medium","High"},0))),"Low","Medium","High"))</f>
        <v>Medium</v>
      </c>
      <c r="AA29" s="38" t="str">
        <f>IF(X29="","",IF(AND(X29&gt;=$C$4,Y29&gt;=$C$4),"Quick win",IF(X29&gt;=$C$4,"Strategic bet",IF(Y29&gt;=$C$4,"Fill-in","Deprioritise"))))</f>
        <v>Strategic bet</v>
      </c>
      <c r="AB29" s="41">
        <f>IF(X29="","",ROUND(X29*Y29*IF(Z29="High",0.85,1)*IF(W29="Redesign / standardise first",0.8,1),2))</f>
        <v>8.51</v>
      </c>
      <c r="AC29" s="42">
        <f>IF(AB29="","",RANK(AB29,$AB$8:$AB$57)+COUNTIF($AB$7:AB28,AB29))</f>
        <v>19</v>
      </c>
      <c r="AD29" s="39" t="str">
        <f>IF(AH29="","",INDEX(Lists!$AV$2:$AV$5,AH29))</f>
        <v>H3 - Later (12-24 months)</v>
      </c>
      <c r="AE29" s="43">
        <f>IF(AB29="","",ROUND(G29*12*INDEX(Lists!$F$2:$F$11,MATCH(R29,Lists!$B$2:$B$11,0)),0))</f>
        <v>480</v>
      </c>
      <c r="AF29" s="44" t="str">
        <f>IF(OR(B29="",R29=""),"",IF(O29="Custom",INDEX(Lists!$I$2:$I$11,MATCH(R29,Lists!$B$2:$B$11,0)),INDEX('2. Use-Case Library'!$H$5:$H$244,MATCH($O29,'2. Use-Case Library'!$A$5:$A$244,0))))</f>
        <v>Churn model on usage and service history feeding retention campaigns; measure uplift with control groups.</v>
      </c>
      <c r="AG29" s="44" t="str">
        <f>IF(OR(B29="",O29="Custom"),"",INDEX('2. Use-Case Library'!$K$5:$K$244,MATCH($O29,'2. Use-Case Library'!$A$5:$A$244,0)))</f>
        <v>Consent for marketing use; fairness of offers.</v>
      </c>
      <c r="AH29" s="38">
        <f>IF(AB29="","",IF(AA29="Deprioritise",4,IF(W29="AI later - close data gap first",3,IF(OR(W29="Redesign / standardise first",W29="Stretch - partner or later stage",AA29="Strategic bet",Z29="High",S29=5),2,1))))</f>
        <v>3</v>
      </c>
      <c r="AI29" s="38">
        <f>IF(AC29="","",AH29*100+AC29)</f>
        <v>319</v>
      </c>
      <c r="AJ29" s="38" t="str">
        <f>IF(B29="","",IF(O29="Custom",B29,INDEX('2. Use-Case Library'!$D$5:$D$244,MATCH($O29,'2. Use-Case Library'!$A$5:$A$244,0))))</f>
        <v>Customer churn prediction</v>
      </c>
    </row>
    <row r="30" ht="52" customHeight="1">
      <c r="A30" s="14" t="n">
        <v>23</v>
      </c>
      <c r="B30" s="37" t="n"/>
      <c r="C30" s="37" t="n"/>
      <c r="D30" s="37" t="n"/>
      <c r="E30" s="37" t="n"/>
      <c r="F30" s="37" t="n"/>
      <c r="G30" s="37" t="n"/>
      <c r="H30" s="37" t="n"/>
      <c r="I30" s="37" t="n"/>
      <c r="J30" s="37" t="n"/>
      <c r="K30" s="37" t="n"/>
      <c r="L30" s="37" t="n"/>
      <c r="M30" s="37" t="n"/>
      <c r="N30" s="37" t="n"/>
      <c r="O30" s="38" t="str">
        <f>IF(B30="","",IFERROR(INDEX('2. Use-Case Library'!$A$5:$A$244,MATCH(B30,'2. Use-Case Library'!$M$5:$M$244,0)),"Custom"))</f>
        <v/>
      </c>
      <c r="P30" s="39" t="str">
        <f>IF(B30="","",IF(O30="Custom",IF(E30="","(select function in E)",E30),INDEX('2. Use-Case Library'!$C$5:$C$244,MATCH($O30,'2. Use-Case Library'!$A$5:$A$244,0))))</f>
        <v/>
      </c>
      <c r="Q30" s="39" t="str">
        <f>IF(B30="","",IF(D30&lt;&gt;"",D30,IF(O30="Custom","",INDEX('2. Use-Case Library'!$F$5:$F$244,MATCH($O30,'2. Use-Case Library'!$A$5:$A$244,0)))))</f>
        <v/>
      </c>
      <c r="R30" s="39" t="str">
        <f>IF(Q30="","",INDEX(Lists!$B$2:$B$11,MATCH(Q30,Lists!$A$2:$A$11,0)))</f>
        <v/>
      </c>
      <c r="S30" s="38" t="str">
        <f>IF(R30="","",INDEX(Lists!$C$2:$C$11,MATCH(R30,Lists!$B$2:$B$11,0)))</f>
        <v/>
      </c>
      <c r="T30" s="38" t="str">
        <f>IF(R30="","",INDEX(Lists!$D$2:$D$11,MATCH(R30,Lists!$B$2:$B$11,0)))</f>
        <v/>
      </c>
      <c r="U30" s="38" t="str">
        <f>IF(OR(R30="",I30=""),"",IF(INDEX(Lists!$N$2:$N$5,MATCH(I30,Lists!$M$2:$M$5,0))&gt;=INDEX(Lists!$E$2:$E$11,MATCH(R30,Lists!$B$2:$B$11,0)),"Data ready","Data gap"))</f>
        <v/>
      </c>
      <c r="V30" s="39" t="str">
        <f>IF(R30="","",IF(S30&lt;=IF('1. AI Position'!$C$30="",5,INDEX(Lists!$AI$2:$AI$5,'1. AI Position'!$C$30)),"Within current position","Beyond current position"))</f>
        <v/>
      </c>
      <c r="W30" s="40" t="str">
        <f>IF(B30="","",IF(OR(COUNTA(F30:N30)&lt;9,Q30=""),"Complete inputs",IF(H30="No - varies by person / team","Redesign / standardise first",IF(T30="No","Automate - AI not needed",IF(U30="Data gap","AI later - close data gap first",IF(V30="Beyond current position","Stretch - partner or later stage","AI fit now"))))))</f>
        <v/>
      </c>
      <c r="X30" s="41" t="str">
        <f>IF(OR(W30="",W30="Complete inputs"),"",ROUND(0.3*INDEX(Lists!$N$8:$N$10,MATCH(F30,Lists!$M$8:$M$10,0))+0.25*IF(G30&lt;20,1,IF(G30&lt;80,2,IF(G30&lt;160,3,IF(G30&lt;480,4,5))))+0.25*J30+0.2*K30,2))</f>
        <v/>
      </c>
      <c r="Y30" s="41" t="str">
        <f>IF(X30="","",ROUND(0.3*IF(U30="Data ready",5,IF(INDEX(Lists!$N$2:$N$5,MATCH(I30,Lists!$M$2:$M$5,0))=INDEX(Lists!$E$2:$E$11,MATCH(R30,Lists!$B$2:$B$11,0))-1,3,1))+0.25*INDEX(Lists!$N$13:$N$15,MATCH(H30,Lists!$M$13:$M$15,0))+0.25*(6-S30)+0.2*IF(V30="Within current position",5,2),2))</f>
        <v/>
      </c>
      <c r="Z30" s="38" t="str">
        <f>IF(X30="","",CHOOSE(MAX(IF(T30="No",IF(L30="Yes",2,1),IF(IF(L30="Yes",2,0)+IF(M30="Yes",1,0)+INDEX(Lists!$N$18:$N$20,MATCH(N30,Lists!$M$18:$M$20,0))+IF(K30=5,2,IF(K30&gt;=4,1,0))&gt;=4,3,IF(IF(L30="Yes",2,0)+IF(M30="Yes",1,0)+INDEX(Lists!$N$18:$N$20,MATCH(N30,Lists!$M$18:$M$20,0))+IF(K30=5,2,IF(K30&gt;=4,1,0))&gt;=2,2,1))),IF($O30="Custom",1,MATCH(INDEX('2. Use-Case Library'!$L$5:$L$244,MATCH($O30,'2. Use-Case Library'!$A$5:$A$244,0)),{"Low","Medium","High"},0))),"Low","Medium","High"))</f>
        <v/>
      </c>
      <c r="AA30" s="38" t="str">
        <f>IF(X30="","",IF(AND(X30&gt;=$C$4,Y30&gt;=$C$4),"Quick win",IF(X30&gt;=$C$4,"Strategic bet",IF(Y30&gt;=$C$4,"Fill-in","Deprioritise"))))</f>
        <v/>
      </c>
      <c r="AB30" s="41" t="str">
        <f>IF(X30="","",ROUND(X30*Y30*IF(Z30="High",0.85,1)*IF(W30="Redesign / standardise first",0.8,1),2))</f>
        <v/>
      </c>
      <c r="AC30" s="42" t="str">
        <f>IF(AB30="","",RANK(AB30,$AB$8:$AB$57)+COUNTIF($AB$7:AB29,AB30))</f>
        <v/>
      </c>
      <c r="AD30" s="39" t="str">
        <f>IF(AH30="","",INDEX(Lists!$AV$2:$AV$5,AH30))</f>
        <v/>
      </c>
      <c r="AE30" s="43" t="str">
        <f>IF(AB30="","",ROUND(G30*12*INDEX(Lists!$F$2:$F$11,MATCH(R30,Lists!$B$2:$B$11,0)),0))</f>
        <v/>
      </c>
      <c r="AF30" s="44" t="str">
        <f>IF(OR(B30="",R30=""),"",IF(O30="Custom",INDEX(Lists!$I$2:$I$11,MATCH(R30,Lists!$B$2:$B$11,0)),INDEX('2. Use-Case Library'!$H$5:$H$244,MATCH($O30,'2. Use-Case Library'!$A$5:$A$244,0))))</f>
        <v/>
      </c>
      <c r="AG30" s="44" t="str">
        <f>IF(OR(B30="",O30="Custom"),"",INDEX('2. Use-Case Library'!$K$5:$K$244,MATCH($O30,'2. Use-Case Library'!$A$5:$A$244,0)))</f>
        <v/>
      </c>
      <c r="AH30" s="38" t="str">
        <f>IF(AB30="","",IF(AA30="Deprioritise",4,IF(W30="AI later - close data gap first",3,IF(OR(W30="Redesign / standardise first",W30="Stretch - partner or later stage",AA30="Strategic bet",Z30="High",S30=5),2,1))))</f>
        <v/>
      </c>
      <c r="AI30" s="38" t="str">
        <f>IF(AC30="","",AH30*100+AC30)</f>
        <v/>
      </c>
      <c r="AJ30" s="38" t="str">
        <f>IF(B30="","",IF(O30="Custom",B30,INDEX('2. Use-Case Library'!$D$5:$D$244,MATCH($O30,'2. Use-Case Library'!$A$5:$A$244,0))))</f>
        <v/>
      </c>
    </row>
    <row r="31" ht="52" customHeight="1">
      <c r="A31" s="14" t="n">
        <v>24</v>
      </c>
      <c r="B31" s="37" t="n"/>
      <c r="C31" s="37" t="n"/>
      <c r="D31" s="37" t="n"/>
      <c r="E31" s="37" t="n"/>
      <c r="F31" s="37" t="n"/>
      <c r="G31" s="37" t="n"/>
      <c r="H31" s="37" t="n"/>
      <c r="I31" s="37" t="n"/>
      <c r="J31" s="37" t="n"/>
      <c r="K31" s="37" t="n"/>
      <c r="L31" s="37" t="n"/>
      <c r="M31" s="37" t="n"/>
      <c r="N31" s="37" t="n"/>
      <c r="O31" s="38" t="str">
        <f>IF(B31="","",IFERROR(INDEX('2. Use-Case Library'!$A$5:$A$244,MATCH(B31,'2. Use-Case Library'!$M$5:$M$244,0)),"Custom"))</f>
        <v/>
      </c>
      <c r="P31" s="39" t="str">
        <f>IF(B31="","",IF(O31="Custom",IF(E31="","(select function in E)",E31),INDEX('2. Use-Case Library'!$C$5:$C$244,MATCH($O31,'2. Use-Case Library'!$A$5:$A$244,0))))</f>
        <v/>
      </c>
      <c r="Q31" s="39" t="str">
        <f>IF(B31="","",IF(D31&lt;&gt;"",D31,IF(O31="Custom","",INDEX('2. Use-Case Library'!$F$5:$F$244,MATCH($O31,'2. Use-Case Library'!$A$5:$A$244,0)))))</f>
        <v/>
      </c>
      <c r="R31" s="39" t="str">
        <f>IF(Q31="","",INDEX(Lists!$B$2:$B$11,MATCH(Q31,Lists!$A$2:$A$11,0)))</f>
        <v/>
      </c>
      <c r="S31" s="38" t="str">
        <f>IF(R31="","",INDEX(Lists!$C$2:$C$11,MATCH(R31,Lists!$B$2:$B$11,0)))</f>
        <v/>
      </c>
      <c r="T31" s="38" t="str">
        <f>IF(R31="","",INDEX(Lists!$D$2:$D$11,MATCH(R31,Lists!$B$2:$B$11,0)))</f>
        <v/>
      </c>
      <c r="U31" s="38" t="str">
        <f>IF(OR(R31="",I31=""),"",IF(INDEX(Lists!$N$2:$N$5,MATCH(I31,Lists!$M$2:$M$5,0))&gt;=INDEX(Lists!$E$2:$E$11,MATCH(R31,Lists!$B$2:$B$11,0)),"Data ready","Data gap"))</f>
        <v/>
      </c>
      <c r="V31" s="39" t="str">
        <f>IF(R31="","",IF(S31&lt;=IF('1. AI Position'!$C$30="",5,INDEX(Lists!$AI$2:$AI$5,'1. AI Position'!$C$30)),"Within current position","Beyond current position"))</f>
        <v/>
      </c>
      <c r="W31" s="40" t="str">
        <f>IF(B31="","",IF(OR(COUNTA(F31:N31)&lt;9,Q31=""),"Complete inputs",IF(H31="No - varies by person / team","Redesign / standardise first",IF(T31="No","Automate - AI not needed",IF(U31="Data gap","AI later - close data gap first",IF(V31="Beyond current position","Stretch - partner or later stage","AI fit now"))))))</f>
        <v/>
      </c>
      <c r="X31" s="41" t="str">
        <f>IF(OR(W31="",W31="Complete inputs"),"",ROUND(0.3*INDEX(Lists!$N$8:$N$10,MATCH(F31,Lists!$M$8:$M$10,0))+0.25*IF(G31&lt;20,1,IF(G31&lt;80,2,IF(G31&lt;160,3,IF(G31&lt;480,4,5))))+0.25*J31+0.2*K31,2))</f>
        <v/>
      </c>
      <c r="Y31" s="41" t="str">
        <f>IF(X31="","",ROUND(0.3*IF(U31="Data ready",5,IF(INDEX(Lists!$N$2:$N$5,MATCH(I31,Lists!$M$2:$M$5,0))=INDEX(Lists!$E$2:$E$11,MATCH(R31,Lists!$B$2:$B$11,0))-1,3,1))+0.25*INDEX(Lists!$N$13:$N$15,MATCH(H31,Lists!$M$13:$M$15,0))+0.25*(6-S31)+0.2*IF(V31="Within current position",5,2),2))</f>
        <v/>
      </c>
      <c r="Z31" s="38" t="str">
        <f>IF(X31="","",CHOOSE(MAX(IF(T31="No",IF(L31="Yes",2,1),IF(IF(L31="Yes",2,0)+IF(M31="Yes",1,0)+INDEX(Lists!$N$18:$N$20,MATCH(N31,Lists!$M$18:$M$20,0))+IF(K31=5,2,IF(K31&gt;=4,1,0))&gt;=4,3,IF(IF(L31="Yes",2,0)+IF(M31="Yes",1,0)+INDEX(Lists!$N$18:$N$20,MATCH(N31,Lists!$M$18:$M$20,0))+IF(K31=5,2,IF(K31&gt;=4,1,0))&gt;=2,2,1))),IF($O31="Custom",1,MATCH(INDEX('2. Use-Case Library'!$L$5:$L$244,MATCH($O31,'2. Use-Case Library'!$A$5:$A$244,0)),{"Low","Medium","High"},0))),"Low","Medium","High"))</f>
        <v/>
      </c>
      <c r="AA31" s="38" t="str">
        <f>IF(X31="","",IF(AND(X31&gt;=$C$4,Y31&gt;=$C$4),"Quick win",IF(X31&gt;=$C$4,"Strategic bet",IF(Y31&gt;=$C$4,"Fill-in","Deprioritise"))))</f>
        <v/>
      </c>
      <c r="AB31" s="41" t="str">
        <f>IF(X31="","",ROUND(X31*Y31*IF(Z31="High",0.85,1)*IF(W31="Redesign / standardise first",0.8,1),2))</f>
        <v/>
      </c>
      <c r="AC31" s="42" t="str">
        <f>IF(AB31="","",RANK(AB31,$AB$8:$AB$57)+COUNTIF($AB$7:AB30,AB31))</f>
        <v/>
      </c>
      <c r="AD31" s="39" t="str">
        <f>IF(AH31="","",INDEX(Lists!$AV$2:$AV$5,AH31))</f>
        <v/>
      </c>
      <c r="AE31" s="43" t="str">
        <f>IF(AB31="","",ROUND(G31*12*INDEX(Lists!$F$2:$F$11,MATCH(R31,Lists!$B$2:$B$11,0)),0))</f>
        <v/>
      </c>
      <c r="AF31" s="44" t="str">
        <f>IF(OR(B31="",R31=""),"",IF(O31="Custom",INDEX(Lists!$I$2:$I$11,MATCH(R31,Lists!$B$2:$B$11,0)),INDEX('2. Use-Case Library'!$H$5:$H$244,MATCH($O31,'2. Use-Case Library'!$A$5:$A$244,0))))</f>
        <v/>
      </c>
      <c r="AG31" s="44" t="str">
        <f>IF(OR(B31="",O31="Custom"),"",INDEX('2. Use-Case Library'!$K$5:$K$244,MATCH($O31,'2. Use-Case Library'!$A$5:$A$244,0)))</f>
        <v/>
      </c>
      <c r="AH31" s="38" t="str">
        <f>IF(AB31="","",IF(AA31="Deprioritise",4,IF(W31="AI later - close data gap first",3,IF(OR(W31="Redesign / standardise first",W31="Stretch - partner or later stage",AA31="Strategic bet",Z31="High",S31=5),2,1))))</f>
        <v/>
      </c>
      <c r="AI31" s="38" t="str">
        <f>IF(AC31="","",AH31*100+AC31)</f>
        <v/>
      </c>
      <c r="AJ31" s="38" t="str">
        <f>IF(B31="","",IF(O31="Custom",B31,INDEX('2. Use-Case Library'!$D$5:$D$244,MATCH($O31,'2. Use-Case Library'!$A$5:$A$244,0))))</f>
        <v/>
      </c>
    </row>
    <row r="32" ht="52" customHeight="1">
      <c r="A32" s="14" t="n">
        <v>25</v>
      </c>
      <c r="B32" s="37" t="n"/>
      <c r="C32" s="37" t="n"/>
      <c r="D32" s="37" t="n"/>
      <c r="E32" s="37" t="n"/>
      <c r="F32" s="37" t="n"/>
      <c r="G32" s="37" t="n"/>
      <c r="H32" s="37" t="n"/>
      <c r="I32" s="37" t="n"/>
      <c r="J32" s="37" t="n"/>
      <c r="K32" s="37" t="n"/>
      <c r="L32" s="37" t="n"/>
      <c r="M32" s="37" t="n"/>
      <c r="N32" s="37" t="n"/>
      <c r="O32" s="38" t="str">
        <f>IF(B32="","",IFERROR(INDEX('2. Use-Case Library'!$A$5:$A$244,MATCH(B32,'2. Use-Case Library'!$M$5:$M$244,0)),"Custom"))</f>
        <v/>
      </c>
      <c r="P32" s="39" t="str">
        <f>IF(B32="","",IF(O32="Custom",IF(E32="","(select function in E)",E32),INDEX('2. Use-Case Library'!$C$5:$C$244,MATCH($O32,'2. Use-Case Library'!$A$5:$A$244,0))))</f>
        <v/>
      </c>
      <c r="Q32" s="39" t="str">
        <f>IF(B32="","",IF(D32&lt;&gt;"",D32,IF(O32="Custom","",INDEX('2. Use-Case Library'!$F$5:$F$244,MATCH($O32,'2. Use-Case Library'!$A$5:$A$244,0)))))</f>
        <v/>
      </c>
      <c r="R32" s="39" t="str">
        <f>IF(Q32="","",INDEX(Lists!$B$2:$B$11,MATCH(Q32,Lists!$A$2:$A$11,0)))</f>
        <v/>
      </c>
      <c r="S32" s="38" t="str">
        <f>IF(R32="","",INDEX(Lists!$C$2:$C$11,MATCH(R32,Lists!$B$2:$B$11,0)))</f>
        <v/>
      </c>
      <c r="T32" s="38" t="str">
        <f>IF(R32="","",INDEX(Lists!$D$2:$D$11,MATCH(R32,Lists!$B$2:$B$11,0)))</f>
        <v/>
      </c>
      <c r="U32" s="38" t="str">
        <f>IF(OR(R32="",I32=""),"",IF(INDEX(Lists!$N$2:$N$5,MATCH(I32,Lists!$M$2:$M$5,0))&gt;=INDEX(Lists!$E$2:$E$11,MATCH(R32,Lists!$B$2:$B$11,0)),"Data ready","Data gap"))</f>
        <v/>
      </c>
      <c r="V32" s="39" t="str">
        <f>IF(R32="","",IF(S32&lt;=IF('1. AI Position'!$C$30="",5,INDEX(Lists!$AI$2:$AI$5,'1. AI Position'!$C$30)),"Within current position","Beyond current position"))</f>
        <v/>
      </c>
      <c r="W32" s="40" t="str">
        <f>IF(B32="","",IF(OR(COUNTA(F32:N32)&lt;9,Q32=""),"Complete inputs",IF(H32="No - varies by person / team","Redesign / standardise first",IF(T32="No","Automate - AI not needed",IF(U32="Data gap","AI later - close data gap first",IF(V32="Beyond current position","Stretch - partner or later stage","AI fit now"))))))</f>
        <v/>
      </c>
      <c r="X32" s="41" t="str">
        <f>IF(OR(W32="",W32="Complete inputs"),"",ROUND(0.3*INDEX(Lists!$N$8:$N$10,MATCH(F32,Lists!$M$8:$M$10,0))+0.25*IF(G32&lt;20,1,IF(G32&lt;80,2,IF(G32&lt;160,3,IF(G32&lt;480,4,5))))+0.25*J32+0.2*K32,2))</f>
        <v/>
      </c>
      <c r="Y32" s="41" t="str">
        <f>IF(X32="","",ROUND(0.3*IF(U32="Data ready",5,IF(INDEX(Lists!$N$2:$N$5,MATCH(I32,Lists!$M$2:$M$5,0))=INDEX(Lists!$E$2:$E$11,MATCH(R32,Lists!$B$2:$B$11,0))-1,3,1))+0.25*INDEX(Lists!$N$13:$N$15,MATCH(H32,Lists!$M$13:$M$15,0))+0.25*(6-S32)+0.2*IF(V32="Within current position",5,2),2))</f>
        <v/>
      </c>
      <c r="Z32" s="38" t="str">
        <f>IF(X32="","",CHOOSE(MAX(IF(T32="No",IF(L32="Yes",2,1),IF(IF(L32="Yes",2,0)+IF(M32="Yes",1,0)+INDEX(Lists!$N$18:$N$20,MATCH(N32,Lists!$M$18:$M$20,0))+IF(K32=5,2,IF(K32&gt;=4,1,0))&gt;=4,3,IF(IF(L32="Yes",2,0)+IF(M32="Yes",1,0)+INDEX(Lists!$N$18:$N$20,MATCH(N32,Lists!$M$18:$M$20,0))+IF(K32=5,2,IF(K32&gt;=4,1,0))&gt;=2,2,1))),IF($O32="Custom",1,MATCH(INDEX('2. Use-Case Library'!$L$5:$L$244,MATCH($O32,'2. Use-Case Library'!$A$5:$A$244,0)),{"Low","Medium","High"},0))),"Low","Medium","High"))</f>
        <v/>
      </c>
      <c r="AA32" s="38" t="str">
        <f>IF(X32="","",IF(AND(X32&gt;=$C$4,Y32&gt;=$C$4),"Quick win",IF(X32&gt;=$C$4,"Strategic bet",IF(Y32&gt;=$C$4,"Fill-in","Deprioritise"))))</f>
        <v/>
      </c>
      <c r="AB32" s="41" t="str">
        <f>IF(X32="","",ROUND(X32*Y32*IF(Z32="High",0.85,1)*IF(W32="Redesign / standardise first",0.8,1),2))</f>
        <v/>
      </c>
      <c r="AC32" s="42" t="str">
        <f>IF(AB32="","",RANK(AB32,$AB$8:$AB$57)+COUNTIF($AB$7:AB31,AB32))</f>
        <v/>
      </c>
      <c r="AD32" s="39" t="str">
        <f>IF(AH32="","",INDEX(Lists!$AV$2:$AV$5,AH32))</f>
        <v/>
      </c>
      <c r="AE32" s="43" t="str">
        <f>IF(AB32="","",ROUND(G32*12*INDEX(Lists!$F$2:$F$11,MATCH(R32,Lists!$B$2:$B$11,0)),0))</f>
        <v/>
      </c>
      <c r="AF32" s="44" t="str">
        <f>IF(OR(B32="",R32=""),"",IF(O32="Custom",INDEX(Lists!$I$2:$I$11,MATCH(R32,Lists!$B$2:$B$11,0)),INDEX('2. Use-Case Library'!$H$5:$H$244,MATCH($O32,'2. Use-Case Library'!$A$5:$A$244,0))))</f>
        <v/>
      </c>
      <c r="AG32" s="44" t="str">
        <f>IF(OR(B32="",O32="Custom"),"",INDEX('2. Use-Case Library'!$K$5:$K$244,MATCH($O32,'2. Use-Case Library'!$A$5:$A$244,0)))</f>
        <v/>
      </c>
      <c r="AH32" s="38" t="str">
        <f>IF(AB32="","",IF(AA32="Deprioritise",4,IF(W32="AI later - close data gap first",3,IF(OR(W32="Redesign / standardise first",W32="Stretch - partner or later stage",AA32="Strategic bet",Z32="High",S32=5),2,1))))</f>
        <v/>
      </c>
      <c r="AI32" s="38" t="str">
        <f>IF(AC32="","",AH32*100+AC32)</f>
        <v/>
      </c>
      <c r="AJ32" s="38" t="str">
        <f>IF(B32="","",IF(O32="Custom",B32,INDEX('2. Use-Case Library'!$D$5:$D$244,MATCH($O32,'2. Use-Case Library'!$A$5:$A$244,0))))</f>
        <v/>
      </c>
    </row>
    <row r="33" ht="52" customHeight="1">
      <c r="A33" s="14" t="n">
        <v>26</v>
      </c>
      <c r="B33" s="37" t="n"/>
      <c r="C33" s="37" t="n"/>
      <c r="D33" s="37" t="n"/>
      <c r="E33" s="37" t="n"/>
      <c r="F33" s="37" t="n"/>
      <c r="G33" s="37" t="n"/>
      <c r="H33" s="37" t="n"/>
      <c r="I33" s="37" t="n"/>
      <c r="J33" s="37" t="n"/>
      <c r="K33" s="37" t="n"/>
      <c r="L33" s="37" t="n"/>
      <c r="M33" s="37" t="n"/>
      <c r="N33" s="37" t="n"/>
      <c r="O33" s="38" t="str">
        <f>IF(B33="","",IFERROR(INDEX('2. Use-Case Library'!$A$5:$A$244,MATCH(B33,'2. Use-Case Library'!$M$5:$M$244,0)),"Custom"))</f>
        <v/>
      </c>
      <c r="P33" s="39" t="str">
        <f>IF(B33="","",IF(O33="Custom",IF(E33="","(select function in E)",E33),INDEX('2. Use-Case Library'!$C$5:$C$244,MATCH($O33,'2. Use-Case Library'!$A$5:$A$244,0))))</f>
        <v/>
      </c>
      <c r="Q33" s="39" t="str">
        <f>IF(B33="","",IF(D33&lt;&gt;"",D33,IF(O33="Custom","",INDEX('2. Use-Case Library'!$F$5:$F$244,MATCH($O33,'2. Use-Case Library'!$A$5:$A$244,0)))))</f>
        <v/>
      </c>
      <c r="R33" s="39" t="str">
        <f>IF(Q33="","",INDEX(Lists!$B$2:$B$11,MATCH(Q33,Lists!$A$2:$A$11,0)))</f>
        <v/>
      </c>
      <c r="S33" s="38" t="str">
        <f>IF(R33="","",INDEX(Lists!$C$2:$C$11,MATCH(R33,Lists!$B$2:$B$11,0)))</f>
        <v/>
      </c>
      <c r="T33" s="38" t="str">
        <f>IF(R33="","",INDEX(Lists!$D$2:$D$11,MATCH(R33,Lists!$B$2:$B$11,0)))</f>
        <v/>
      </c>
      <c r="U33" s="38" t="str">
        <f>IF(OR(R33="",I33=""),"",IF(INDEX(Lists!$N$2:$N$5,MATCH(I33,Lists!$M$2:$M$5,0))&gt;=INDEX(Lists!$E$2:$E$11,MATCH(R33,Lists!$B$2:$B$11,0)),"Data ready","Data gap"))</f>
        <v/>
      </c>
      <c r="V33" s="39" t="str">
        <f>IF(R33="","",IF(S33&lt;=IF('1. AI Position'!$C$30="",5,INDEX(Lists!$AI$2:$AI$5,'1. AI Position'!$C$30)),"Within current position","Beyond current position"))</f>
        <v/>
      </c>
      <c r="W33" s="40" t="str">
        <f>IF(B33="","",IF(OR(COUNTA(F33:N33)&lt;9,Q33=""),"Complete inputs",IF(H33="No - varies by person / team","Redesign / standardise first",IF(T33="No","Automate - AI not needed",IF(U33="Data gap","AI later - close data gap first",IF(V33="Beyond current position","Stretch - partner or later stage","AI fit now"))))))</f>
        <v/>
      </c>
      <c r="X33" s="41" t="str">
        <f>IF(OR(W33="",W33="Complete inputs"),"",ROUND(0.3*INDEX(Lists!$N$8:$N$10,MATCH(F33,Lists!$M$8:$M$10,0))+0.25*IF(G33&lt;20,1,IF(G33&lt;80,2,IF(G33&lt;160,3,IF(G33&lt;480,4,5))))+0.25*J33+0.2*K33,2))</f>
        <v/>
      </c>
      <c r="Y33" s="41" t="str">
        <f>IF(X33="","",ROUND(0.3*IF(U33="Data ready",5,IF(INDEX(Lists!$N$2:$N$5,MATCH(I33,Lists!$M$2:$M$5,0))=INDEX(Lists!$E$2:$E$11,MATCH(R33,Lists!$B$2:$B$11,0))-1,3,1))+0.25*INDEX(Lists!$N$13:$N$15,MATCH(H33,Lists!$M$13:$M$15,0))+0.25*(6-S33)+0.2*IF(V33="Within current position",5,2),2))</f>
        <v/>
      </c>
      <c r="Z33" s="38" t="str">
        <f>IF(X33="","",CHOOSE(MAX(IF(T33="No",IF(L33="Yes",2,1),IF(IF(L33="Yes",2,0)+IF(M33="Yes",1,0)+INDEX(Lists!$N$18:$N$20,MATCH(N33,Lists!$M$18:$M$20,0))+IF(K33=5,2,IF(K33&gt;=4,1,0))&gt;=4,3,IF(IF(L33="Yes",2,0)+IF(M33="Yes",1,0)+INDEX(Lists!$N$18:$N$20,MATCH(N33,Lists!$M$18:$M$20,0))+IF(K33=5,2,IF(K33&gt;=4,1,0))&gt;=2,2,1))),IF($O33="Custom",1,MATCH(INDEX('2. Use-Case Library'!$L$5:$L$244,MATCH($O33,'2. Use-Case Library'!$A$5:$A$244,0)),{"Low","Medium","High"},0))),"Low","Medium","High"))</f>
        <v/>
      </c>
      <c r="AA33" s="38" t="str">
        <f>IF(X33="","",IF(AND(X33&gt;=$C$4,Y33&gt;=$C$4),"Quick win",IF(X33&gt;=$C$4,"Strategic bet",IF(Y33&gt;=$C$4,"Fill-in","Deprioritise"))))</f>
        <v/>
      </c>
      <c r="AB33" s="41" t="str">
        <f>IF(X33="","",ROUND(X33*Y33*IF(Z33="High",0.85,1)*IF(W33="Redesign / standardise first",0.8,1),2))</f>
        <v/>
      </c>
      <c r="AC33" s="42" t="str">
        <f>IF(AB33="","",RANK(AB33,$AB$8:$AB$57)+COUNTIF($AB$7:AB32,AB33))</f>
        <v/>
      </c>
      <c r="AD33" s="39" t="str">
        <f>IF(AH33="","",INDEX(Lists!$AV$2:$AV$5,AH33))</f>
        <v/>
      </c>
      <c r="AE33" s="43" t="str">
        <f>IF(AB33="","",ROUND(G33*12*INDEX(Lists!$F$2:$F$11,MATCH(R33,Lists!$B$2:$B$11,0)),0))</f>
        <v/>
      </c>
      <c r="AF33" s="44" t="str">
        <f>IF(OR(B33="",R33=""),"",IF(O33="Custom",INDEX(Lists!$I$2:$I$11,MATCH(R33,Lists!$B$2:$B$11,0)),INDEX('2. Use-Case Library'!$H$5:$H$244,MATCH($O33,'2. Use-Case Library'!$A$5:$A$244,0))))</f>
        <v/>
      </c>
      <c r="AG33" s="44" t="str">
        <f>IF(OR(B33="",O33="Custom"),"",INDEX('2. Use-Case Library'!$K$5:$K$244,MATCH($O33,'2. Use-Case Library'!$A$5:$A$244,0)))</f>
        <v/>
      </c>
      <c r="AH33" s="38" t="str">
        <f>IF(AB33="","",IF(AA33="Deprioritise",4,IF(W33="AI later - close data gap first",3,IF(OR(W33="Redesign / standardise first",W33="Stretch - partner or later stage",AA33="Strategic bet",Z33="High",S33=5),2,1))))</f>
        <v/>
      </c>
      <c r="AI33" s="38" t="str">
        <f>IF(AC33="","",AH33*100+AC33)</f>
        <v/>
      </c>
      <c r="AJ33" s="38" t="str">
        <f>IF(B33="","",IF(O33="Custom",B33,INDEX('2. Use-Case Library'!$D$5:$D$244,MATCH($O33,'2. Use-Case Library'!$A$5:$A$244,0))))</f>
        <v/>
      </c>
    </row>
    <row r="34" ht="52" customHeight="1">
      <c r="A34" s="14" t="n">
        <v>27</v>
      </c>
      <c r="B34" s="37" t="n"/>
      <c r="C34" s="37" t="n"/>
      <c r="D34" s="37" t="n"/>
      <c r="E34" s="37" t="n"/>
      <c r="F34" s="37" t="n"/>
      <c r="G34" s="37" t="n"/>
      <c r="H34" s="37" t="n"/>
      <c r="I34" s="37" t="n"/>
      <c r="J34" s="37" t="n"/>
      <c r="K34" s="37" t="n"/>
      <c r="L34" s="37" t="n"/>
      <c r="M34" s="37" t="n"/>
      <c r="N34" s="37" t="n"/>
      <c r="O34" s="38" t="str">
        <f>IF(B34="","",IFERROR(INDEX('2. Use-Case Library'!$A$5:$A$244,MATCH(B34,'2. Use-Case Library'!$M$5:$M$244,0)),"Custom"))</f>
        <v/>
      </c>
      <c r="P34" s="39" t="str">
        <f>IF(B34="","",IF(O34="Custom",IF(E34="","(select function in E)",E34),INDEX('2. Use-Case Library'!$C$5:$C$244,MATCH($O34,'2. Use-Case Library'!$A$5:$A$244,0))))</f>
        <v/>
      </c>
      <c r="Q34" s="39" t="str">
        <f>IF(B34="","",IF(D34&lt;&gt;"",D34,IF(O34="Custom","",INDEX('2. Use-Case Library'!$F$5:$F$244,MATCH($O34,'2. Use-Case Library'!$A$5:$A$244,0)))))</f>
        <v/>
      </c>
      <c r="R34" s="39" t="str">
        <f>IF(Q34="","",INDEX(Lists!$B$2:$B$11,MATCH(Q34,Lists!$A$2:$A$11,0)))</f>
        <v/>
      </c>
      <c r="S34" s="38" t="str">
        <f>IF(R34="","",INDEX(Lists!$C$2:$C$11,MATCH(R34,Lists!$B$2:$B$11,0)))</f>
        <v/>
      </c>
      <c r="T34" s="38" t="str">
        <f>IF(R34="","",INDEX(Lists!$D$2:$D$11,MATCH(R34,Lists!$B$2:$B$11,0)))</f>
        <v/>
      </c>
      <c r="U34" s="38" t="str">
        <f>IF(OR(R34="",I34=""),"",IF(INDEX(Lists!$N$2:$N$5,MATCH(I34,Lists!$M$2:$M$5,0))&gt;=INDEX(Lists!$E$2:$E$11,MATCH(R34,Lists!$B$2:$B$11,0)),"Data ready","Data gap"))</f>
        <v/>
      </c>
      <c r="V34" s="39" t="str">
        <f>IF(R34="","",IF(S34&lt;=IF('1. AI Position'!$C$30="",5,INDEX(Lists!$AI$2:$AI$5,'1. AI Position'!$C$30)),"Within current position","Beyond current position"))</f>
        <v/>
      </c>
      <c r="W34" s="40" t="str">
        <f>IF(B34="","",IF(OR(COUNTA(F34:N34)&lt;9,Q34=""),"Complete inputs",IF(H34="No - varies by person / team","Redesign / standardise first",IF(T34="No","Automate - AI not needed",IF(U34="Data gap","AI later - close data gap first",IF(V34="Beyond current position","Stretch - partner or later stage","AI fit now"))))))</f>
        <v/>
      </c>
      <c r="X34" s="41" t="str">
        <f>IF(OR(W34="",W34="Complete inputs"),"",ROUND(0.3*INDEX(Lists!$N$8:$N$10,MATCH(F34,Lists!$M$8:$M$10,0))+0.25*IF(G34&lt;20,1,IF(G34&lt;80,2,IF(G34&lt;160,3,IF(G34&lt;480,4,5))))+0.25*J34+0.2*K34,2))</f>
        <v/>
      </c>
      <c r="Y34" s="41" t="str">
        <f>IF(X34="","",ROUND(0.3*IF(U34="Data ready",5,IF(INDEX(Lists!$N$2:$N$5,MATCH(I34,Lists!$M$2:$M$5,0))=INDEX(Lists!$E$2:$E$11,MATCH(R34,Lists!$B$2:$B$11,0))-1,3,1))+0.25*INDEX(Lists!$N$13:$N$15,MATCH(H34,Lists!$M$13:$M$15,0))+0.25*(6-S34)+0.2*IF(V34="Within current position",5,2),2))</f>
        <v/>
      </c>
      <c r="Z34" s="38" t="str">
        <f>IF(X34="","",CHOOSE(MAX(IF(T34="No",IF(L34="Yes",2,1),IF(IF(L34="Yes",2,0)+IF(M34="Yes",1,0)+INDEX(Lists!$N$18:$N$20,MATCH(N34,Lists!$M$18:$M$20,0))+IF(K34=5,2,IF(K34&gt;=4,1,0))&gt;=4,3,IF(IF(L34="Yes",2,0)+IF(M34="Yes",1,0)+INDEX(Lists!$N$18:$N$20,MATCH(N34,Lists!$M$18:$M$20,0))+IF(K34=5,2,IF(K34&gt;=4,1,0))&gt;=2,2,1))),IF($O34="Custom",1,MATCH(INDEX('2. Use-Case Library'!$L$5:$L$244,MATCH($O34,'2. Use-Case Library'!$A$5:$A$244,0)),{"Low","Medium","High"},0))),"Low","Medium","High"))</f>
        <v/>
      </c>
      <c r="AA34" s="38" t="str">
        <f>IF(X34="","",IF(AND(X34&gt;=$C$4,Y34&gt;=$C$4),"Quick win",IF(X34&gt;=$C$4,"Strategic bet",IF(Y34&gt;=$C$4,"Fill-in","Deprioritise"))))</f>
        <v/>
      </c>
      <c r="AB34" s="41" t="str">
        <f>IF(X34="","",ROUND(X34*Y34*IF(Z34="High",0.85,1)*IF(W34="Redesign / standardise first",0.8,1),2))</f>
        <v/>
      </c>
      <c r="AC34" s="42" t="str">
        <f>IF(AB34="","",RANK(AB34,$AB$8:$AB$57)+COUNTIF($AB$7:AB33,AB34))</f>
        <v/>
      </c>
      <c r="AD34" s="39" t="str">
        <f>IF(AH34="","",INDEX(Lists!$AV$2:$AV$5,AH34))</f>
        <v/>
      </c>
      <c r="AE34" s="43" t="str">
        <f>IF(AB34="","",ROUND(G34*12*INDEX(Lists!$F$2:$F$11,MATCH(R34,Lists!$B$2:$B$11,0)),0))</f>
        <v/>
      </c>
      <c r="AF34" s="44" t="str">
        <f>IF(OR(B34="",R34=""),"",IF(O34="Custom",INDEX(Lists!$I$2:$I$11,MATCH(R34,Lists!$B$2:$B$11,0)),INDEX('2. Use-Case Library'!$H$5:$H$244,MATCH($O34,'2. Use-Case Library'!$A$5:$A$244,0))))</f>
        <v/>
      </c>
      <c r="AG34" s="44" t="str">
        <f>IF(OR(B34="",O34="Custom"),"",INDEX('2. Use-Case Library'!$K$5:$K$244,MATCH($O34,'2. Use-Case Library'!$A$5:$A$244,0)))</f>
        <v/>
      </c>
      <c r="AH34" s="38" t="str">
        <f>IF(AB34="","",IF(AA34="Deprioritise",4,IF(W34="AI later - close data gap first",3,IF(OR(W34="Redesign / standardise first",W34="Stretch - partner or later stage",AA34="Strategic bet",Z34="High",S34=5),2,1))))</f>
        <v/>
      </c>
      <c r="AI34" s="38" t="str">
        <f>IF(AC34="","",AH34*100+AC34)</f>
        <v/>
      </c>
      <c r="AJ34" s="38" t="str">
        <f>IF(B34="","",IF(O34="Custom",B34,INDEX('2. Use-Case Library'!$D$5:$D$244,MATCH($O34,'2. Use-Case Library'!$A$5:$A$244,0))))</f>
        <v/>
      </c>
    </row>
    <row r="35" ht="52" customHeight="1">
      <c r="A35" s="14" t="n">
        <v>28</v>
      </c>
      <c r="B35" s="37" t="n"/>
      <c r="C35" s="37" t="n"/>
      <c r="D35" s="37" t="n"/>
      <c r="E35" s="37" t="n"/>
      <c r="F35" s="37" t="n"/>
      <c r="G35" s="37" t="n"/>
      <c r="H35" s="37" t="n"/>
      <c r="I35" s="37" t="n"/>
      <c r="J35" s="37" t="n"/>
      <c r="K35" s="37" t="n"/>
      <c r="L35" s="37" t="n"/>
      <c r="M35" s="37" t="n"/>
      <c r="N35" s="37" t="n"/>
      <c r="O35" s="38" t="str">
        <f>IF(B35="","",IFERROR(INDEX('2. Use-Case Library'!$A$5:$A$244,MATCH(B35,'2. Use-Case Library'!$M$5:$M$244,0)),"Custom"))</f>
        <v/>
      </c>
      <c r="P35" s="39" t="str">
        <f>IF(B35="","",IF(O35="Custom",IF(E35="","(select function in E)",E35),INDEX('2. Use-Case Library'!$C$5:$C$244,MATCH($O35,'2. Use-Case Library'!$A$5:$A$244,0))))</f>
        <v/>
      </c>
      <c r="Q35" s="39" t="str">
        <f>IF(B35="","",IF(D35&lt;&gt;"",D35,IF(O35="Custom","",INDEX('2. Use-Case Library'!$F$5:$F$244,MATCH($O35,'2. Use-Case Library'!$A$5:$A$244,0)))))</f>
        <v/>
      </c>
      <c r="R35" s="39" t="str">
        <f>IF(Q35="","",INDEX(Lists!$B$2:$B$11,MATCH(Q35,Lists!$A$2:$A$11,0)))</f>
        <v/>
      </c>
      <c r="S35" s="38" t="str">
        <f>IF(R35="","",INDEX(Lists!$C$2:$C$11,MATCH(R35,Lists!$B$2:$B$11,0)))</f>
        <v/>
      </c>
      <c r="T35" s="38" t="str">
        <f>IF(R35="","",INDEX(Lists!$D$2:$D$11,MATCH(R35,Lists!$B$2:$B$11,0)))</f>
        <v/>
      </c>
      <c r="U35" s="38" t="str">
        <f>IF(OR(R35="",I35=""),"",IF(INDEX(Lists!$N$2:$N$5,MATCH(I35,Lists!$M$2:$M$5,0))&gt;=INDEX(Lists!$E$2:$E$11,MATCH(R35,Lists!$B$2:$B$11,0)),"Data ready","Data gap"))</f>
        <v/>
      </c>
      <c r="V35" s="39" t="str">
        <f>IF(R35="","",IF(S35&lt;=IF('1. AI Position'!$C$30="",5,INDEX(Lists!$AI$2:$AI$5,'1. AI Position'!$C$30)),"Within current position","Beyond current position"))</f>
        <v/>
      </c>
      <c r="W35" s="40" t="str">
        <f>IF(B35="","",IF(OR(COUNTA(F35:N35)&lt;9,Q35=""),"Complete inputs",IF(H35="No - varies by person / team","Redesign / standardise first",IF(T35="No","Automate - AI not needed",IF(U35="Data gap","AI later - close data gap first",IF(V35="Beyond current position","Stretch - partner or later stage","AI fit now"))))))</f>
        <v/>
      </c>
      <c r="X35" s="41" t="str">
        <f>IF(OR(W35="",W35="Complete inputs"),"",ROUND(0.3*INDEX(Lists!$N$8:$N$10,MATCH(F35,Lists!$M$8:$M$10,0))+0.25*IF(G35&lt;20,1,IF(G35&lt;80,2,IF(G35&lt;160,3,IF(G35&lt;480,4,5))))+0.25*J35+0.2*K35,2))</f>
        <v/>
      </c>
      <c r="Y35" s="41" t="str">
        <f>IF(X35="","",ROUND(0.3*IF(U35="Data ready",5,IF(INDEX(Lists!$N$2:$N$5,MATCH(I35,Lists!$M$2:$M$5,0))=INDEX(Lists!$E$2:$E$11,MATCH(R35,Lists!$B$2:$B$11,0))-1,3,1))+0.25*INDEX(Lists!$N$13:$N$15,MATCH(H35,Lists!$M$13:$M$15,0))+0.25*(6-S35)+0.2*IF(V35="Within current position",5,2),2))</f>
        <v/>
      </c>
      <c r="Z35" s="38" t="str">
        <f>IF(X35="","",CHOOSE(MAX(IF(T35="No",IF(L35="Yes",2,1),IF(IF(L35="Yes",2,0)+IF(M35="Yes",1,0)+INDEX(Lists!$N$18:$N$20,MATCH(N35,Lists!$M$18:$M$20,0))+IF(K35=5,2,IF(K35&gt;=4,1,0))&gt;=4,3,IF(IF(L35="Yes",2,0)+IF(M35="Yes",1,0)+INDEX(Lists!$N$18:$N$20,MATCH(N35,Lists!$M$18:$M$20,0))+IF(K35=5,2,IF(K35&gt;=4,1,0))&gt;=2,2,1))),IF($O35="Custom",1,MATCH(INDEX('2. Use-Case Library'!$L$5:$L$244,MATCH($O35,'2. Use-Case Library'!$A$5:$A$244,0)),{"Low","Medium","High"},0))),"Low","Medium","High"))</f>
        <v/>
      </c>
      <c r="AA35" s="38" t="str">
        <f>IF(X35="","",IF(AND(X35&gt;=$C$4,Y35&gt;=$C$4),"Quick win",IF(X35&gt;=$C$4,"Strategic bet",IF(Y35&gt;=$C$4,"Fill-in","Deprioritise"))))</f>
        <v/>
      </c>
      <c r="AB35" s="41" t="str">
        <f>IF(X35="","",ROUND(X35*Y35*IF(Z35="High",0.85,1)*IF(W35="Redesign / standardise first",0.8,1),2))</f>
        <v/>
      </c>
      <c r="AC35" s="42" t="str">
        <f>IF(AB35="","",RANK(AB35,$AB$8:$AB$57)+COUNTIF($AB$7:AB34,AB35))</f>
        <v/>
      </c>
      <c r="AD35" s="39" t="str">
        <f>IF(AH35="","",INDEX(Lists!$AV$2:$AV$5,AH35))</f>
        <v/>
      </c>
      <c r="AE35" s="43" t="str">
        <f>IF(AB35="","",ROUND(G35*12*INDEX(Lists!$F$2:$F$11,MATCH(R35,Lists!$B$2:$B$11,0)),0))</f>
        <v/>
      </c>
      <c r="AF35" s="44" t="str">
        <f>IF(OR(B35="",R35=""),"",IF(O35="Custom",INDEX(Lists!$I$2:$I$11,MATCH(R35,Lists!$B$2:$B$11,0)),INDEX('2. Use-Case Library'!$H$5:$H$244,MATCH($O35,'2. Use-Case Library'!$A$5:$A$244,0))))</f>
        <v/>
      </c>
      <c r="AG35" s="44" t="str">
        <f>IF(OR(B35="",O35="Custom"),"",INDEX('2. Use-Case Library'!$K$5:$K$244,MATCH($O35,'2. Use-Case Library'!$A$5:$A$244,0)))</f>
        <v/>
      </c>
      <c r="AH35" s="38" t="str">
        <f>IF(AB35="","",IF(AA35="Deprioritise",4,IF(W35="AI later - close data gap first",3,IF(OR(W35="Redesign / standardise first",W35="Stretch - partner or later stage",AA35="Strategic bet",Z35="High",S35=5),2,1))))</f>
        <v/>
      </c>
      <c r="AI35" s="38" t="str">
        <f>IF(AC35="","",AH35*100+AC35)</f>
        <v/>
      </c>
      <c r="AJ35" s="38" t="str">
        <f>IF(B35="","",IF(O35="Custom",B35,INDEX('2. Use-Case Library'!$D$5:$D$244,MATCH($O35,'2. Use-Case Library'!$A$5:$A$244,0))))</f>
        <v/>
      </c>
    </row>
    <row r="36" ht="52" customHeight="1">
      <c r="A36" s="14" t="n">
        <v>29</v>
      </c>
      <c r="B36" s="37" t="n"/>
      <c r="C36" s="37" t="n"/>
      <c r="D36" s="37" t="n"/>
      <c r="E36" s="37" t="n"/>
      <c r="F36" s="37" t="n"/>
      <c r="G36" s="37" t="n"/>
      <c r="H36" s="37" t="n"/>
      <c r="I36" s="37" t="n"/>
      <c r="J36" s="37" t="n"/>
      <c r="K36" s="37" t="n"/>
      <c r="L36" s="37" t="n"/>
      <c r="M36" s="37" t="n"/>
      <c r="N36" s="37" t="n"/>
      <c r="O36" s="38" t="str">
        <f>IF(B36="","",IFERROR(INDEX('2. Use-Case Library'!$A$5:$A$244,MATCH(B36,'2. Use-Case Library'!$M$5:$M$244,0)),"Custom"))</f>
        <v/>
      </c>
      <c r="P36" s="39" t="str">
        <f>IF(B36="","",IF(O36="Custom",IF(E36="","(select function in E)",E36),INDEX('2. Use-Case Library'!$C$5:$C$244,MATCH($O36,'2. Use-Case Library'!$A$5:$A$244,0))))</f>
        <v/>
      </c>
      <c r="Q36" s="39" t="str">
        <f>IF(B36="","",IF(D36&lt;&gt;"",D36,IF(O36="Custom","",INDEX('2. Use-Case Library'!$F$5:$F$244,MATCH($O36,'2. Use-Case Library'!$A$5:$A$244,0)))))</f>
        <v/>
      </c>
      <c r="R36" s="39" t="str">
        <f>IF(Q36="","",INDEX(Lists!$B$2:$B$11,MATCH(Q36,Lists!$A$2:$A$11,0)))</f>
        <v/>
      </c>
      <c r="S36" s="38" t="str">
        <f>IF(R36="","",INDEX(Lists!$C$2:$C$11,MATCH(R36,Lists!$B$2:$B$11,0)))</f>
        <v/>
      </c>
      <c r="T36" s="38" t="str">
        <f>IF(R36="","",INDEX(Lists!$D$2:$D$11,MATCH(R36,Lists!$B$2:$B$11,0)))</f>
        <v/>
      </c>
      <c r="U36" s="38" t="str">
        <f>IF(OR(R36="",I36=""),"",IF(INDEX(Lists!$N$2:$N$5,MATCH(I36,Lists!$M$2:$M$5,0))&gt;=INDEX(Lists!$E$2:$E$11,MATCH(R36,Lists!$B$2:$B$11,0)),"Data ready","Data gap"))</f>
        <v/>
      </c>
      <c r="V36" s="39" t="str">
        <f>IF(R36="","",IF(S36&lt;=IF('1. AI Position'!$C$30="",5,INDEX(Lists!$AI$2:$AI$5,'1. AI Position'!$C$30)),"Within current position","Beyond current position"))</f>
        <v/>
      </c>
      <c r="W36" s="40" t="str">
        <f>IF(B36="","",IF(OR(COUNTA(F36:N36)&lt;9,Q36=""),"Complete inputs",IF(H36="No - varies by person / team","Redesign / standardise first",IF(T36="No","Automate - AI not needed",IF(U36="Data gap","AI later - close data gap first",IF(V36="Beyond current position","Stretch - partner or later stage","AI fit now"))))))</f>
        <v/>
      </c>
      <c r="X36" s="41" t="str">
        <f>IF(OR(W36="",W36="Complete inputs"),"",ROUND(0.3*INDEX(Lists!$N$8:$N$10,MATCH(F36,Lists!$M$8:$M$10,0))+0.25*IF(G36&lt;20,1,IF(G36&lt;80,2,IF(G36&lt;160,3,IF(G36&lt;480,4,5))))+0.25*J36+0.2*K36,2))</f>
        <v/>
      </c>
      <c r="Y36" s="41" t="str">
        <f>IF(X36="","",ROUND(0.3*IF(U36="Data ready",5,IF(INDEX(Lists!$N$2:$N$5,MATCH(I36,Lists!$M$2:$M$5,0))=INDEX(Lists!$E$2:$E$11,MATCH(R36,Lists!$B$2:$B$11,0))-1,3,1))+0.25*INDEX(Lists!$N$13:$N$15,MATCH(H36,Lists!$M$13:$M$15,0))+0.25*(6-S36)+0.2*IF(V36="Within current position",5,2),2))</f>
        <v/>
      </c>
      <c r="Z36" s="38" t="str">
        <f>IF(X36="","",CHOOSE(MAX(IF(T36="No",IF(L36="Yes",2,1),IF(IF(L36="Yes",2,0)+IF(M36="Yes",1,0)+INDEX(Lists!$N$18:$N$20,MATCH(N36,Lists!$M$18:$M$20,0))+IF(K36=5,2,IF(K36&gt;=4,1,0))&gt;=4,3,IF(IF(L36="Yes",2,0)+IF(M36="Yes",1,0)+INDEX(Lists!$N$18:$N$20,MATCH(N36,Lists!$M$18:$M$20,0))+IF(K36=5,2,IF(K36&gt;=4,1,0))&gt;=2,2,1))),IF($O36="Custom",1,MATCH(INDEX('2. Use-Case Library'!$L$5:$L$244,MATCH($O36,'2. Use-Case Library'!$A$5:$A$244,0)),{"Low","Medium","High"},0))),"Low","Medium","High"))</f>
        <v/>
      </c>
      <c r="AA36" s="38" t="str">
        <f>IF(X36="","",IF(AND(X36&gt;=$C$4,Y36&gt;=$C$4),"Quick win",IF(X36&gt;=$C$4,"Strategic bet",IF(Y36&gt;=$C$4,"Fill-in","Deprioritise"))))</f>
        <v/>
      </c>
      <c r="AB36" s="41" t="str">
        <f>IF(X36="","",ROUND(X36*Y36*IF(Z36="High",0.85,1)*IF(W36="Redesign / standardise first",0.8,1),2))</f>
        <v/>
      </c>
      <c r="AC36" s="42" t="str">
        <f>IF(AB36="","",RANK(AB36,$AB$8:$AB$57)+COUNTIF($AB$7:AB35,AB36))</f>
        <v/>
      </c>
      <c r="AD36" s="39" t="str">
        <f>IF(AH36="","",INDEX(Lists!$AV$2:$AV$5,AH36))</f>
        <v/>
      </c>
      <c r="AE36" s="43" t="str">
        <f>IF(AB36="","",ROUND(G36*12*INDEX(Lists!$F$2:$F$11,MATCH(R36,Lists!$B$2:$B$11,0)),0))</f>
        <v/>
      </c>
      <c r="AF36" s="44" t="str">
        <f>IF(OR(B36="",R36=""),"",IF(O36="Custom",INDEX(Lists!$I$2:$I$11,MATCH(R36,Lists!$B$2:$B$11,0)),INDEX('2. Use-Case Library'!$H$5:$H$244,MATCH($O36,'2. Use-Case Library'!$A$5:$A$244,0))))</f>
        <v/>
      </c>
      <c r="AG36" s="44" t="str">
        <f>IF(OR(B36="",O36="Custom"),"",INDEX('2. Use-Case Library'!$K$5:$K$244,MATCH($O36,'2. Use-Case Library'!$A$5:$A$244,0)))</f>
        <v/>
      </c>
      <c r="AH36" s="38" t="str">
        <f>IF(AB36="","",IF(AA36="Deprioritise",4,IF(W36="AI later - close data gap first",3,IF(OR(W36="Redesign / standardise first",W36="Stretch - partner or later stage",AA36="Strategic bet",Z36="High",S36=5),2,1))))</f>
        <v/>
      </c>
      <c r="AI36" s="38" t="str">
        <f>IF(AC36="","",AH36*100+AC36)</f>
        <v/>
      </c>
      <c r="AJ36" s="38" t="str">
        <f>IF(B36="","",IF(O36="Custom",B36,INDEX('2. Use-Case Library'!$D$5:$D$244,MATCH($O36,'2. Use-Case Library'!$A$5:$A$244,0))))</f>
        <v/>
      </c>
    </row>
    <row r="37" ht="52" customHeight="1">
      <c r="A37" s="14" t="n">
        <v>30</v>
      </c>
      <c r="B37" s="37" t="n"/>
      <c r="C37" s="37" t="n"/>
      <c r="D37" s="37" t="n"/>
      <c r="E37" s="37" t="n"/>
      <c r="F37" s="37" t="n"/>
      <c r="G37" s="37" t="n"/>
      <c r="H37" s="37" t="n"/>
      <c r="I37" s="37" t="n"/>
      <c r="J37" s="37" t="n"/>
      <c r="K37" s="37" t="n"/>
      <c r="L37" s="37" t="n"/>
      <c r="M37" s="37" t="n"/>
      <c r="N37" s="37" t="n"/>
      <c r="O37" s="38" t="str">
        <f>IF(B37="","",IFERROR(INDEX('2. Use-Case Library'!$A$5:$A$244,MATCH(B37,'2. Use-Case Library'!$M$5:$M$244,0)),"Custom"))</f>
        <v/>
      </c>
      <c r="P37" s="39" t="str">
        <f>IF(B37="","",IF(O37="Custom",IF(E37="","(select function in E)",E37),INDEX('2. Use-Case Library'!$C$5:$C$244,MATCH($O37,'2. Use-Case Library'!$A$5:$A$244,0))))</f>
        <v/>
      </c>
      <c r="Q37" s="39" t="str">
        <f>IF(B37="","",IF(D37&lt;&gt;"",D37,IF(O37="Custom","",INDEX('2. Use-Case Library'!$F$5:$F$244,MATCH($O37,'2. Use-Case Library'!$A$5:$A$244,0)))))</f>
        <v/>
      </c>
      <c r="R37" s="39" t="str">
        <f>IF(Q37="","",INDEX(Lists!$B$2:$B$11,MATCH(Q37,Lists!$A$2:$A$11,0)))</f>
        <v/>
      </c>
      <c r="S37" s="38" t="str">
        <f>IF(R37="","",INDEX(Lists!$C$2:$C$11,MATCH(R37,Lists!$B$2:$B$11,0)))</f>
        <v/>
      </c>
      <c r="T37" s="38" t="str">
        <f>IF(R37="","",INDEX(Lists!$D$2:$D$11,MATCH(R37,Lists!$B$2:$B$11,0)))</f>
        <v/>
      </c>
      <c r="U37" s="38" t="str">
        <f>IF(OR(R37="",I37=""),"",IF(INDEX(Lists!$N$2:$N$5,MATCH(I37,Lists!$M$2:$M$5,0))&gt;=INDEX(Lists!$E$2:$E$11,MATCH(R37,Lists!$B$2:$B$11,0)),"Data ready","Data gap"))</f>
        <v/>
      </c>
      <c r="V37" s="39" t="str">
        <f>IF(R37="","",IF(S37&lt;=IF('1. AI Position'!$C$30="",5,INDEX(Lists!$AI$2:$AI$5,'1. AI Position'!$C$30)),"Within current position","Beyond current position"))</f>
        <v/>
      </c>
      <c r="W37" s="40" t="str">
        <f>IF(B37="","",IF(OR(COUNTA(F37:N37)&lt;9,Q37=""),"Complete inputs",IF(H37="No - varies by person / team","Redesign / standardise first",IF(T37="No","Automate - AI not needed",IF(U37="Data gap","AI later - close data gap first",IF(V37="Beyond current position","Stretch - partner or later stage","AI fit now"))))))</f>
        <v/>
      </c>
      <c r="X37" s="41" t="str">
        <f>IF(OR(W37="",W37="Complete inputs"),"",ROUND(0.3*INDEX(Lists!$N$8:$N$10,MATCH(F37,Lists!$M$8:$M$10,0))+0.25*IF(G37&lt;20,1,IF(G37&lt;80,2,IF(G37&lt;160,3,IF(G37&lt;480,4,5))))+0.25*J37+0.2*K37,2))</f>
        <v/>
      </c>
      <c r="Y37" s="41" t="str">
        <f>IF(X37="","",ROUND(0.3*IF(U37="Data ready",5,IF(INDEX(Lists!$N$2:$N$5,MATCH(I37,Lists!$M$2:$M$5,0))=INDEX(Lists!$E$2:$E$11,MATCH(R37,Lists!$B$2:$B$11,0))-1,3,1))+0.25*INDEX(Lists!$N$13:$N$15,MATCH(H37,Lists!$M$13:$M$15,0))+0.25*(6-S37)+0.2*IF(V37="Within current position",5,2),2))</f>
        <v/>
      </c>
      <c r="Z37" s="38" t="str">
        <f>IF(X37="","",CHOOSE(MAX(IF(T37="No",IF(L37="Yes",2,1),IF(IF(L37="Yes",2,0)+IF(M37="Yes",1,0)+INDEX(Lists!$N$18:$N$20,MATCH(N37,Lists!$M$18:$M$20,0))+IF(K37=5,2,IF(K37&gt;=4,1,0))&gt;=4,3,IF(IF(L37="Yes",2,0)+IF(M37="Yes",1,0)+INDEX(Lists!$N$18:$N$20,MATCH(N37,Lists!$M$18:$M$20,0))+IF(K37=5,2,IF(K37&gt;=4,1,0))&gt;=2,2,1))),IF($O37="Custom",1,MATCH(INDEX('2. Use-Case Library'!$L$5:$L$244,MATCH($O37,'2. Use-Case Library'!$A$5:$A$244,0)),{"Low","Medium","High"},0))),"Low","Medium","High"))</f>
        <v/>
      </c>
      <c r="AA37" s="38" t="str">
        <f>IF(X37="","",IF(AND(X37&gt;=$C$4,Y37&gt;=$C$4),"Quick win",IF(X37&gt;=$C$4,"Strategic bet",IF(Y37&gt;=$C$4,"Fill-in","Deprioritise"))))</f>
        <v/>
      </c>
      <c r="AB37" s="41" t="str">
        <f>IF(X37="","",ROUND(X37*Y37*IF(Z37="High",0.85,1)*IF(W37="Redesign / standardise first",0.8,1),2))</f>
        <v/>
      </c>
      <c r="AC37" s="42" t="str">
        <f>IF(AB37="","",RANK(AB37,$AB$8:$AB$57)+COUNTIF($AB$7:AB36,AB37))</f>
        <v/>
      </c>
      <c r="AD37" s="39" t="str">
        <f>IF(AH37="","",INDEX(Lists!$AV$2:$AV$5,AH37))</f>
        <v/>
      </c>
      <c r="AE37" s="43" t="str">
        <f>IF(AB37="","",ROUND(G37*12*INDEX(Lists!$F$2:$F$11,MATCH(R37,Lists!$B$2:$B$11,0)),0))</f>
        <v/>
      </c>
      <c r="AF37" s="44" t="str">
        <f>IF(OR(B37="",R37=""),"",IF(O37="Custom",INDEX(Lists!$I$2:$I$11,MATCH(R37,Lists!$B$2:$B$11,0)),INDEX('2. Use-Case Library'!$H$5:$H$244,MATCH($O37,'2. Use-Case Library'!$A$5:$A$244,0))))</f>
        <v/>
      </c>
      <c r="AG37" s="44" t="str">
        <f>IF(OR(B37="",O37="Custom"),"",INDEX('2. Use-Case Library'!$K$5:$K$244,MATCH($O37,'2. Use-Case Library'!$A$5:$A$244,0)))</f>
        <v/>
      </c>
      <c r="AH37" s="38" t="str">
        <f>IF(AB37="","",IF(AA37="Deprioritise",4,IF(W37="AI later - close data gap first",3,IF(OR(W37="Redesign / standardise first",W37="Stretch - partner or later stage",AA37="Strategic bet",Z37="High",S37=5),2,1))))</f>
        <v/>
      </c>
      <c r="AI37" s="38" t="str">
        <f>IF(AC37="","",AH37*100+AC37)</f>
        <v/>
      </c>
      <c r="AJ37" s="38" t="str">
        <f>IF(B37="","",IF(O37="Custom",B37,INDEX('2. Use-Case Library'!$D$5:$D$244,MATCH($O37,'2. Use-Case Library'!$A$5:$A$244,0))))</f>
        <v/>
      </c>
    </row>
    <row r="38" ht="52" customHeight="1">
      <c r="A38" s="14" t="n">
        <v>31</v>
      </c>
      <c r="B38" s="37" t="n"/>
      <c r="C38" s="37" t="n"/>
      <c r="D38" s="37" t="n"/>
      <c r="E38" s="37" t="n"/>
      <c r="F38" s="37" t="n"/>
      <c r="G38" s="37" t="n"/>
      <c r="H38" s="37" t="n"/>
      <c r="I38" s="37" t="n"/>
      <c r="J38" s="37" t="n"/>
      <c r="K38" s="37" t="n"/>
      <c r="L38" s="37" t="n"/>
      <c r="M38" s="37" t="n"/>
      <c r="N38" s="37" t="n"/>
      <c r="O38" s="38" t="str">
        <f>IF(B38="","",IFERROR(INDEX('2. Use-Case Library'!$A$5:$A$244,MATCH(B38,'2. Use-Case Library'!$M$5:$M$244,0)),"Custom"))</f>
        <v/>
      </c>
      <c r="P38" s="39" t="str">
        <f>IF(B38="","",IF(O38="Custom",IF(E38="","(select function in E)",E38),INDEX('2. Use-Case Library'!$C$5:$C$244,MATCH($O38,'2. Use-Case Library'!$A$5:$A$244,0))))</f>
        <v/>
      </c>
      <c r="Q38" s="39" t="str">
        <f>IF(B38="","",IF(D38&lt;&gt;"",D38,IF(O38="Custom","",INDEX('2. Use-Case Library'!$F$5:$F$244,MATCH($O38,'2. Use-Case Library'!$A$5:$A$244,0)))))</f>
        <v/>
      </c>
      <c r="R38" s="39" t="str">
        <f>IF(Q38="","",INDEX(Lists!$B$2:$B$11,MATCH(Q38,Lists!$A$2:$A$11,0)))</f>
        <v/>
      </c>
      <c r="S38" s="38" t="str">
        <f>IF(R38="","",INDEX(Lists!$C$2:$C$11,MATCH(R38,Lists!$B$2:$B$11,0)))</f>
        <v/>
      </c>
      <c r="T38" s="38" t="str">
        <f>IF(R38="","",INDEX(Lists!$D$2:$D$11,MATCH(R38,Lists!$B$2:$B$11,0)))</f>
        <v/>
      </c>
      <c r="U38" s="38" t="str">
        <f>IF(OR(R38="",I38=""),"",IF(INDEX(Lists!$N$2:$N$5,MATCH(I38,Lists!$M$2:$M$5,0))&gt;=INDEX(Lists!$E$2:$E$11,MATCH(R38,Lists!$B$2:$B$11,0)),"Data ready","Data gap"))</f>
        <v/>
      </c>
      <c r="V38" s="39" t="str">
        <f>IF(R38="","",IF(S38&lt;=IF('1. AI Position'!$C$30="",5,INDEX(Lists!$AI$2:$AI$5,'1. AI Position'!$C$30)),"Within current position","Beyond current position"))</f>
        <v/>
      </c>
      <c r="W38" s="40" t="str">
        <f>IF(B38="","",IF(OR(COUNTA(F38:N38)&lt;9,Q38=""),"Complete inputs",IF(H38="No - varies by person / team","Redesign / standardise first",IF(T38="No","Automate - AI not needed",IF(U38="Data gap","AI later - close data gap first",IF(V38="Beyond current position","Stretch - partner or later stage","AI fit now"))))))</f>
        <v/>
      </c>
      <c r="X38" s="41" t="str">
        <f>IF(OR(W38="",W38="Complete inputs"),"",ROUND(0.3*INDEX(Lists!$N$8:$N$10,MATCH(F38,Lists!$M$8:$M$10,0))+0.25*IF(G38&lt;20,1,IF(G38&lt;80,2,IF(G38&lt;160,3,IF(G38&lt;480,4,5))))+0.25*J38+0.2*K38,2))</f>
        <v/>
      </c>
      <c r="Y38" s="41" t="str">
        <f>IF(X38="","",ROUND(0.3*IF(U38="Data ready",5,IF(INDEX(Lists!$N$2:$N$5,MATCH(I38,Lists!$M$2:$M$5,0))=INDEX(Lists!$E$2:$E$11,MATCH(R38,Lists!$B$2:$B$11,0))-1,3,1))+0.25*INDEX(Lists!$N$13:$N$15,MATCH(H38,Lists!$M$13:$M$15,0))+0.25*(6-S38)+0.2*IF(V38="Within current position",5,2),2))</f>
        <v/>
      </c>
      <c r="Z38" s="38" t="str">
        <f>IF(X38="","",CHOOSE(MAX(IF(T38="No",IF(L38="Yes",2,1),IF(IF(L38="Yes",2,0)+IF(M38="Yes",1,0)+INDEX(Lists!$N$18:$N$20,MATCH(N38,Lists!$M$18:$M$20,0))+IF(K38=5,2,IF(K38&gt;=4,1,0))&gt;=4,3,IF(IF(L38="Yes",2,0)+IF(M38="Yes",1,0)+INDEX(Lists!$N$18:$N$20,MATCH(N38,Lists!$M$18:$M$20,0))+IF(K38=5,2,IF(K38&gt;=4,1,0))&gt;=2,2,1))),IF($O38="Custom",1,MATCH(INDEX('2. Use-Case Library'!$L$5:$L$244,MATCH($O38,'2. Use-Case Library'!$A$5:$A$244,0)),{"Low","Medium","High"},0))),"Low","Medium","High"))</f>
        <v/>
      </c>
      <c r="AA38" s="38" t="str">
        <f>IF(X38="","",IF(AND(X38&gt;=$C$4,Y38&gt;=$C$4),"Quick win",IF(X38&gt;=$C$4,"Strategic bet",IF(Y38&gt;=$C$4,"Fill-in","Deprioritise"))))</f>
        <v/>
      </c>
      <c r="AB38" s="41" t="str">
        <f>IF(X38="","",ROUND(X38*Y38*IF(Z38="High",0.85,1)*IF(W38="Redesign / standardise first",0.8,1),2))</f>
        <v/>
      </c>
      <c r="AC38" s="42" t="str">
        <f>IF(AB38="","",RANK(AB38,$AB$8:$AB$57)+COUNTIF($AB$7:AB37,AB38))</f>
        <v/>
      </c>
      <c r="AD38" s="39" t="str">
        <f>IF(AH38="","",INDEX(Lists!$AV$2:$AV$5,AH38))</f>
        <v/>
      </c>
      <c r="AE38" s="43" t="str">
        <f>IF(AB38="","",ROUND(G38*12*INDEX(Lists!$F$2:$F$11,MATCH(R38,Lists!$B$2:$B$11,0)),0))</f>
        <v/>
      </c>
      <c r="AF38" s="44" t="str">
        <f>IF(OR(B38="",R38=""),"",IF(O38="Custom",INDEX(Lists!$I$2:$I$11,MATCH(R38,Lists!$B$2:$B$11,0)),INDEX('2. Use-Case Library'!$H$5:$H$244,MATCH($O38,'2. Use-Case Library'!$A$5:$A$244,0))))</f>
        <v/>
      </c>
      <c r="AG38" s="44" t="str">
        <f>IF(OR(B38="",O38="Custom"),"",INDEX('2. Use-Case Library'!$K$5:$K$244,MATCH($O38,'2. Use-Case Library'!$A$5:$A$244,0)))</f>
        <v/>
      </c>
      <c r="AH38" s="38" t="str">
        <f>IF(AB38="","",IF(AA38="Deprioritise",4,IF(W38="AI later - close data gap first",3,IF(OR(W38="Redesign / standardise first",W38="Stretch - partner or later stage",AA38="Strategic bet",Z38="High",S38=5),2,1))))</f>
        <v/>
      </c>
      <c r="AI38" s="38" t="str">
        <f>IF(AC38="","",AH38*100+AC38)</f>
        <v/>
      </c>
      <c r="AJ38" s="38" t="str">
        <f>IF(B38="","",IF(O38="Custom",B38,INDEX('2. Use-Case Library'!$D$5:$D$244,MATCH($O38,'2. Use-Case Library'!$A$5:$A$244,0))))</f>
        <v/>
      </c>
    </row>
    <row r="39" ht="52" customHeight="1">
      <c r="A39" s="14" t="n">
        <v>32</v>
      </c>
      <c r="B39" s="37" t="n"/>
      <c r="C39" s="37" t="n"/>
      <c r="D39" s="37" t="n"/>
      <c r="E39" s="37" t="n"/>
      <c r="F39" s="37" t="n"/>
      <c r="G39" s="37" t="n"/>
      <c r="H39" s="37" t="n"/>
      <c r="I39" s="37" t="n"/>
      <c r="J39" s="37" t="n"/>
      <c r="K39" s="37" t="n"/>
      <c r="L39" s="37" t="n"/>
      <c r="M39" s="37" t="n"/>
      <c r="N39" s="37" t="n"/>
      <c r="O39" s="38" t="str">
        <f>IF(B39="","",IFERROR(INDEX('2. Use-Case Library'!$A$5:$A$244,MATCH(B39,'2. Use-Case Library'!$M$5:$M$244,0)),"Custom"))</f>
        <v/>
      </c>
      <c r="P39" s="39" t="str">
        <f>IF(B39="","",IF(O39="Custom",IF(E39="","(select function in E)",E39),INDEX('2. Use-Case Library'!$C$5:$C$244,MATCH($O39,'2. Use-Case Library'!$A$5:$A$244,0))))</f>
        <v/>
      </c>
      <c r="Q39" s="39" t="str">
        <f>IF(B39="","",IF(D39&lt;&gt;"",D39,IF(O39="Custom","",INDEX('2. Use-Case Library'!$F$5:$F$244,MATCH($O39,'2. Use-Case Library'!$A$5:$A$244,0)))))</f>
        <v/>
      </c>
      <c r="R39" s="39" t="str">
        <f>IF(Q39="","",INDEX(Lists!$B$2:$B$11,MATCH(Q39,Lists!$A$2:$A$11,0)))</f>
        <v/>
      </c>
      <c r="S39" s="38" t="str">
        <f>IF(R39="","",INDEX(Lists!$C$2:$C$11,MATCH(R39,Lists!$B$2:$B$11,0)))</f>
        <v/>
      </c>
      <c r="T39" s="38" t="str">
        <f>IF(R39="","",INDEX(Lists!$D$2:$D$11,MATCH(R39,Lists!$B$2:$B$11,0)))</f>
        <v/>
      </c>
      <c r="U39" s="38" t="str">
        <f>IF(OR(R39="",I39=""),"",IF(INDEX(Lists!$N$2:$N$5,MATCH(I39,Lists!$M$2:$M$5,0))&gt;=INDEX(Lists!$E$2:$E$11,MATCH(R39,Lists!$B$2:$B$11,0)),"Data ready","Data gap"))</f>
        <v/>
      </c>
      <c r="V39" s="39" t="str">
        <f>IF(R39="","",IF(S39&lt;=IF('1. AI Position'!$C$30="",5,INDEX(Lists!$AI$2:$AI$5,'1. AI Position'!$C$30)),"Within current position","Beyond current position"))</f>
        <v/>
      </c>
      <c r="W39" s="40" t="str">
        <f>IF(B39="","",IF(OR(COUNTA(F39:N39)&lt;9,Q39=""),"Complete inputs",IF(H39="No - varies by person / team","Redesign / standardise first",IF(T39="No","Automate - AI not needed",IF(U39="Data gap","AI later - close data gap first",IF(V39="Beyond current position","Stretch - partner or later stage","AI fit now"))))))</f>
        <v/>
      </c>
      <c r="X39" s="41" t="str">
        <f>IF(OR(W39="",W39="Complete inputs"),"",ROUND(0.3*INDEX(Lists!$N$8:$N$10,MATCH(F39,Lists!$M$8:$M$10,0))+0.25*IF(G39&lt;20,1,IF(G39&lt;80,2,IF(G39&lt;160,3,IF(G39&lt;480,4,5))))+0.25*J39+0.2*K39,2))</f>
        <v/>
      </c>
      <c r="Y39" s="41" t="str">
        <f>IF(X39="","",ROUND(0.3*IF(U39="Data ready",5,IF(INDEX(Lists!$N$2:$N$5,MATCH(I39,Lists!$M$2:$M$5,0))=INDEX(Lists!$E$2:$E$11,MATCH(R39,Lists!$B$2:$B$11,0))-1,3,1))+0.25*INDEX(Lists!$N$13:$N$15,MATCH(H39,Lists!$M$13:$M$15,0))+0.25*(6-S39)+0.2*IF(V39="Within current position",5,2),2))</f>
        <v/>
      </c>
      <c r="Z39" s="38" t="str">
        <f>IF(X39="","",CHOOSE(MAX(IF(T39="No",IF(L39="Yes",2,1),IF(IF(L39="Yes",2,0)+IF(M39="Yes",1,0)+INDEX(Lists!$N$18:$N$20,MATCH(N39,Lists!$M$18:$M$20,0))+IF(K39=5,2,IF(K39&gt;=4,1,0))&gt;=4,3,IF(IF(L39="Yes",2,0)+IF(M39="Yes",1,0)+INDEX(Lists!$N$18:$N$20,MATCH(N39,Lists!$M$18:$M$20,0))+IF(K39=5,2,IF(K39&gt;=4,1,0))&gt;=2,2,1))),IF($O39="Custom",1,MATCH(INDEX('2. Use-Case Library'!$L$5:$L$244,MATCH($O39,'2. Use-Case Library'!$A$5:$A$244,0)),{"Low","Medium","High"},0))),"Low","Medium","High"))</f>
        <v/>
      </c>
      <c r="AA39" s="38" t="str">
        <f>IF(X39="","",IF(AND(X39&gt;=$C$4,Y39&gt;=$C$4),"Quick win",IF(X39&gt;=$C$4,"Strategic bet",IF(Y39&gt;=$C$4,"Fill-in","Deprioritise"))))</f>
        <v/>
      </c>
      <c r="AB39" s="41" t="str">
        <f>IF(X39="","",ROUND(X39*Y39*IF(Z39="High",0.85,1)*IF(W39="Redesign / standardise first",0.8,1),2))</f>
        <v/>
      </c>
      <c r="AC39" s="42" t="str">
        <f>IF(AB39="","",RANK(AB39,$AB$8:$AB$57)+COUNTIF($AB$7:AB38,AB39))</f>
        <v/>
      </c>
      <c r="AD39" s="39" t="str">
        <f>IF(AH39="","",INDEX(Lists!$AV$2:$AV$5,AH39))</f>
        <v/>
      </c>
      <c r="AE39" s="43" t="str">
        <f>IF(AB39="","",ROUND(G39*12*INDEX(Lists!$F$2:$F$11,MATCH(R39,Lists!$B$2:$B$11,0)),0))</f>
        <v/>
      </c>
      <c r="AF39" s="44" t="str">
        <f>IF(OR(B39="",R39=""),"",IF(O39="Custom",INDEX(Lists!$I$2:$I$11,MATCH(R39,Lists!$B$2:$B$11,0)),INDEX('2. Use-Case Library'!$H$5:$H$244,MATCH($O39,'2. Use-Case Library'!$A$5:$A$244,0))))</f>
        <v/>
      </c>
      <c r="AG39" s="44" t="str">
        <f>IF(OR(B39="",O39="Custom"),"",INDEX('2. Use-Case Library'!$K$5:$K$244,MATCH($O39,'2. Use-Case Library'!$A$5:$A$244,0)))</f>
        <v/>
      </c>
      <c r="AH39" s="38" t="str">
        <f>IF(AB39="","",IF(AA39="Deprioritise",4,IF(W39="AI later - close data gap first",3,IF(OR(W39="Redesign / standardise first",W39="Stretch - partner or later stage",AA39="Strategic bet",Z39="High",S39=5),2,1))))</f>
        <v/>
      </c>
      <c r="AI39" s="38" t="str">
        <f>IF(AC39="","",AH39*100+AC39)</f>
        <v/>
      </c>
      <c r="AJ39" s="38" t="str">
        <f>IF(B39="","",IF(O39="Custom",B39,INDEX('2. Use-Case Library'!$D$5:$D$244,MATCH($O39,'2. Use-Case Library'!$A$5:$A$244,0))))</f>
        <v/>
      </c>
    </row>
    <row r="40" ht="52" customHeight="1">
      <c r="A40" s="14" t="n">
        <v>33</v>
      </c>
      <c r="B40" s="37" t="n"/>
      <c r="C40" s="37" t="n"/>
      <c r="D40" s="37" t="n"/>
      <c r="E40" s="37" t="n"/>
      <c r="F40" s="37" t="n"/>
      <c r="G40" s="37" t="n"/>
      <c r="H40" s="37" t="n"/>
      <c r="I40" s="37" t="n"/>
      <c r="J40" s="37" t="n"/>
      <c r="K40" s="37" t="n"/>
      <c r="L40" s="37" t="n"/>
      <c r="M40" s="37" t="n"/>
      <c r="N40" s="37" t="n"/>
      <c r="O40" s="38" t="str">
        <f>IF(B40="","",IFERROR(INDEX('2. Use-Case Library'!$A$5:$A$244,MATCH(B40,'2. Use-Case Library'!$M$5:$M$244,0)),"Custom"))</f>
        <v/>
      </c>
      <c r="P40" s="39" t="str">
        <f>IF(B40="","",IF(O40="Custom",IF(E40="","(select function in E)",E40),INDEX('2. Use-Case Library'!$C$5:$C$244,MATCH($O40,'2. Use-Case Library'!$A$5:$A$244,0))))</f>
        <v/>
      </c>
      <c r="Q40" s="39" t="str">
        <f>IF(B40="","",IF(D40&lt;&gt;"",D40,IF(O40="Custom","",INDEX('2. Use-Case Library'!$F$5:$F$244,MATCH($O40,'2. Use-Case Library'!$A$5:$A$244,0)))))</f>
        <v/>
      </c>
      <c r="R40" s="39" t="str">
        <f>IF(Q40="","",INDEX(Lists!$B$2:$B$11,MATCH(Q40,Lists!$A$2:$A$11,0)))</f>
        <v/>
      </c>
      <c r="S40" s="38" t="str">
        <f>IF(R40="","",INDEX(Lists!$C$2:$C$11,MATCH(R40,Lists!$B$2:$B$11,0)))</f>
        <v/>
      </c>
      <c r="T40" s="38" t="str">
        <f>IF(R40="","",INDEX(Lists!$D$2:$D$11,MATCH(R40,Lists!$B$2:$B$11,0)))</f>
        <v/>
      </c>
      <c r="U40" s="38" t="str">
        <f>IF(OR(R40="",I40=""),"",IF(INDEX(Lists!$N$2:$N$5,MATCH(I40,Lists!$M$2:$M$5,0))&gt;=INDEX(Lists!$E$2:$E$11,MATCH(R40,Lists!$B$2:$B$11,0)),"Data ready","Data gap"))</f>
        <v/>
      </c>
      <c r="V40" s="39" t="str">
        <f>IF(R40="","",IF(S40&lt;=IF('1. AI Position'!$C$30="",5,INDEX(Lists!$AI$2:$AI$5,'1. AI Position'!$C$30)),"Within current position","Beyond current position"))</f>
        <v/>
      </c>
      <c r="W40" s="40" t="str">
        <f>IF(B40="","",IF(OR(COUNTA(F40:N40)&lt;9,Q40=""),"Complete inputs",IF(H40="No - varies by person / team","Redesign / standardise first",IF(T40="No","Automate - AI not needed",IF(U40="Data gap","AI later - close data gap first",IF(V40="Beyond current position","Stretch - partner or later stage","AI fit now"))))))</f>
        <v/>
      </c>
      <c r="X40" s="41" t="str">
        <f>IF(OR(W40="",W40="Complete inputs"),"",ROUND(0.3*INDEX(Lists!$N$8:$N$10,MATCH(F40,Lists!$M$8:$M$10,0))+0.25*IF(G40&lt;20,1,IF(G40&lt;80,2,IF(G40&lt;160,3,IF(G40&lt;480,4,5))))+0.25*J40+0.2*K40,2))</f>
        <v/>
      </c>
      <c r="Y40" s="41" t="str">
        <f>IF(X40="","",ROUND(0.3*IF(U40="Data ready",5,IF(INDEX(Lists!$N$2:$N$5,MATCH(I40,Lists!$M$2:$M$5,0))=INDEX(Lists!$E$2:$E$11,MATCH(R40,Lists!$B$2:$B$11,0))-1,3,1))+0.25*INDEX(Lists!$N$13:$N$15,MATCH(H40,Lists!$M$13:$M$15,0))+0.25*(6-S40)+0.2*IF(V40="Within current position",5,2),2))</f>
        <v/>
      </c>
      <c r="Z40" s="38" t="str">
        <f>IF(X40="","",CHOOSE(MAX(IF(T40="No",IF(L40="Yes",2,1),IF(IF(L40="Yes",2,0)+IF(M40="Yes",1,0)+INDEX(Lists!$N$18:$N$20,MATCH(N40,Lists!$M$18:$M$20,0))+IF(K40=5,2,IF(K40&gt;=4,1,0))&gt;=4,3,IF(IF(L40="Yes",2,0)+IF(M40="Yes",1,0)+INDEX(Lists!$N$18:$N$20,MATCH(N40,Lists!$M$18:$M$20,0))+IF(K40=5,2,IF(K40&gt;=4,1,0))&gt;=2,2,1))),IF($O40="Custom",1,MATCH(INDEX('2. Use-Case Library'!$L$5:$L$244,MATCH($O40,'2. Use-Case Library'!$A$5:$A$244,0)),{"Low","Medium","High"},0))),"Low","Medium","High"))</f>
        <v/>
      </c>
      <c r="AA40" s="38" t="str">
        <f>IF(X40="","",IF(AND(X40&gt;=$C$4,Y40&gt;=$C$4),"Quick win",IF(X40&gt;=$C$4,"Strategic bet",IF(Y40&gt;=$C$4,"Fill-in","Deprioritise"))))</f>
        <v/>
      </c>
      <c r="AB40" s="41" t="str">
        <f>IF(X40="","",ROUND(X40*Y40*IF(Z40="High",0.85,1)*IF(W40="Redesign / standardise first",0.8,1),2))</f>
        <v/>
      </c>
      <c r="AC40" s="42" t="str">
        <f>IF(AB40="","",RANK(AB40,$AB$8:$AB$57)+COUNTIF($AB$7:AB39,AB40))</f>
        <v/>
      </c>
      <c r="AD40" s="39" t="str">
        <f>IF(AH40="","",INDEX(Lists!$AV$2:$AV$5,AH40))</f>
        <v/>
      </c>
      <c r="AE40" s="43" t="str">
        <f>IF(AB40="","",ROUND(G40*12*INDEX(Lists!$F$2:$F$11,MATCH(R40,Lists!$B$2:$B$11,0)),0))</f>
        <v/>
      </c>
      <c r="AF40" s="44" t="str">
        <f>IF(OR(B40="",R40=""),"",IF(O40="Custom",INDEX(Lists!$I$2:$I$11,MATCH(R40,Lists!$B$2:$B$11,0)),INDEX('2. Use-Case Library'!$H$5:$H$244,MATCH($O40,'2. Use-Case Library'!$A$5:$A$244,0))))</f>
        <v/>
      </c>
      <c r="AG40" s="44" t="str">
        <f>IF(OR(B40="",O40="Custom"),"",INDEX('2. Use-Case Library'!$K$5:$K$244,MATCH($O40,'2. Use-Case Library'!$A$5:$A$244,0)))</f>
        <v/>
      </c>
      <c r="AH40" s="38" t="str">
        <f>IF(AB40="","",IF(AA40="Deprioritise",4,IF(W40="AI later - close data gap first",3,IF(OR(W40="Redesign / standardise first",W40="Stretch - partner or later stage",AA40="Strategic bet",Z40="High",S40=5),2,1))))</f>
        <v/>
      </c>
      <c r="AI40" s="38" t="str">
        <f>IF(AC40="","",AH40*100+AC40)</f>
        <v/>
      </c>
      <c r="AJ40" s="38" t="str">
        <f>IF(B40="","",IF(O40="Custom",B40,INDEX('2. Use-Case Library'!$D$5:$D$244,MATCH($O40,'2. Use-Case Library'!$A$5:$A$244,0))))</f>
        <v/>
      </c>
    </row>
    <row r="41" ht="52" customHeight="1">
      <c r="A41" s="14" t="n">
        <v>34</v>
      </c>
      <c r="B41" s="37" t="n"/>
      <c r="C41" s="37" t="n"/>
      <c r="D41" s="37" t="n"/>
      <c r="E41" s="37" t="n"/>
      <c r="F41" s="37" t="n"/>
      <c r="G41" s="37" t="n"/>
      <c r="H41" s="37" t="n"/>
      <c r="I41" s="37" t="n"/>
      <c r="J41" s="37" t="n"/>
      <c r="K41" s="37" t="n"/>
      <c r="L41" s="37" t="n"/>
      <c r="M41" s="37" t="n"/>
      <c r="N41" s="37" t="n"/>
      <c r="O41" s="38" t="str">
        <f>IF(B41="","",IFERROR(INDEX('2. Use-Case Library'!$A$5:$A$244,MATCH(B41,'2. Use-Case Library'!$M$5:$M$244,0)),"Custom"))</f>
        <v/>
      </c>
      <c r="P41" s="39" t="str">
        <f>IF(B41="","",IF(O41="Custom",IF(E41="","(select function in E)",E41),INDEX('2. Use-Case Library'!$C$5:$C$244,MATCH($O41,'2. Use-Case Library'!$A$5:$A$244,0))))</f>
        <v/>
      </c>
      <c r="Q41" s="39" t="str">
        <f>IF(B41="","",IF(D41&lt;&gt;"",D41,IF(O41="Custom","",INDEX('2. Use-Case Library'!$F$5:$F$244,MATCH($O41,'2. Use-Case Library'!$A$5:$A$244,0)))))</f>
        <v/>
      </c>
      <c r="R41" s="39" t="str">
        <f>IF(Q41="","",INDEX(Lists!$B$2:$B$11,MATCH(Q41,Lists!$A$2:$A$11,0)))</f>
        <v/>
      </c>
      <c r="S41" s="38" t="str">
        <f>IF(R41="","",INDEX(Lists!$C$2:$C$11,MATCH(R41,Lists!$B$2:$B$11,0)))</f>
        <v/>
      </c>
      <c r="T41" s="38" t="str">
        <f>IF(R41="","",INDEX(Lists!$D$2:$D$11,MATCH(R41,Lists!$B$2:$B$11,0)))</f>
        <v/>
      </c>
      <c r="U41" s="38" t="str">
        <f>IF(OR(R41="",I41=""),"",IF(INDEX(Lists!$N$2:$N$5,MATCH(I41,Lists!$M$2:$M$5,0))&gt;=INDEX(Lists!$E$2:$E$11,MATCH(R41,Lists!$B$2:$B$11,0)),"Data ready","Data gap"))</f>
        <v/>
      </c>
      <c r="V41" s="39" t="str">
        <f>IF(R41="","",IF(S41&lt;=IF('1. AI Position'!$C$30="",5,INDEX(Lists!$AI$2:$AI$5,'1. AI Position'!$C$30)),"Within current position","Beyond current position"))</f>
        <v/>
      </c>
      <c r="W41" s="40" t="str">
        <f>IF(B41="","",IF(OR(COUNTA(F41:N41)&lt;9,Q41=""),"Complete inputs",IF(H41="No - varies by person / team","Redesign / standardise first",IF(T41="No","Automate - AI not needed",IF(U41="Data gap","AI later - close data gap first",IF(V41="Beyond current position","Stretch - partner or later stage","AI fit now"))))))</f>
        <v/>
      </c>
      <c r="X41" s="41" t="str">
        <f>IF(OR(W41="",W41="Complete inputs"),"",ROUND(0.3*INDEX(Lists!$N$8:$N$10,MATCH(F41,Lists!$M$8:$M$10,0))+0.25*IF(G41&lt;20,1,IF(G41&lt;80,2,IF(G41&lt;160,3,IF(G41&lt;480,4,5))))+0.25*J41+0.2*K41,2))</f>
        <v/>
      </c>
      <c r="Y41" s="41" t="str">
        <f>IF(X41="","",ROUND(0.3*IF(U41="Data ready",5,IF(INDEX(Lists!$N$2:$N$5,MATCH(I41,Lists!$M$2:$M$5,0))=INDEX(Lists!$E$2:$E$11,MATCH(R41,Lists!$B$2:$B$11,0))-1,3,1))+0.25*INDEX(Lists!$N$13:$N$15,MATCH(H41,Lists!$M$13:$M$15,0))+0.25*(6-S41)+0.2*IF(V41="Within current position",5,2),2))</f>
        <v/>
      </c>
      <c r="Z41" s="38" t="str">
        <f>IF(X41="","",CHOOSE(MAX(IF(T41="No",IF(L41="Yes",2,1),IF(IF(L41="Yes",2,0)+IF(M41="Yes",1,0)+INDEX(Lists!$N$18:$N$20,MATCH(N41,Lists!$M$18:$M$20,0))+IF(K41=5,2,IF(K41&gt;=4,1,0))&gt;=4,3,IF(IF(L41="Yes",2,0)+IF(M41="Yes",1,0)+INDEX(Lists!$N$18:$N$20,MATCH(N41,Lists!$M$18:$M$20,0))+IF(K41=5,2,IF(K41&gt;=4,1,0))&gt;=2,2,1))),IF($O41="Custom",1,MATCH(INDEX('2. Use-Case Library'!$L$5:$L$244,MATCH($O41,'2. Use-Case Library'!$A$5:$A$244,0)),{"Low","Medium","High"},0))),"Low","Medium","High"))</f>
        <v/>
      </c>
      <c r="AA41" s="38" t="str">
        <f>IF(X41="","",IF(AND(X41&gt;=$C$4,Y41&gt;=$C$4),"Quick win",IF(X41&gt;=$C$4,"Strategic bet",IF(Y41&gt;=$C$4,"Fill-in","Deprioritise"))))</f>
        <v/>
      </c>
      <c r="AB41" s="41" t="str">
        <f>IF(X41="","",ROUND(X41*Y41*IF(Z41="High",0.85,1)*IF(W41="Redesign / standardise first",0.8,1),2))</f>
        <v/>
      </c>
      <c r="AC41" s="42" t="str">
        <f>IF(AB41="","",RANK(AB41,$AB$8:$AB$57)+COUNTIF($AB$7:AB40,AB41))</f>
        <v/>
      </c>
      <c r="AD41" s="39" t="str">
        <f>IF(AH41="","",INDEX(Lists!$AV$2:$AV$5,AH41))</f>
        <v/>
      </c>
      <c r="AE41" s="43" t="str">
        <f>IF(AB41="","",ROUND(G41*12*INDEX(Lists!$F$2:$F$11,MATCH(R41,Lists!$B$2:$B$11,0)),0))</f>
        <v/>
      </c>
      <c r="AF41" s="44" t="str">
        <f>IF(OR(B41="",R41=""),"",IF(O41="Custom",INDEX(Lists!$I$2:$I$11,MATCH(R41,Lists!$B$2:$B$11,0)),INDEX('2. Use-Case Library'!$H$5:$H$244,MATCH($O41,'2. Use-Case Library'!$A$5:$A$244,0))))</f>
        <v/>
      </c>
      <c r="AG41" s="44" t="str">
        <f>IF(OR(B41="",O41="Custom"),"",INDEX('2. Use-Case Library'!$K$5:$K$244,MATCH($O41,'2. Use-Case Library'!$A$5:$A$244,0)))</f>
        <v/>
      </c>
      <c r="AH41" s="38" t="str">
        <f>IF(AB41="","",IF(AA41="Deprioritise",4,IF(W41="AI later - close data gap first",3,IF(OR(W41="Redesign / standardise first",W41="Stretch - partner or later stage",AA41="Strategic bet",Z41="High",S41=5),2,1))))</f>
        <v/>
      </c>
      <c r="AI41" s="38" t="str">
        <f>IF(AC41="","",AH41*100+AC41)</f>
        <v/>
      </c>
      <c r="AJ41" s="38" t="str">
        <f>IF(B41="","",IF(O41="Custom",B41,INDEX('2. Use-Case Library'!$D$5:$D$244,MATCH($O41,'2. Use-Case Library'!$A$5:$A$244,0))))</f>
        <v/>
      </c>
    </row>
    <row r="42" ht="52" customHeight="1">
      <c r="A42" s="14" t="n">
        <v>35</v>
      </c>
      <c r="B42" s="37" t="n"/>
      <c r="C42" s="37" t="n"/>
      <c r="D42" s="37" t="n"/>
      <c r="E42" s="37" t="n"/>
      <c r="F42" s="37" t="n"/>
      <c r="G42" s="37" t="n"/>
      <c r="H42" s="37" t="n"/>
      <c r="I42" s="37" t="n"/>
      <c r="J42" s="37" t="n"/>
      <c r="K42" s="37" t="n"/>
      <c r="L42" s="37" t="n"/>
      <c r="M42" s="37" t="n"/>
      <c r="N42" s="37" t="n"/>
      <c r="O42" s="38" t="str">
        <f>IF(B42="","",IFERROR(INDEX('2. Use-Case Library'!$A$5:$A$244,MATCH(B42,'2. Use-Case Library'!$M$5:$M$244,0)),"Custom"))</f>
        <v/>
      </c>
      <c r="P42" s="39" t="str">
        <f>IF(B42="","",IF(O42="Custom",IF(E42="","(select function in E)",E42),INDEX('2. Use-Case Library'!$C$5:$C$244,MATCH($O42,'2. Use-Case Library'!$A$5:$A$244,0))))</f>
        <v/>
      </c>
      <c r="Q42" s="39" t="str">
        <f>IF(B42="","",IF(D42&lt;&gt;"",D42,IF(O42="Custom","",INDEX('2. Use-Case Library'!$F$5:$F$244,MATCH($O42,'2. Use-Case Library'!$A$5:$A$244,0)))))</f>
        <v/>
      </c>
      <c r="R42" s="39" t="str">
        <f>IF(Q42="","",INDEX(Lists!$B$2:$B$11,MATCH(Q42,Lists!$A$2:$A$11,0)))</f>
        <v/>
      </c>
      <c r="S42" s="38" t="str">
        <f>IF(R42="","",INDEX(Lists!$C$2:$C$11,MATCH(R42,Lists!$B$2:$B$11,0)))</f>
        <v/>
      </c>
      <c r="T42" s="38" t="str">
        <f>IF(R42="","",INDEX(Lists!$D$2:$D$11,MATCH(R42,Lists!$B$2:$B$11,0)))</f>
        <v/>
      </c>
      <c r="U42" s="38" t="str">
        <f>IF(OR(R42="",I42=""),"",IF(INDEX(Lists!$N$2:$N$5,MATCH(I42,Lists!$M$2:$M$5,0))&gt;=INDEX(Lists!$E$2:$E$11,MATCH(R42,Lists!$B$2:$B$11,0)),"Data ready","Data gap"))</f>
        <v/>
      </c>
      <c r="V42" s="39" t="str">
        <f>IF(R42="","",IF(S42&lt;=IF('1. AI Position'!$C$30="",5,INDEX(Lists!$AI$2:$AI$5,'1. AI Position'!$C$30)),"Within current position","Beyond current position"))</f>
        <v/>
      </c>
      <c r="W42" s="40" t="str">
        <f>IF(B42="","",IF(OR(COUNTA(F42:N42)&lt;9,Q42=""),"Complete inputs",IF(H42="No - varies by person / team","Redesign / standardise first",IF(T42="No","Automate - AI not needed",IF(U42="Data gap","AI later - close data gap first",IF(V42="Beyond current position","Stretch - partner or later stage","AI fit now"))))))</f>
        <v/>
      </c>
      <c r="X42" s="41" t="str">
        <f>IF(OR(W42="",W42="Complete inputs"),"",ROUND(0.3*INDEX(Lists!$N$8:$N$10,MATCH(F42,Lists!$M$8:$M$10,0))+0.25*IF(G42&lt;20,1,IF(G42&lt;80,2,IF(G42&lt;160,3,IF(G42&lt;480,4,5))))+0.25*J42+0.2*K42,2))</f>
        <v/>
      </c>
      <c r="Y42" s="41" t="str">
        <f>IF(X42="","",ROUND(0.3*IF(U42="Data ready",5,IF(INDEX(Lists!$N$2:$N$5,MATCH(I42,Lists!$M$2:$M$5,0))=INDEX(Lists!$E$2:$E$11,MATCH(R42,Lists!$B$2:$B$11,0))-1,3,1))+0.25*INDEX(Lists!$N$13:$N$15,MATCH(H42,Lists!$M$13:$M$15,0))+0.25*(6-S42)+0.2*IF(V42="Within current position",5,2),2))</f>
        <v/>
      </c>
      <c r="Z42" s="38" t="str">
        <f>IF(X42="","",CHOOSE(MAX(IF(T42="No",IF(L42="Yes",2,1),IF(IF(L42="Yes",2,0)+IF(M42="Yes",1,0)+INDEX(Lists!$N$18:$N$20,MATCH(N42,Lists!$M$18:$M$20,0))+IF(K42=5,2,IF(K42&gt;=4,1,0))&gt;=4,3,IF(IF(L42="Yes",2,0)+IF(M42="Yes",1,0)+INDEX(Lists!$N$18:$N$20,MATCH(N42,Lists!$M$18:$M$20,0))+IF(K42=5,2,IF(K42&gt;=4,1,0))&gt;=2,2,1))),IF($O42="Custom",1,MATCH(INDEX('2. Use-Case Library'!$L$5:$L$244,MATCH($O42,'2. Use-Case Library'!$A$5:$A$244,0)),{"Low","Medium","High"},0))),"Low","Medium","High"))</f>
        <v/>
      </c>
      <c r="AA42" s="38" t="str">
        <f>IF(X42="","",IF(AND(X42&gt;=$C$4,Y42&gt;=$C$4),"Quick win",IF(X42&gt;=$C$4,"Strategic bet",IF(Y42&gt;=$C$4,"Fill-in","Deprioritise"))))</f>
        <v/>
      </c>
      <c r="AB42" s="41" t="str">
        <f>IF(X42="","",ROUND(X42*Y42*IF(Z42="High",0.85,1)*IF(W42="Redesign / standardise first",0.8,1),2))</f>
        <v/>
      </c>
      <c r="AC42" s="42" t="str">
        <f>IF(AB42="","",RANK(AB42,$AB$8:$AB$57)+COUNTIF($AB$7:AB41,AB42))</f>
        <v/>
      </c>
      <c r="AD42" s="39" t="str">
        <f>IF(AH42="","",INDEX(Lists!$AV$2:$AV$5,AH42))</f>
        <v/>
      </c>
      <c r="AE42" s="43" t="str">
        <f>IF(AB42="","",ROUND(G42*12*INDEX(Lists!$F$2:$F$11,MATCH(R42,Lists!$B$2:$B$11,0)),0))</f>
        <v/>
      </c>
      <c r="AF42" s="44" t="str">
        <f>IF(OR(B42="",R42=""),"",IF(O42="Custom",INDEX(Lists!$I$2:$I$11,MATCH(R42,Lists!$B$2:$B$11,0)),INDEX('2. Use-Case Library'!$H$5:$H$244,MATCH($O42,'2. Use-Case Library'!$A$5:$A$244,0))))</f>
        <v/>
      </c>
      <c r="AG42" s="44" t="str">
        <f>IF(OR(B42="",O42="Custom"),"",INDEX('2. Use-Case Library'!$K$5:$K$244,MATCH($O42,'2. Use-Case Library'!$A$5:$A$244,0)))</f>
        <v/>
      </c>
      <c r="AH42" s="38" t="str">
        <f>IF(AB42="","",IF(AA42="Deprioritise",4,IF(W42="AI later - close data gap first",3,IF(OR(W42="Redesign / standardise first",W42="Stretch - partner or later stage",AA42="Strategic bet",Z42="High",S42=5),2,1))))</f>
        <v/>
      </c>
      <c r="AI42" s="38" t="str">
        <f>IF(AC42="","",AH42*100+AC42)</f>
        <v/>
      </c>
      <c r="AJ42" s="38" t="str">
        <f>IF(B42="","",IF(O42="Custom",B42,INDEX('2. Use-Case Library'!$D$5:$D$244,MATCH($O42,'2. Use-Case Library'!$A$5:$A$244,0))))</f>
        <v/>
      </c>
    </row>
    <row r="43" ht="52" customHeight="1">
      <c r="A43" s="14" t="n">
        <v>36</v>
      </c>
      <c r="B43" s="37" t="n"/>
      <c r="C43" s="37" t="n"/>
      <c r="D43" s="37" t="n"/>
      <c r="E43" s="37" t="n"/>
      <c r="F43" s="37" t="n"/>
      <c r="G43" s="37" t="n"/>
      <c r="H43" s="37" t="n"/>
      <c r="I43" s="37" t="n"/>
      <c r="J43" s="37" t="n"/>
      <c r="K43" s="37" t="n"/>
      <c r="L43" s="37" t="n"/>
      <c r="M43" s="37" t="n"/>
      <c r="N43" s="37" t="n"/>
      <c r="O43" s="38" t="str">
        <f>IF(B43="","",IFERROR(INDEX('2. Use-Case Library'!$A$5:$A$244,MATCH(B43,'2. Use-Case Library'!$M$5:$M$244,0)),"Custom"))</f>
        <v/>
      </c>
      <c r="P43" s="39" t="str">
        <f>IF(B43="","",IF(O43="Custom",IF(E43="","(select function in E)",E43),INDEX('2. Use-Case Library'!$C$5:$C$244,MATCH($O43,'2. Use-Case Library'!$A$5:$A$244,0))))</f>
        <v/>
      </c>
      <c r="Q43" s="39" t="str">
        <f>IF(B43="","",IF(D43&lt;&gt;"",D43,IF(O43="Custom","",INDEX('2. Use-Case Library'!$F$5:$F$244,MATCH($O43,'2. Use-Case Library'!$A$5:$A$244,0)))))</f>
        <v/>
      </c>
      <c r="R43" s="39" t="str">
        <f>IF(Q43="","",INDEX(Lists!$B$2:$B$11,MATCH(Q43,Lists!$A$2:$A$11,0)))</f>
        <v/>
      </c>
      <c r="S43" s="38" t="str">
        <f>IF(R43="","",INDEX(Lists!$C$2:$C$11,MATCH(R43,Lists!$B$2:$B$11,0)))</f>
        <v/>
      </c>
      <c r="T43" s="38" t="str">
        <f>IF(R43="","",INDEX(Lists!$D$2:$D$11,MATCH(R43,Lists!$B$2:$B$11,0)))</f>
        <v/>
      </c>
      <c r="U43" s="38" t="str">
        <f>IF(OR(R43="",I43=""),"",IF(INDEX(Lists!$N$2:$N$5,MATCH(I43,Lists!$M$2:$M$5,0))&gt;=INDEX(Lists!$E$2:$E$11,MATCH(R43,Lists!$B$2:$B$11,0)),"Data ready","Data gap"))</f>
        <v/>
      </c>
      <c r="V43" s="39" t="str">
        <f>IF(R43="","",IF(S43&lt;=IF('1. AI Position'!$C$30="",5,INDEX(Lists!$AI$2:$AI$5,'1. AI Position'!$C$30)),"Within current position","Beyond current position"))</f>
        <v/>
      </c>
      <c r="W43" s="40" t="str">
        <f>IF(B43="","",IF(OR(COUNTA(F43:N43)&lt;9,Q43=""),"Complete inputs",IF(H43="No - varies by person / team","Redesign / standardise first",IF(T43="No","Automate - AI not needed",IF(U43="Data gap","AI later - close data gap first",IF(V43="Beyond current position","Stretch - partner or later stage","AI fit now"))))))</f>
        <v/>
      </c>
      <c r="X43" s="41" t="str">
        <f>IF(OR(W43="",W43="Complete inputs"),"",ROUND(0.3*INDEX(Lists!$N$8:$N$10,MATCH(F43,Lists!$M$8:$M$10,0))+0.25*IF(G43&lt;20,1,IF(G43&lt;80,2,IF(G43&lt;160,3,IF(G43&lt;480,4,5))))+0.25*J43+0.2*K43,2))</f>
        <v/>
      </c>
      <c r="Y43" s="41" t="str">
        <f>IF(X43="","",ROUND(0.3*IF(U43="Data ready",5,IF(INDEX(Lists!$N$2:$N$5,MATCH(I43,Lists!$M$2:$M$5,0))=INDEX(Lists!$E$2:$E$11,MATCH(R43,Lists!$B$2:$B$11,0))-1,3,1))+0.25*INDEX(Lists!$N$13:$N$15,MATCH(H43,Lists!$M$13:$M$15,0))+0.25*(6-S43)+0.2*IF(V43="Within current position",5,2),2))</f>
        <v/>
      </c>
      <c r="Z43" s="38" t="str">
        <f>IF(X43="","",CHOOSE(MAX(IF(T43="No",IF(L43="Yes",2,1),IF(IF(L43="Yes",2,0)+IF(M43="Yes",1,0)+INDEX(Lists!$N$18:$N$20,MATCH(N43,Lists!$M$18:$M$20,0))+IF(K43=5,2,IF(K43&gt;=4,1,0))&gt;=4,3,IF(IF(L43="Yes",2,0)+IF(M43="Yes",1,0)+INDEX(Lists!$N$18:$N$20,MATCH(N43,Lists!$M$18:$M$20,0))+IF(K43=5,2,IF(K43&gt;=4,1,0))&gt;=2,2,1))),IF($O43="Custom",1,MATCH(INDEX('2. Use-Case Library'!$L$5:$L$244,MATCH($O43,'2. Use-Case Library'!$A$5:$A$244,0)),{"Low","Medium","High"},0))),"Low","Medium","High"))</f>
        <v/>
      </c>
      <c r="AA43" s="38" t="str">
        <f>IF(X43="","",IF(AND(X43&gt;=$C$4,Y43&gt;=$C$4),"Quick win",IF(X43&gt;=$C$4,"Strategic bet",IF(Y43&gt;=$C$4,"Fill-in","Deprioritise"))))</f>
        <v/>
      </c>
      <c r="AB43" s="41" t="str">
        <f>IF(X43="","",ROUND(X43*Y43*IF(Z43="High",0.85,1)*IF(W43="Redesign / standardise first",0.8,1),2))</f>
        <v/>
      </c>
      <c r="AC43" s="42" t="str">
        <f>IF(AB43="","",RANK(AB43,$AB$8:$AB$57)+COUNTIF($AB$7:AB42,AB43))</f>
        <v/>
      </c>
      <c r="AD43" s="39" t="str">
        <f>IF(AH43="","",INDEX(Lists!$AV$2:$AV$5,AH43))</f>
        <v/>
      </c>
      <c r="AE43" s="43" t="str">
        <f>IF(AB43="","",ROUND(G43*12*INDEX(Lists!$F$2:$F$11,MATCH(R43,Lists!$B$2:$B$11,0)),0))</f>
        <v/>
      </c>
      <c r="AF43" s="44" t="str">
        <f>IF(OR(B43="",R43=""),"",IF(O43="Custom",INDEX(Lists!$I$2:$I$11,MATCH(R43,Lists!$B$2:$B$11,0)),INDEX('2. Use-Case Library'!$H$5:$H$244,MATCH($O43,'2. Use-Case Library'!$A$5:$A$244,0))))</f>
        <v/>
      </c>
      <c r="AG43" s="44" t="str">
        <f>IF(OR(B43="",O43="Custom"),"",INDEX('2. Use-Case Library'!$K$5:$K$244,MATCH($O43,'2. Use-Case Library'!$A$5:$A$244,0)))</f>
        <v/>
      </c>
      <c r="AH43" s="38" t="str">
        <f>IF(AB43="","",IF(AA43="Deprioritise",4,IF(W43="AI later - close data gap first",3,IF(OR(W43="Redesign / standardise first",W43="Stretch - partner or later stage",AA43="Strategic bet",Z43="High",S43=5),2,1))))</f>
        <v/>
      </c>
      <c r="AI43" s="38" t="str">
        <f>IF(AC43="","",AH43*100+AC43)</f>
        <v/>
      </c>
      <c r="AJ43" s="38" t="str">
        <f>IF(B43="","",IF(O43="Custom",B43,INDEX('2. Use-Case Library'!$D$5:$D$244,MATCH($O43,'2. Use-Case Library'!$A$5:$A$244,0))))</f>
        <v/>
      </c>
    </row>
    <row r="44" ht="52" customHeight="1">
      <c r="A44" s="14" t="n">
        <v>37</v>
      </c>
      <c r="B44" s="37" t="n"/>
      <c r="C44" s="37" t="n"/>
      <c r="D44" s="37" t="n"/>
      <c r="E44" s="37" t="n"/>
      <c r="F44" s="37" t="n"/>
      <c r="G44" s="37" t="n"/>
      <c r="H44" s="37" t="n"/>
      <c r="I44" s="37" t="n"/>
      <c r="J44" s="37" t="n"/>
      <c r="K44" s="37" t="n"/>
      <c r="L44" s="37" t="n"/>
      <c r="M44" s="37" t="n"/>
      <c r="N44" s="37" t="n"/>
      <c r="O44" s="38" t="str">
        <f>IF(B44="","",IFERROR(INDEX('2. Use-Case Library'!$A$5:$A$244,MATCH(B44,'2. Use-Case Library'!$M$5:$M$244,0)),"Custom"))</f>
        <v/>
      </c>
      <c r="P44" s="39" t="str">
        <f>IF(B44="","",IF(O44="Custom",IF(E44="","(select function in E)",E44),INDEX('2. Use-Case Library'!$C$5:$C$244,MATCH($O44,'2. Use-Case Library'!$A$5:$A$244,0))))</f>
        <v/>
      </c>
      <c r="Q44" s="39" t="str">
        <f>IF(B44="","",IF(D44&lt;&gt;"",D44,IF(O44="Custom","",INDEX('2. Use-Case Library'!$F$5:$F$244,MATCH($O44,'2. Use-Case Library'!$A$5:$A$244,0)))))</f>
        <v/>
      </c>
      <c r="R44" s="39" t="str">
        <f>IF(Q44="","",INDEX(Lists!$B$2:$B$11,MATCH(Q44,Lists!$A$2:$A$11,0)))</f>
        <v/>
      </c>
      <c r="S44" s="38" t="str">
        <f>IF(R44="","",INDEX(Lists!$C$2:$C$11,MATCH(R44,Lists!$B$2:$B$11,0)))</f>
        <v/>
      </c>
      <c r="T44" s="38" t="str">
        <f>IF(R44="","",INDEX(Lists!$D$2:$D$11,MATCH(R44,Lists!$B$2:$B$11,0)))</f>
        <v/>
      </c>
      <c r="U44" s="38" t="str">
        <f>IF(OR(R44="",I44=""),"",IF(INDEX(Lists!$N$2:$N$5,MATCH(I44,Lists!$M$2:$M$5,0))&gt;=INDEX(Lists!$E$2:$E$11,MATCH(R44,Lists!$B$2:$B$11,0)),"Data ready","Data gap"))</f>
        <v/>
      </c>
      <c r="V44" s="39" t="str">
        <f>IF(R44="","",IF(S44&lt;=IF('1. AI Position'!$C$30="",5,INDEX(Lists!$AI$2:$AI$5,'1. AI Position'!$C$30)),"Within current position","Beyond current position"))</f>
        <v/>
      </c>
      <c r="W44" s="40" t="str">
        <f>IF(B44="","",IF(OR(COUNTA(F44:N44)&lt;9,Q44=""),"Complete inputs",IF(H44="No - varies by person / team","Redesign / standardise first",IF(T44="No","Automate - AI not needed",IF(U44="Data gap","AI later - close data gap first",IF(V44="Beyond current position","Stretch - partner or later stage","AI fit now"))))))</f>
        <v/>
      </c>
      <c r="X44" s="41" t="str">
        <f>IF(OR(W44="",W44="Complete inputs"),"",ROUND(0.3*INDEX(Lists!$N$8:$N$10,MATCH(F44,Lists!$M$8:$M$10,0))+0.25*IF(G44&lt;20,1,IF(G44&lt;80,2,IF(G44&lt;160,3,IF(G44&lt;480,4,5))))+0.25*J44+0.2*K44,2))</f>
        <v/>
      </c>
      <c r="Y44" s="41" t="str">
        <f>IF(X44="","",ROUND(0.3*IF(U44="Data ready",5,IF(INDEX(Lists!$N$2:$N$5,MATCH(I44,Lists!$M$2:$M$5,0))=INDEX(Lists!$E$2:$E$11,MATCH(R44,Lists!$B$2:$B$11,0))-1,3,1))+0.25*INDEX(Lists!$N$13:$N$15,MATCH(H44,Lists!$M$13:$M$15,0))+0.25*(6-S44)+0.2*IF(V44="Within current position",5,2),2))</f>
        <v/>
      </c>
      <c r="Z44" s="38" t="str">
        <f>IF(X44="","",CHOOSE(MAX(IF(T44="No",IF(L44="Yes",2,1),IF(IF(L44="Yes",2,0)+IF(M44="Yes",1,0)+INDEX(Lists!$N$18:$N$20,MATCH(N44,Lists!$M$18:$M$20,0))+IF(K44=5,2,IF(K44&gt;=4,1,0))&gt;=4,3,IF(IF(L44="Yes",2,0)+IF(M44="Yes",1,0)+INDEX(Lists!$N$18:$N$20,MATCH(N44,Lists!$M$18:$M$20,0))+IF(K44=5,2,IF(K44&gt;=4,1,0))&gt;=2,2,1))),IF($O44="Custom",1,MATCH(INDEX('2. Use-Case Library'!$L$5:$L$244,MATCH($O44,'2. Use-Case Library'!$A$5:$A$244,0)),{"Low","Medium","High"},0))),"Low","Medium","High"))</f>
        <v/>
      </c>
      <c r="AA44" s="38" t="str">
        <f>IF(X44="","",IF(AND(X44&gt;=$C$4,Y44&gt;=$C$4),"Quick win",IF(X44&gt;=$C$4,"Strategic bet",IF(Y44&gt;=$C$4,"Fill-in","Deprioritise"))))</f>
        <v/>
      </c>
      <c r="AB44" s="41" t="str">
        <f>IF(X44="","",ROUND(X44*Y44*IF(Z44="High",0.85,1)*IF(W44="Redesign / standardise first",0.8,1),2))</f>
        <v/>
      </c>
      <c r="AC44" s="42" t="str">
        <f>IF(AB44="","",RANK(AB44,$AB$8:$AB$57)+COUNTIF($AB$7:AB43,AB44))</f>
        <v/>
      </c>
      <c r="AD44" s="39" t="str">
        <f>IF(AH44="","",INDEX(Lists!$AV$2:$AV$5,AH44))</f>
        <v/>
      </c>
      <c r="AE44" s="43" t="str">
        <f>IF(AB44="","",ROUND(G44*12*INDEX(Lists!$F$2:$F$11,MATCH(R44,Lists!$B$2:$B$11,0)),0))</f>
        <v/>
      </c>
      <c r="AF44" s="44" t="str">
        <f>IF(OR(B44="",R44=""),"",IF(O44="Custom",INDEX(Lists!$I$2:$I$11,MATCH(R44,Lists!$B$2:$B$11,0)),INDEX('2. Use-Case Library'!$H$5:$H$244,MATCH($O44,'2. Use-Case Library'!$A$5:$A$244,0))))</f>
        <v/>
      </c>
      <c r="AG44" s="44" t="str">
        <f>IF(OR(B44="",O44="Custom"),"",INDEX('2. Use-Case Library'!$K$5:$K$244,MATCH($O44,'2. Use-Case Library'!$A$5:$A$244,0)))</f>
        <v/>
      </c>
      <c r="AH44" s="38" t="str">
        <f>IF(AB44="","",IF(AA44="Deprioritise",4,IF(W44="AI later - close data gap first",3,IF(OR(W44="Redesign / standardise first",W44="Stretch - partner or later stage",AA44="Strategic bet",Z44="High",S44=5),2,1))))</f>
        <v/>
      </c>
      <c r="AI44" s="38" t="str">
        <f>IF(AC44="","",AH44*100+AC44)</f>
        <v/>
      </c>
      <c r="AJ44" s="38" t="str">
        <f>IF(B44="","",IF(O44="Custom",B44,INDEX('2. Use-Case Library'!$D$5:$D$244,MATCH($O44,'2. Use-Case Library'!$A$5:$A$244,0))))</f>
        <v/>
      </c>
    </row>
    <row r="45" ht="52" customHeight="1">
      <c r="A45" s="14" t="n">
        <v>38</v>
      </c>
      <c r="B45" s="37" t="n"/>
      <c r="C45" s="37" t="n"/>
      <c r="D45" s="37" t="n"/>
      <c r="E45" s="37" t="n"/>
      <c r="F45" s="37" t="n"/>
      <c r="G45" s="37" t="n"/>
      <c r="H45" s="37" t="n"/>
      <c r="I45" s="37" t="n"/>
      <c r="J45" s="37" t="n"/>
      <c r="K45" s="37" t="n"/>
      <c r="L45" s="37" t="n"/>
      <c r="M45" s="37" t="n"/>
      <c r="N45" s="37" t="n"/>
      <c r="O45" s="38" t="str">
        <f>IF(B45="","",IFERROR(INDEX('2. Use-Case Library'!$A$5:$A$244,MATCH(B45,'2. Use-Case Library'!$M$5:$M$244,0)),"Custom"))</f>
        <v/>
      </c>
      <c r="P45" s="39" t="str">
        <f>IF(B45="","",IF(O45="Custom",IF(E45="","(select function in E)",E45),INDEX('2. Use-Case Library'!$C$5:$C$244,MATCH($O45,'2. Use-Case Library'!$A$5:$A$244,0))))</f>
        <v/>
      </c>
      <c r="Q45" s="39" t="str">
        <f>IF(B45="","",IF(D45&lt;&gt;"",D45,IF(O45="Custom","",INDEX('2. Use-Case Library'!$F$5:$F$244,MATCH($O45,'2. Use-Case Library'!$A$5:$A$244,0)))))</f>
        <v/>
      </c>
      <c r="R45" s="39" t="str">
        <f>IF(Q45="","",INDEX(Lists!$B$2:$B$11,MATCH(Q45,Lists!$A$2:$A$11,0)))</f>
        <v/>
      </c>
      <c r="S45" s="38" t="str">
        <f>IF(R45="","",INDEX(Lists!$C$2:$C$11,MATCH(R45,Lists!$B$2:$B$11,0)))</f>
        <v/>
      </c>
      <c r="T45" s="38" t="str">
        <f>IF(R45="","",INDEX(Lists!$D$2:$D$11,MATCH(R45,Lists!$B$2:$B$11,0)))</f>
        <v/>
      </c>
      <c r="U45" s="38" t="str">
        <f>IF(OR(R45="",I45=""),"",IF(INDEX(Lists!$N$2:$N$5,MATCH(I45,Lists!$M$2:$M$5,0))&gt;=INDEX(Lists!$E$2:$E$11,MATCH(R45,Lists!$B$2:$B$11,0)),"Data ready","Data gap"))</f>
        <v/>
      </c>
      <c r="V45" s="39" t="str">
        <f>IF(R45="","",IF(S45&lt;=IF('1. AI Position'!$C$30="",5,INDEX(Lists!$AI$2:$AI$5,'1. AI Position'!$C$30)),"Within current position","Beyond current position"))</f>
        <v/>
      </c>
      <c r="W45" s="40" t="str">
        <f>IF(B45="","",IF(OR(COUNTA(F45:N45)&lt;9,Q45=""),"Complete inputs",IF(H45="No - varies by person / team","Redesign / standardise first",IF(T45="No","Automate - AI not needed",IF(U45="Data gap","AI later - close data gap first",IF(V45="Beyond current position","Stretch - partner or later stage","AI fit now"))))))</f>
        <v/>
      </c>
      <c r="X45" s="41" t="str">
        <f>IF(OR(W45="",W45="Complete inputs"),"",ROUND(0.3*INDEX(Lists!$N$8:$N$10,MATCH(F45,Lists!$M$8:$M$10,0))+0.25*IF(G45&lt;20,1,IF(G45&lt;80,2,IF(G45&lt;160,3,IF(G45&lt;480,4,5))))+0.25*J45+0.2*K45,2))</f>
        <v/>
      </c>
      <c r="Y45" s="41" t="str">
        <f>IF(X45="","",ROUND(0.3*IF(U45="Data ready",5,IF(INDEX(Lists!$N$2:$N$5,MATCH(I45,Lists!$M$2:$M$5,0))=INDEX(Lists!$E$2:$E$11,MATCH(R45,Lists!$B$2:$B$11,0))-1,3,1))+0.25*INDEX(Lists!$N$13:$N$15,MATCH(H45,Lists!$M$13:$M$15,0))+0.25*(6-S45)+0.2*IF(V45="Within current position",5,2),2))</f>
        <v/>
      </c>
      <c r="Z45" s="38" t="str">
        <f>IF(X45="","",CHOOSE(MAX(IF(T45="No",IF(L45="Yes",2,1),IF(IF(L45="Yes",2,0)+IF(M45="Yes",1,0)+INDEX(Lists!$N$18:$N$20,MATCH(N45,Lists!$M$18:$M$20,0))+IF(K45=5,2,IF(K45&gt;=4,1,0))&gt;=4,3,IF(IF(L45="Yes",2,0)+IF(M45="Yes",1,0)+INDEX(Lists!$N$18:$N$20,MATCH(N45,Lists!$M$18:$M$20,0))+IF(K45=5,2,IF(K45&gt;=4,1,0))&gt;=2,2,1))),IF($O45="Custom",1,MATCH(INDEX('2. Use-Case Library'!$L$5:$L$244,MATCH($O45,'2. Use-Case Library'!$A$5:$A$244,0)),{"Low","Medium","High"},0))),"Low","Medium","High"))</f>
        <v/>
      </c>
      <c r="AA45" s="38" t="str">
        <f>IF(X45="","",IF(AND(X45&gt;=$C$4,Y45&gt;=$C$4),"Quick win",IF(X45&gt;=$C$4,"Strategic bet",IF(Y45&gt;=$C$4,"Fill-in","Deprioritise"))))</f>
        <v/>
      </c>
      <c r="AB45" s="41" t="str">
        <f>IF(X45="","",ROUND(X45*Y45*IF(Z45="High",0.85,1)*IF(W45="Redesign / standardise first",0.8,1),2))</f>
        <v/>
      </c>
      <c r="AC45" s="42" t="str">
        <f>IF(AB45="","",RANK(AB45,$AB$8:$AB$57)+COUNTIF($AB$7:AB44,AB45))</f>
        <v/>
      </c>
      <c r="AD45" s="39" t="str">
        <f>IF(AH45="","",INDEX(Lists!$AV$2:$AV$5,AH45))</f>
        <v/>
      </c>
      <c r="AE45" s="43" t="str">
        <f>IF(AB45="","",ROUND(G45*12*INDEX(Lists!$F$2:$F$11,MATCH(R45,Lists!$B$2:$B$11,0)),0))</f>
        <v/>
      </c>
      <c r="AF45" s="44" t="str">
        <f>IF(OR(B45="",R45=""),"",IF(O45="Custom",INDEX(Lists!$I$2:$I$11,MATCH(R45,Lists!$B$2:$B$11,0)),INDEX('2. Use-Case Library'!$H$5:$H$244,MATCH($O45,'2. Use-Case Library'!$A$5:$A$244,0))))</f>
        <v/>
      </c>
      <c r="AG45" s="44" t="str">
        <f>IF(OR(B45="",O45="Custom"),"",INDEX('2. Use-Case Library'!$K$5:$K$244,MATCH($O45,'2. Use-Case Library'!$A$5:$A$244,0)))</f>
        <v/>
      </c>
      <c r="AH45" s="38" t="str">
        <f>IF(AB45="","",IF(AA45="Deprioritise",4,IF(W45="AI later - close data gap first",3,IF(OR(W45="Redesign / standardise first",W45="Stretch - partner or later stage",AA45="Strategic bet",Z45="High",S45=5),2,1))))</f>
        <v/>
      </c>
      <c r="AI45" s="38" t="str">
        <f>IF(AC45="","",AH45*100+AC45)</f>
        <v/>
      </c>
      <c r="AJ45" s="38" t="str">
        <f>IF(B45="","",IF(O45="Custom",B45,INDEX('2. Use-Case Library'!$D$5:$D$244,MATCH($O45,'2. Use-Case Library'!$A$5:$A$244,0))))</f>
        <v/>
      </c>
    </row>
    <row r="46" ht="52" customHeight="1">
      <c r="A46" s="14" t="n">
        <v>39</v>
      </c>
      <c r="B46" s="37" t="n"/>
      <c r="C46" s="37" t="n"/>
      <c r="D46" s="37" t="n"/>
      <c r="E46" s="37" t="n"/>
      <c r="F46" s="37" t="n"/>
      <c r="G46" s="37" t="n"/>
      <c r="H46" s="37" t="n"/>
      <c r="I46" s="37" t="n"/>
      <c r="J46" s="37" t="n"/>
      <c r="K46" s="37" t="n"/>
      <c r="L46" s="37" t="n"/>
      <c r="M46" s="37" t="n"/>
      <c r="N46" s="37" t="n"/>
      <c r="O46" s="38" t="str">
        <f>IF(B46="","",IFERROR(INDEX('2. Use-Case Library'!$A$5:$A$244,MATCH(B46,'2. Use-Case Library'!$M$5:$M$244,0)),"Custom"))</f>
        <v/>
      </c>
      <c r="P46" s="39" t="str">
        <f>IF(B46="","",IF(O46="Custom",IF(E46="","(select function in E)",E46),INDEX('2. Use-Case Library'!$C$5:$C$244,MATCH($O46,'2. Use-Case Library'!$A$5:$A$244,0))))</f>
        <v/>
      </c>
      <c r="Q46" s="39" t="str">
        <f>IF(B46="","",IF(D46&lt;&gt;"",D46,IF(O46="Custom","",INDEX('2. Use-Case Library'!$F$5:$F$244,MATCH($O46,'2. Use-Case Library'!$A$5:$A$244,0)))))</f>
        <v/>
      </c>
      <c r="R46" s="39" t="str">
        <f>IF(Q46="","",INDEX(Lists!$B$2:$B$11,MATCH(Q46,Lists!$A$2:$A$11,0)))</f>
        <v/>
      </c>
      <c r="S46" s="38" t="str">
        <f>IF(R46="","",INDEX(Lists!$C$2:$C$11,MATCH(R46,Lists!$B$2:$B$11,0)))</f>
        <v/>
      </c>
      <c r="T46" s="38" t="str">
        <f>IF(R46="","",INDEX(Lists!$D$2:$D$11,MATCH(R46,Lists!$B$2:$B$11,0)))</f>
        <v/>
      </c>
      <c r="U46" s="38" t="str">
        <f>IF(OR(R46="",I46=""),"",IF(INDEX(Lists!$N$2:$N$5,MATCH(I46,Lists!$M$2:$M$5,0))&gt;=INDEX(Lists!$E$2:$E$11,MATCH(R46,Lists!$B$2:$B$11,0)),"Data ready","Data gap"))</f>
        <v/>
      </c>
      <c r="V46" s="39" t="str">
        <f>IF(R46="","",IF(S46&lt;=IF('1. AI Position'!$C$30="",5,INDEX(Lists!$AI$2:$AI$5,'1. AI Position'!$C$30)),"Within current position","Beyond current position"))</f>
        <v/>
      </c>
      <c r="W46" s="40" t="str">
        <f>IF(B46="","",IF(OR(COUNTA(F46:N46)&lt;9,Q46=""),"Complete inputs",IF(H46="No - varies by person / team","Redesign / standardise first",IF(T46="No","Automate - AI not needed",IF(U46="Data gap","AI later - close data gap first",IF(V46="Beyond current position","Stretch - partner or later stage","AI fit now"))))))</f>
        <v/>
      </c>
      <c r="X46" s="41" t="str">
        <f>IF(OR(W46="",W46="Complete inputs"),"",ROUND(0.3*INDEX(Lists!$N$8:$N$10,MATCH(F46,Lists!$M$8:$M$10,0))+0.25*IF(G46&lt;20,1,IF(G46&lt;80,2,IF(G46&lt;160,3,IF(G46&lt;480,4,5))))+0.25*J46+0.2*K46,2))</f>
        <v/>
      </c>
      <c r="Y46" s="41" t="str">
        <f>IF(X46="","",ROUND(0.3*IF(U46="Data ready",5,IF(INDEX(Lists!$N$2:$N$5,MATCH(I46,Lists!$M$2:$M$5,0))=INDEX(Lists!$E$2:$E$11,MATCH(R46,Lists!$B$2:$B$11,0))-1,3,1))+0.25*INDEX(Lists!$N$13:$N$15,MATCH(H46,Lists!$M$13:$M$15,0))+0.25*(6-S46)+0.2*IF(V46="Within current position",5,2),2))</f>
        <v/>
      </c>
      <c r="Z46" s="38" t="str">
        <f>IF(X46="","",CHOOSE(MAX(IF(T46="No",IF(L46="Yes",2,1),IF(IF(L46="Yes",2,0)+IF(M46="Yes",1,0)+INDEX(Lists!$N$18:$N$20,MATCH(N46,Lists!$M$18:$M$20,0))+IF(K46=5,2,IF(K46&gt;=4,1,0))&gt;=4,3,IF(IF(L46="Yes",2,0)+IF(M46="Yes",1,0)+INDEX(Lists!$N$18:$N$20,MATCH(N46,Lists!$M$18:$M$20,0))+IF(K46=5,2,IF(K46&gt;=4,1,0))&gt;=2,2,1))),IF($O46="Custom",1,MATCH(INDEX('2. Use-Case Library'!$L$5:$L$244,MATCH($O46,'2. Use-Case Library'!$A$5:$A$244,0)),{"Low","Medium","High"},0))),"Low","Medium","High"))</f>
        <v/>
      </c>
      <c r="AA46" s="38" t="str">
        <f>IF(X46="","",IF(AND(X46&gt;=$C$4,Y46&gt;=$C$4),"Quick win",IF(X46&gt;=$C$4,"Strategic bet",IF(Y46&gt;=$C$4,"Fill-in","Deprioritise"))))</f>
        <v/>
      </c>
      <c r="AB46" s="41" t="str">
        <f>IF(X46="","",ROUND(X46*Y46*IF(Z46="High",0.85,1)*IF(W46="Redesign / standardise first",0.8,1),2))</f>
        <v/>
      </c>
      <c r="AC46" s="42" t="str">
        <f>IF(AB46="","",RANK(AB46,$AB$8:$AB$57)+COUNTIF($AB$7:AB45,AB46))</f>
        <v/>
      </c>
      <c r="AD46" s="39" t="str">
        <f>IF(AH46="","",INDEX(Lists!$AV$2:$AV$5,AH46))</f>
        <v/>
      </c>
      <c r="AE46" s="43" t="str">
        <f>IF(AB46="","",ROUND(G46*12*INDEX(Lists!$F$2:$F$11,MATCH(R46,Lists!$B$2:$B$11,0)),0))</f>
        <v/>
      </c>
      <c r="AF46" s="44" t="str">
        <f>IF(OR(B46="",R46=""),"",IF(O46="Custom",INDEX(Lists!$I$2:$I$11,MATCH(R46,Lists!$B$2:$B$11,0)),INDEX('2. Use-Case Library'!$H$5:$H$244,MATCH($O46,'2. Use-Case Library'!$A$5:$A$244,0))))</f>
        <v/>
      </c>
      <c r="AG46" s="44" t="str">
        <f>IF(OR(B46="",O46="Custom"),"",INDEX('2. Use-Case Library'!$K$5:$K$244,MATCH($O46,'2. Use-Case Library'!$A$5:$A$244,0)))</f>
        <v/>
      </c>
      <c r="AH46" s="38" t="str">
        <f>IF(AB46="","",IF(AA46="Deprioritise",4,IF(W46="AI later - close data gap first",3,IF(OR(W46="Redesign / standardise first",W46="Stretch - partner or later stage",AA46="Strategic bet",Z46="High",S46=5),2,1))))</f>
        <v/>
      </c>
      <c r="AI46" s="38" t="str">
        <f>IF(AC46="","",AH46*100+AC46)</f>
        <v/>
      </c>
      <c r="AJ46" s="38" t="str">
        <f>IF(B46="","",IF(O46="Custom",B46,INDEX('2. Use-Case Library'!$D$5:$D$244,MATCH($O46,'2. Use-Case Library'!$A$5:$A$244,0))))</f>
        <v/>
      </c>
    </row>
    <row r="47" ht="52" customHeight="1">
      <c r="A47" s="14" t="n">
        <v>40</v>
      </c>
      <c r="B47" s="37" t="n"/>
      <c r="C47" s="37" t="n"/>
      <c r="D47" s="37" t="n"/>
      <c r="E47" s="37" t="n"/>
      <c r="F47" s="37" t="n"/>
      <c r="G47" s="37" t="n"/>
      <c r="H47" s="37" t="n"/>
      <c r="I47" s="37" t="n"/>
      <c r="J47" s="37" t="n"/>
      <c r="K47" s="37" t="n"/>
      <c r="L47" s="37" t="n"/>
      <c r="M47" s="37" t="n"/>
      <c r="N47" s="37" t="n"/>
      <c r="O47" s="38" t="str">
        <f>IF(B47="","",IFERROR(INDEX('2. Use-Case Library'!$A$5:$A$244,MATCH(B47,'2. Use-Case Library'!$M$5:$M$244,0)),"Custom"))</f>
        <v/>
      </c>
      <c r="P47" s="39" t="str">
        <f>IF(B47="","",IF(O47="Custom",IF(E47="","(select function in E)",E47),INDEX('2. Use-Case Library'!$C$5:$C$244,MATCH($O47,'2. Use-Case Library'!$A$5:$A$244,0))))</f>
        <v/>
      </c>
      <c r="Q47" s="39" t="str">
        <f>IF(B47="","",IF(D47&lt;&gt;"",D47,IF(O47="Custom","",INDEX('2. Use-Case Library'!$F$5:$F$244,MATCH($O47,'2. Use-Case Library'!$A$5:$A$244,0)))))</f>
        <v/>
      </c>
      <c r="R47" s="39" t="str">
        <f>IF(Q47="","",INDEX(Lists!$B$2:$B$11,MATCH(Q47,Lists!$A$2:$A$11,0)))</f>
        <v/>
      </c>
      <c r="S47" s="38" t="str">
        <f>IF(R47="","",INDEX(Lists!$C$2:$C$11,MATCH(R47,Lists!$B$2:$B$11,0)))</f>
        <v/>
      </c>
      <c r="T47" s="38" t="str">
        <f>IF(R47="","",INDEX(Lists!$D$2:$D$11,MATCH(R47,Lists!$B$2:$B$11,0)))</f>
        <v/>
      </c>
      <c r="U47" s="38" t="str">
        <f>IF(OR(R47="",I47=""),"",IF(INDEX(Lists!$N$2:$N$5,MATCH(I47,Lists!$M$2:$M$5,0))&gt;=INDEX(Lists!$E$2:$E$11,MATCH(R47,Lists!$B$2:$B$11,0)),"Data ready","Data gap"))</f>
        <v/>
      </c>
      <c r="V47" s="39" t="str">
        <f>IF(R47="","",IF(S47&lt;=IF('1. AI Position'!$C$30="",5,INDEX(Lists!$AI$2:$AI$5,'1. AI Position'!$C$30)),"Within current position","Beyond current position"))</f>
        <v/>
      </c>
      <c r="W47" s="40" t="str">
        <f>IF(B47="","",IF(OR(COUNTA(F47:N47)&lt;9,Q47=""),"Complete inputs",IF(H47="No - varies by person / team","Redesign / standardise first",IF(T47="No","Automate - AI not needed",IF(U47="Data gap","AI later - close data gap first",IF(V47="Beyond current position","Stretch - partner or later stage","AI fit now"))))))</f>
        <v/>
      </c>
      <c r="X47" s="41" t="str">
        <f>IF(OR(W47="",W47="Complete inputs"),"",ROUND(0.3*INDEX(Lists!$N$8:$N$10,MATCH(F47,Lists!$M$8:$M$10,0))+0.25*IF(G47&lt;20,1,IF(G47&lt;80,2,IF(G47&lt;160,3,IF(G47&lt;480,4,5))))+0.25*J47+0.2*K47,2))</f>
        <v/>
      </c>
      <c r="Y47" s="41" t="str">
        <f>IF(X47="","",ROUND(0.3*IF(U47="Data ready",5,IF(INDEX(Lists!$N$2:$N$5,MATCH(I47,Lists!$M$2:$M$5,0))=INDEX(Lists!$E$2:$E$11,MATCH(R47,Lists!$B$2:$B$11,0))-1,3,1))+0.25*INDEX(Lists!$N$13:$N$15,MATCH(H47,Lists!$M$13:$M$15,0))+0.25*(6-S47)+0.2*IF(V47="Within current position",5,2),2))</f>
        <v/>
      </c>
      <c r="Z47" s="38" t="str">
        <f>IF(X47="","",CHOOSE(MAX(IF(T47="No",IF(L47="Yes",2,1),IF(IF(L47="Yes",2,0)+IF(M47="Yes",1,0)+INDEX(Lists!$N$18:$N$20,MATCH(N47,Lists!$M$18:$M$20,0))+IF(K47=5,2,IF(K47&gt;=4,1,0))&gt;=4,3,IF(IF(L47="Yes",2,0)+IF(M47="Yes",1,0)+INDEX(Lists!$N$18:$N$20,MATCH(N47,Lists!$M$18:$M$20,0))+IF(K47=5,2,IF(K47&gt;=4,1,0))&gt;=2,2,1))),IF($O47="Custom",1,MATCH(INDEX('2. Use-Case Library'!$L$5:$L$244,MATCH($O47,'2. Use-Case Library'!$A$5:$A$244,0)),{"Low","Medium","High"},0))),"Low","Medium","High"))</f>
        <v/>
      </c>
      <c r="AA47" s="38" t="str">
        <f>IF(X47="","",IF(AND(X47&gt;=$C$4,Y47&gt;=$C$4),"Quick win",IF(X47&gt;=$C$4,"Strategic bet",IF(Y47&gt;=$C$4,"Fill-in","Deprioritise"))))</f>
        <v/>
      </c>
      <c r="AB47" s="41" t="str">
        <f>IF(X47="","",ROUND(X47*Y47*IF(Z47="High",0.85,1)*IF(W47="Redesign / standardise first",0.8,1),2))</f>
        <v/>
      </c>
      <c r="AC47" s="42" t="str">
        <f>IF(AB47="","",RANK(AB47,$AB$8:$AB$57)+COUNTIF($AB$7:AB46,AB47))</f>
        <v/>
      </c>
      <c r="AD47" s="39" t="str">
        <f>IF(AH47="","",INDEX(Lists!$AV$2:$AV$5,AH47))</f>
        <v/>
      </c>
      <c r="AE47" s="43" t="str">
        <f>IF(AB47="","",ROUND(G47*12*INDEX(Lists!$F$2:$F$11,MATCH(R47,Lists!$B$2:$B$11,0)),0))</f>
        <v/>
      </c>
      <c r="AF47" s="44" t="str">
        <f>IF(OR(B47="",R47=""),"",IF(O47="Custom",INDEX(Lists!$I$2:$I$11,MATCH(R47,Lists!$B$2:$B$11,0)),INDEX('2. Use-Case Library'!$H$5:$H$244,MATCH($O47,'2. Use-Case Library'!$A$5:$A$244,0))))</f>
        <v/>
      </c>
      <c r="AG47" s="44" t="str">
        <f>IF(OR(B47="",O47="Custom"),"",INDEX('2. Use-Case Library'!$K$5:$K$244,MATCH($O47,'2. Use-Case Library'!$A$5:$A$244,0)))</f>
        <v/>
      </c>
      <c r="AH47" s="38" t="str">
        <f>IF(AB47="","",IF(AA47="Deprioritise",4,IF(W47="AI later - close data gap first",3,IF(OR(W47="Redesign / standardise first",W47="Stretch - partner or later stage",AA47="Strategic bet",Z47="High",S47=5),2,1))))</f>
        <v/>
      </c>
      <c r="AI47" s="38" t="str">
        <f>IF(AC47="","",AH47*100+AC47)</f>
        <v/>
      </c>
      <c r="AJ47" s="38" t="str">
        <f>IF(B47="","",IF(O47="Custom",B47,INDEX('2. Use-Case Library'!$D$5:$D$244,MATCH($O47,'2. Use-Case Library'!$A$5:$A$244,0))))</f>
        <v/>
      </c>
    </row>
    <row r="48" ht="52" customHeight="1">
      <c r="A48" s="14" t="n">
        <v>41</v>
      </c>
      <c r="B48" s="37" t="n"/>
      <c r="C48" s="37" t="n"/>
      <c r="D48" s="37" t="n"/>
      <c r="E48" s="37" t="n"/>
      <c r="F48" s="37" t="n"/>
      <c r="G48" s="37" t="n"/>
      <c r="H48" s="37" t="n"/>
      <c r="I48" s="37" t="n"/>
      <c r="J48" s="37" t="n"/>
      <c r="K48" s="37" t="n"/>
      <c r="L48" s="37" t="n"/>
      <c r="M48" s="37" t="n"/>
      <c r="N48" s="37" t="n"/>
      <c r="O48" s="38" t="str">
        <f>IF(B48="","",IFERROR(INDEX('2. Use-Case Library'!$A$5:$A$244,MATCH(B48,'2. Use-Case Library'!$M$5:$M$244,0)),"Custom"))</f>
        <v/>
      </c>
      <c r="P48" s="39" t="str">
        <f>IF(B48="","",IF(O48="Custom",IF(E48="","(select function in E)",E48),INDEX('2. Use-Case Library'!$C$5:$C$244,MATCH($O48,'2. Use-Case Library'!$A$5:$A$244,0))))</f>
        <v/>
      </c>
      <c r="Q48" s="39" t="str">
        <f>IF(B48="","",IF(D48&lt;&gt;"",D48,IF(O48="Custom","",INDEX('2. Use-Case Library'!$F$5:$F$244,MATCH($O48,'2. Use-Case Library'!$A$5:$A$244,0)))))</f>
        <v/>
      </c>
      <c r="R48" s="39" t="str">
        <f>IF(Q48="","",INDEX(Lists!$B$2:$B$11,MATCH(Q48,Lists!$A$2:$A$11,0)))</f>
        <v/>
      </c>
      <c r="S48" s="38" t="str">
        <f>IF(R48="","",INDEX(Lists!$C$2:$C$11,MATCH(R48,Lists!$B$2:$B$11,0)))</f>
        <v/>
      </c>
      <c r="T48" s="38" t="str">
        <f>IF(R48="","",INDEX(Lists!$D$2:$D$11,MATCH(R48,Lists!$B$2:$B$11,0)))</f>
        <v/>
      </c>
      <c r="U48" s="38" t="str">
        <f>IF(OR(R48="",I48=""),"",IF(INDEX(Lists!$N$2:$N$5,MATCH(I48,Lists!$M$2:$M$5,0))&gt;=INDEX(Lists!$E$2:$E$11,MATCH(R48,Lists!$B$2:$B$11,0)),"Data ready","Data gap"))</f>
        <v/>
      </c>
      <c r="V48" s="39" t="str">
        <f>IF(R48="","",IF(S48&lt;=IF('1. AI Position'!$C$30="",5,INDEX(Lists!$AI$2:$AI$5,'1. AI Position'!$C$30)),"Within current position","Beyond current position"))</f>
        <v/>
      </c>
      <c r="W48" s="40" t="str">
        <f>IF(B48="","",IF(OR(COUNTA(F48:N48)&lt;9,Q48=""),"Complete inputs",IF(H48="No - varies by person / team","Redesign / standardise first",IF(T48="No","Automate - AI not needed",IF(U48="Data gap","AI later - close data gap first",IF(V48="Beyond current position","Stretch - partner or later stage","AI fit now"))))))</f>
        <v/>
      </c>
      <c r="X48" s="41" t="str">
        <f>IF(OR(W48="",W48="Complete inputs"),"",ROUND(0.3*INDEX(Lists!$N$8:$N$10,MATCH(F48,Lists!$M$8:$M$10,0))+0.25*IF(G48&lt;20,1,IF(G48&lt;80,2,IF(G48&lt;160,3,IF(G48&lt;480,4,5))))+0.25*J48+0.2*K48,2))</f>
        <v/>
      </c>
      <c r="Y48" s="41" t="str">
        <f>IF(X48="","",ROUND(0.3*IF(U48="Data ready",5,IF(INDEX(Lists!$N$2:$N$5,MATCH(I48,Lists!$M$2:$M$5,0))=INDEX(Lists!$E$2:$E$11,MATCH(R48,Lists!$B$2:$B$11,0))-1,3,1))+0.25*INDEX(Lists!$N$13:$N$15,MATCH(H48,Lists!$M$13:$M$15,0))+0.25*(6-S48)+0.2*IF(V48="Within current position",5,2),2))</f>
        <v/>
      </c>
      <c r="Z48" s="38" t="str">
        <f>IF(X48="","",CHOOSE(MAX(IF(T48="No",IF(L48="Yes",2,1),IF(IF(L48="Yes",2,0)+IF(M48="Yes",1,0)+INDEX(Lists!$N$18:$N$20,MATCH(N48,Lists!$M$18:$M$20,0))+IF(K48=5,2,IF(K48&gt;=4,1,0))&gt;=4,3,IF(IF(L48="Yes",2,0)+IF(M48="Yes",1,0)+INDEX(Lists!$N$18:$N$20,MATCH(N48,Lists!$M$18:$M$20,0))+IF(K48=5,2,IF(K48&gt;=4,1,0))&gt;=2,2,1))),IF($O48="Custom",1,MATCH(INDEX('2. Use-Case Library'!$L$5:$L$244,MATCH($O48,'2. Use-Case Library'!$A$5:$A$244,0)),{"Low","Medium","High"},0))),"Low","Medium","High"))</f>
        <v/>
      </c>
      <c r="AA48" s="38" t="str">
        <f>IF(X48="","",IF(AND(X48&gt;=$C$4,Y48&gt;=$C$4),"Quick win",IF(X48&gt;=$C$4,"Strategic bet",IF(Y48&gt;=$C$4,"Fill-in","Deprioritise"))))</f>
        <v/>
      </c>
      <c r="AB48" s="41" t="str">
        <f>IF(X48="","",ROUND(X48*Y48*IF(Z48="High",0.85,1)*IF(W48="Redesign / standardise first",0.8,1),2))</f>
        <v/>
      </c>
      <c r="AC48" s="42" t="str">
        <f>IF(AB48="","",RANK(AB48,$AB$8:$AB$57)+COUNTIF($AB$7:AB47,AB48))</f>
        <v/>
      </c>
      <c r="AD48" s="39" t="str">
        <f>IF(AH48="","",INDEX(Lists!$AV$2:$AV$5,AH48))</f>
        <v/>
      </c>
      <c r="AE48" s="43" t="str">
        <f>IF(AB48="","",ROUND(G48*12*INDEX(Lists!$F$2:$F$11,MATCH(R48,Lists!$B$2:$B$11,0)),0))</f>
        <v/>
      </c>
      <c r="AF48" s="44" t="str">
        <f>IF(OR(B48="",R48=""),"",IF(O48="Custom",INDEX(Lists!$I$2:$I$11,MATCH(R48,Lists!$B$2:$B$11,0)),INDEX('2. Use-Case Library'!$H$5:$H$244,MATCH($O48,'2. Use-Case Library'!$A$5:$A$244,0))))</f>
        <v/>
      </c>
      <c r="AG48" s="44" t="str">
        <f>IF(OR(B48="",O48="Custom"),"",INDEX('2. Use-Case Library'!$K$5:$K$244,MATCH($O48,'2. Use-Case Library'!$A$5:$A$244,0)))</f>
        <v/>
      </c>
      <c r="AH48" s="38" t="str">
        <f>IF(AB48="","",IF(AA48="Deprioritise",4,IF(W48="AI later - close data gap first",3,IF(OR(W48="Redesign / standardise first",W48="Stretch - partner or later stage",AA48="Strategic bet",Z48="High",S48=5),2,1))))</f>
        <v/>
      </c>
      <c r="AI48" s="38" t="str">
        <f>IF(AC48="","",AH48*100+AC48)</f>
        <v/>
      </c>
      <c r="AJ48" s="38" t="str">
        <f>IF(B48="","",IF(O48="Custom",B48,INDEX('2. Use-Case Library'!$D$5:$D$244,MATCH($O48,'2. Use-Case Library'!$A$5:$A$244,0))))</f>
        <v/>
      </c>
    </row>
    <row r="49" ht="52" customHeight="1">
      <c r="A49" s="14" t="n">
        <v>42</v>
      </c>
      <c r="B49" s="37" t="n"/>
      <c r="C49" s="37" t="n"/>
      <c r="D49" s="37" t="n"/>
      <c r="E49" s="37" t="n"/>
      <c r="F49" s="37" t="n"/>
      <c r="G49" s="37" t="n"/>
      <c r="H49" s="37" t="n"/>
      <c r="I49" s="37" t="n"/>
      <c r="J49" s="37" t="n"/>
      <c r="K49" s="37" t="n"/>
      <c r="L49" s="37" t="n"/>
      <c r="M49" s="37" t="n"/>
      <c r="N49" s="37" t="n"/>
      <c r="O49" s="38" t="str">
        <f>IF(B49="","",IFERROR(INDEX('2. Use-Case Library'!$A$5:$A$244,MATCH(B49,'2. Use-Case Library'!$M$5:$M$244,0)),"Custom"))</f>
        <v/>
      </c>
      <c r="P49" s="39" t="str">
        <f>IF(B49="","",IF(O49="Custom",IF(E49="","(select function in E)",E49),INDEX('2. Use-Case Library'!$C$5:$C$244,MATCH($O49,'2. Use-Case Library'!$A$5:$A$244,0))))</f>
        <v/>
      </c>
      <c r="Q49" s="39" t="str">
        <f>IF(B49="","",IF(D49&lt;&gt;"",D49,IF(O49="Custom","",INDEX('2. Use-Case Library'!$F$5:$F$244,MATCH($O49,'2. Use-Case Library'!$A$5:$A$244,0)))))</f>
        <v/>
      </c>
      <c r="R49" s="39" t="str">
        <f>IF(Q49="","",INDEX(Lists!$B$2:$B$11,MATCH(Q49,Lists!$A$2:$A$11,0)))</f>
        <v/>
      </c>
      <c r="S49" s="38" t="str">
        <f>IF(R49="","",INDEX(Lists!$C$2:$C$11,MATCH(R49,Lists!$B$2:$B$11,0)))</f>
        <v/>
      </c>
      <c r="T49" s="38" t="str">
        <f>IF(R49="","",INDEX(Lists!$D$2:$D$11,MATCH(R49,Lists!$B$2:$B$11,0)))</f>
        <v/>
      </c>
      <c r="U49" s="38" t="str">
        <f>IF(OR(R49="",I49=""),"",IF(INDEX(Lists!$N$2:$N$5,MATCH(I49,Lists!$M$2:$M$5,0))&gt;=INDEX(Lists!$E$2:$E$11,MATCH(R49,Lists!$B$2:$B$11,0)),"Data ready","Data gap"))</f>
        <v/>
      </c>
      <c r="V49" s="39" t="str">
        <f>IF(R49="","",IF(S49&lt;=IF('1. AI Position'!$C$30="",5,INDEX(Lists!$AI$2:$AI$5,'1. AI Position'!$C$30)),"Within current position","Beyond current position"))</f>
        <v/>
      </c>
      <c r="W49" s="40" t="str">
        <f>IF(B49="","",IF(OR(COUNTA(F49:N49)&lt;9,Q49=""),"Complete inputs",IF(H49="No - varies by person / team","Redesign / standardise first",IF(T49="No","Automate - AI not needed",IF(U49="Data gap","AI later - close data gap first",IF(V49="Beyond current position","Stretch - partner or later stage","AI fit now"))))))</f>
        <v/>
      </c>
      <c r="X49" s="41" t="str">
        <f>IF(OR(W49="",W49="Complete inputs"),"",ROUND(0.3*INDEX(Lists!$N$8:$N$10,MATCH(F49,Lists!$M$8:$M$10,0))+0.25*IF(G49&lt;20,1,IF(G49&lt;80,2,IF(G49&lt;160,3,IF(G49&lt;480,4,5))))+0.25*J49+0.2*K49,2))</f>
        <v/>
      </c>
      <c r="Y49" s="41" t="str">
        <f>IF(X49="","",ROUND(0.3*IF(U49="Data ready",5,IF(INDEX(Lists!$N$2:$N$5,MATCH(I49,Lists!$M$2:$M$5,0))=INDEX(Lists!$E$2:$E$11,MATCH(R49,Lists!$B$2:$B$11,0))-1,3,1))+0.25*INDEX(Lists!$N$13:$N$15,MATCH(H49,Lists!$M$13:$M$15,0))+0.25*(6-S49)+0.2*IF(V49="Within current position",5,2),2))</f>
        <v/>
      </c>
      <c r="Z49" s="38" t="str">
        <f>IF(X49="","",CHOOSE(MAX(IF(T49="No",IF(L49="Yes",2,1),IF(IF(L49="Yes",2,0)+IF(M49="Yes",1,0)+INDEX(Lists!$N$18:$N$20,MATCH(N49,Lists!$M$18:$M$20,0))+IF(K49=5,2,IF(K49&gt;=4,1,0))&gt;=4,3,IF(IF(L49="Yes",2,0)+IF(M49="Yes",1,0)+INDEX(Lists!$N$18:$N$20,MATCH(N49,Lists!$M$18:$M$20,0))+IF(K49=5,2,IF(K49&gt;=4,1,0))&gt;=2,2,1))),IF($O49="Custom",1,MATCH(INDEX('2. Use-Case Library'!$L$5:$L$244,MATCH($O49,'2. Use-Case Library'!$A$5:$A$244,0)),{"Low","Medium","High"},0))),"Low","Medium","High"))</f>
        <v/>
      </c>
      <c r="AA49" s="38" t="str">
        <f>IF(X49="","",IF(AND(X49&gt;=$C$4,Y49&gt;=$C$4),"Quick win",IF(X49&gt;=$C$4,"Strategic bet",IF(Y49&gt;=$C$4,"Fill-in","Deprioritise"))))</f>
        <v/>
      </c>
      <c r="AB49" s="41" t="str">
        <f>IF(X49="","",ROUND(X49*Y49*IF(Z49="High",0.85,1)*IF(W49="Redesign / standardise first",0.8,1),2))</f>
        <v/>
      </c>
      <c r="AC49" s="42" t="str">
        <f>IF(AB49="","",RANK(AB49,$AB$8:$AB$57)+COUNTIF($AB$7:AB48,AB49))</f>
        <v/>
      </c>
      <c r="AD49" s="39" t="str">
        <f>IF(AH49="","",INDEX(Lists!$AV$2:$AV$5,AH49))</f>
        <v/>
      </c>
      <c r="AE49" s="43" t="str">
        <f>IF(AB49="","",ROUND(G49*12*INDEX(Lists!$F$2:$F$11,MATCH(R49,Lists!$B$2:$B$11,0)),0))</f>
        <v/>
      </c>
      <c r="AF49" s="44" t="str">
        <f>IF(OR(B49="",R49=""),"",IF(O49="Custom",INDEX(Lists!$I$2:$I$11,MATCH(R49,Lists!$B$2:$B$11,0)),INDEX('2. Use-Case Library'!$H$5:$H$244,MATCH($O49,'2. Use-Case Library'!$A$5:$A$244,0))))</f>
        <v/>
      </c>
      <c r="AG49" s="44" t="str">
        <f>IF(OR(B49="",O49="Custom"),"",INDEX('2. Use-Case Library'!$K$5:$K$244,MATCH($O49,'2. Use-Case Library'!$A$5:$A$244,0)))</f>
        <v/>
      </c>
      <c r="AH49" s="38" t="str">
        <f>IF(AB49="","",IF(AA49="Deprioritise",4,IF(W49="AI later - close data gap first",3,IF(OR(W49="Redesign / standardise first",W49="Stretch - partner or later stage",AA49="Strategic bet",Z49="High",S49=5),2,1))))</f>
        <v/>
      </c>
      <c r="AI49" s="38" t="str">
        <f>IF(AC49="","",AH49*100+AC49)</f>
        <v/>
      </c>
      <c r="AJ49" s="38" t="str">
        <f>IF(B49="","",IF(O49="Custom",B49,INDEX('2. Use-Case Library'!$D$5:$D$244,MATCH($O49,'2. Use-Case Library'!$A$5:$A$244,0))))</f>
        <v/>
      </c>
    </row>
    <row r="50" ht="52" customHeight="1">
      <c r="A50" s="14" t="n">
        <v>43</v>
      </c>
      <c r="B50" s="37" t="n"/>
      <c r="C50" s="37" t="n"/>
      <c r="D50" s="37" t="n"/>
      <c r="E50" s="37" t="n"/>
      <c r="F50" s="37" t="n"/>
      <c r="G50" s="37" t="n"/>
      <c r="H50" s="37" t="n"/>
      <c r="I50" s="37" t="n"/>
      <c r="J50" s="37" t="n"/>
      <c r="K50" s="37" t="n"/>
      <c r="L50" s="37" t="n"/>
      <c r="M50" s="37" t="n"/>
      <c r="N50" s="37" t="n"/>
      <c r="O50" s="38" t="str">
        <f>IF(B50="","",IFERROR(INDEX('2. Use-Case Library'!$A$5:$A$244,MATCH(B50,'2. Use-Case Library'!$M$5:$M$244,0)),"Custom"))</f>
        <v/>
      </c>
      <c r="P50" s="39" t="str">
        <f>IF(B50="","",IF(O50="Custom",IF(E50="","(select function in E)",E50),INDEX('2. Use-Case Library'!$C$5:$C$244,MATCH($O50,'2. Use-Case Library'!$A$5:$A$244,0))))</f>
        <v/>
      </c>
      <c r="Q50" s="39" t="str">
        <f>IF(B50="","",IF(D50&lt;&gt;"",D50,IF(O50="Custom","",INDEX('2. Use-Case Library'!$F$5:$F$244,MATCH($O50,'2. Use-Case Library'!$A$5:$A$244,0)))))</f>
        <v/>
      </c>
      <c r="R50" s="39" t="str">
        <f>IF(Q50="","",INDEX(Lists!$B$2:$B$11,MATCH(Q50,Lists!$A$2:$A$11,0)))</f>
        <v/>
      </c>
      <c r="S50" s="38" t="str">
        <f>IF(R50="","",INDEX(Lists!$C$2:$C$11,MATCH(R50,Lists!$B$2:$B$11,0)))</f>
        <v/>
      </c>
      <c r="T50" s="38" t="str">
        <f>IF(R50="","",INDEX(Lists!$D$2:$D$11,MATCH(R50,Lists!$B$2:$B$11,0)))</f>
        <v/>
      </c>
      <c r="U50" s="38" t="str">
        <f>IF(OR(R50="",I50=""),"",IF(INDEX(Lists!$N$2:$N$5,MATCH(I50,Lists!$M$2:$M$5,0))&gt;=INDEX(Lists!$E$2:$E$11,MATCH(R50,Lists!$B$2:$B$11,0)),"Data ready","Data gap"))</f>
        <v/>
      </c>
      <c r="V50" s="39" t="str">
        <f>IF(R50="","",IF(S50&lt;=IF('1. AI Position'!$C$30="",5,INDEX(Lists!$AI$2:$AI$5,'1. AI Position'!$C$30)),"Within current position","Beyond current position"))</f>
        <v/>
      </c>
      <c r="W50" s="40" t="str">
        <f>IF(B50="","",IF(OR(COUNTA(F50:N50)&lt;9,Q50=""),"Complete inputs",IF(H50="No - varies by person / team","Redesign / standardise first",IF(T50="No","Automate - AI not needed",IF(U50="Data gap","AI later - close data gap first",IF(V50="Beyond current position","Stretch - partner or later stage","AI fit now"))))))</f>
        <v/>
      </c>
      <c r="X50" s="41" t="str">
        <f>IF(OR(W50="",W50="Complete inputs"),"",ROUND(0.3*INDEX(Lists!$N$8:$N$10,MATCH(F50,Lists!$M$8:$M$10,0))+0.25*IF(G50&lt;20,1,IF(G50&lt;80,2,IF(G50&lt;160,3,IF(G50&lt;480,4,5))))+0.25*J50+0.2*K50,2))</f>
        <v/>
      </c>
      <c r="Y50" s="41" t="str">
        <f>IF(X50="","",ROUND(0.3*IF(U50="Data ready",5,IF(INDEX(Lists!$N$2:$N$5,MATCH(I50,Lists!$M$2:$M$5,0))=INDEX(Lists!$E$2:$E$11,MATCH(R50,Lists!$B$2:$B$11,0))-1,3,1))+0.25*INDEX(Lists!$N$13:$N$15,MATCH(H50,Lists!$M$13:$M$15,0))+0.25*(6-S50)+0.2*IF(V50="Within current position",5,2),2))</f>
        <v/>
      </c>
      <c r="Z50" s="38" t="str">
        <f>IF(X50="","",CHOOSE(MAX(IF(T50="No",IF(L50="Yes",2,1),IF(IF(L50="Yes",2,0)+IF(M50="Yes",1,0)+INDEX(Lists!$N$18:$N$20,MATCH(N50,Lists!$M$18:$M$20,0))+IF(K50=5,2,IF(K50&gt;=4,1,0))&gt;=4,3,IF(IF(L50="Yes",2,0)+IF(M50="Yes",1,0)+INDEX(Lists!$N$18:$N$20,MATCH(N50,Lists!$M$18:$M$20,0))+IF(K50=5,2,IF(K50&gt;=4,1,0))&gt;=2,2,1))),IF($O50="Custom",1,MATCH(INDEX('2. Use-Case Library'!$L$5:$L$244,MATCH($O50,'2. Use-Case Library'!$A$5:$A$244,0)),{"Low","Medium","High"},0))),"Low","Medium","High"))</f>
        <v/>
      </c>
      <c r="AA50" s="38" t="str">
        <f>IF(X50="","",IF(AND(X50&gt;=$C$4,Y50&gt;=$C$4),"Quick win",IF(X50&gt;=$C$4,"Strategic bet",IF(Y50&gt;=$C$4,"Fill-in","Deprioritise"))))</f>
        <v/>
      </c>
      <c r="AB50" s="41" t="str">
        <f>IF(X50="","",ROUND(X50*Y50*IF(Z50="High",0.85,1)*IF(W50="Redesign / standardise first",0.8,1),2))</f>
        <v/>
      </c>
      <c r="AC50" s="42" t="str">
        <f>IF(AB50="","",RANK(AB50,$AB$8:$AB$57)+COUNTIF($AB$7:AB49,AB50))</f>
        <v/>
      </c>
      <c r="AD50" s="39" t="str">
        <f>IF(AH50="","",INDEX(Lists!$AV$2:$AV$5,AH50))</f>
        <v/>
      </c>
      <c r="AE50" s="43" t="str">
        <f>IF(AB50="","",ROUND(G50*12*INDEX(Lists!$F$2:$F$11,MATCH(R50,Lists!$B$2:$B$11,0)),0))</f>
        <v/>
      </c>
      <c r="AF50" s="44" t="str">
        <f>IF(OR(B50="",R50=""),"",IF(O50="Custom",INDEX(Lists!$I$2:$I$11,MATCH(R50,Lists!$B$2:$B$11,0)),INDEX('2. Use-Case Library'!$H$5:$H$244,MATCH($O50,'2. Use-Case Library'!$A$5:$A$244,0))))</f>
        <v/>
      </c>
      <c r="AG50" s="44" t="str">
        <f>IF(OR(B50="",O50="Custom"),"",INDEX('2. Use-Case Library'!$K$5:$K$244,MATCH($O50,'2. Use-Case Library'!$A$5:$A$244,0)))</f>
        <v/>
      </c>
      <c r="AH50" s="38" t="str">
        <f>IF(AB50="","",IF(AA50="Deprioritise",4,IF(W50="AI later - close data gap first",3,IF(OR(W50="Redesign / standardise first",W50="Stretch - partner or later stage",AA50="Strategic bet",Z50="High",S50=5),2,1))))</f>
        <v/>
      </c>
      <c r="AI50" s="38" t="str">
        <f>IF(AC50="","",AH50*100+AC50)</f>
        <v/>
      </c>
      <c r="AJ50" s="38" t="str">
        <f>IF(B50="","",IF(O50="Custom",B50,INDEX('2. Use-Case Library'!$D$5:$D$244,MATCH($O50,'2. Use-Case Library'!$A$5:$A$244,0))))</f>
        <v/>
      </c>
    </row>
    <row r="51" ht="52" customHeight="1">
      <c r="A51" s="14" t="n">
        <v>44</v>
      </c>
      <c r="B51" s="37" t="n"/>
      <c r="C51" s="37" t="n"/>
      <c r="D51" s="37" t="n"/>
      <c r="E51" s="37" t="n"/>
      <c r="F51" s="37" t="n"/>
      <c r="G51" s="37" t="n"/>
      <c r="H51" s="37" t="n"/>
      <c r="I51" s="37" t="n"/>
      <c r="J51" s="37" t="n"/>
      <c r="K51" s="37" t="n"/>
      <c r="L51" s="37" t="n"/>
      <c r="M51" s="37" t="n"/>
      <c r="N51" s="37" t="n"/>
      <c r="O51" s="38" t="str">
        <f>IF(B51="","",IFERROR(INDEX('2. Use-Case Library'!$A$5:$A$244,MATCH(B51,'2. Use-Case Library'!$M$5:$M$244,0)),"Custom"))</f>
        <v/>
      </c>
      <c r="P51" s="39" t="str">
        <f>IF(B51="","",IF(O51="Custom",IF(E51="","(select function in E)",E51),INDEX('2. Use-Case Library'!$C$5:$C$244,MATCH($O51,'2. Use-Case Library'!$A$5:$A$244,0))))</f>
        <v/>
      </c>
      <c r="Q51" s="39" t="str">
        <f>IF(B51="","",IF(D51&lt;&gt;"",D51,IF(O51="Custom","",INDEX('2. Use-Case Library'!$F$5:$F$244,MATCH($O51,'2. Use-Case Library'!$A$5:$A$244,0)))))</f>
        <v/>
      </c>
      <c r="R51" s="39" t="str">
        <f>IF(Q51="","",INDEX(Lists!$B$2:$B$11,MATCH(Q51,Lists!$A$2:$A$11,0)))</f>
        <v/>
      </c>
      <c r="S51" s="38" t="str">
        <f>IF(R51="","",INDEX(Lists!$C$2:$C$11,MATCH(R51,Lists!$B$2:$B$11,0)))</f>
        <v/>
      </c>
      <c r="T51" s="38" t="str">
        <f>IF(R51="","",INDEX(Lists!$D$2:$D$11,MATCH(R51,Lists!$B$2:$B$11,0)))</f>
        <v/>
      </c>
      <c r="U51" s="38" t="str">
        <f>IF(OR(R51="",I51=""),"",IF(INDEX(Lists!$N$2:$N$5,MATCH(I51,Lists!$M$2:$M$5,0))&gt;=INDEX(Lists!$E$2:$E$11,MATCH(R51,Lists!$B$2:$B$11,0)),"Data ready","Data gap"))</f>
        <v/>
      </c>
      <c r="V51" s="39" t="str">
        <f>IF(R51="","",IF(S51&lt;=IF('1. AI Position'!$C$30="",5,INDEX(Lists!$AI$2:$AI$5,'1. AI Position'!$C$30)),"Within current position","Beyond current position"))</f>
        <v/>
      </c>
      <c r="W51" s="40" t="str">
        <f>IF(B51="","",IF(OR(COUNTA(F51:N51)&lt;9,Q51=""),"Complete inputs",IF(H51="No - varies by person / team","Redesign / standardise first",IF(T51="No","Automate - AI not needed",IF(U51="Data gap","AI later - close data gap first",IF(V51="Beyond current position","Stretch - partner or later stage","AI fit now"))))))</f>
        <v/>
      </c>
      <c r="X51" s="41" t="str">
        <f>IF(OR(W51="",W51="Complete inputs"),"",ROUND(0.3*INDEX(Lists!$N$8:$N$10,MATCH(F51,Lists!$M$8:$M$10,0))+0.25*IF(G51&lt;20,1,IF(G51&lt;80,2,IF(G51&lt;160,3,IF(G51&lt;480,4,5))))+0.25*J51+0.2*K51,2))</f>
        <v/>
      </c>
      <c r="Y51" s="41" t="str">
        <f>IF(X51="","",ROUND(0.3*IF(U51="Data ready",5,IF(INDEX(Lists!$N$2:$N$5,MATCH(I51,Lists!$M$2:$M$5,0))=INDEX(Lists!$E$2:$E$11,MATCH(R51,Lists!$B$2:$B$11,0))-1,3,1))+0.25*INDEX(Lists!$N$13:$N$15,MATCH(H51,Lists!$M$13:$M$15,0))+0.25*(6-S51)+0.2*IF(V51="Within current position",5,2),2))</f>
        <v/>
      </c>
      <c r="Z51" s="38" t="str">
        <f>IF(X51="","",CHOOSE(MAX(IF(T51="No",IF(L51="Yes",2,1),IF(IF(L51="Yes",2,0)+IF(M51="Yes",1,0)+INDEX(Lists!$N$18:$N$20,MATCH(N51,Lists!$M$18:$M$20,0))+IF(K51=5,2,IF(K51&gt;=4,1,0))&gt;=4,3,IF(IF(L51="Yes",2,0)+IF(M51="Yes",1,0)+INDEX(Lists!$N$18:$N$20,MATCH(N51,Lists!$M$18:$M$20,0))+IF(K51=5,2,IF(K51&gt;=4,1,0))&gt;=2,2,1))),IF($O51="Custom",1,MATCH(INDEX('2. Use-Case Library'!$L$5:$L$244,MATCH($O51,'2. Use-Case Library'!$A$5:$A$244,0)),{"Low","Medium","High"},0))),"Low","Medium","High"))</f>
        <v/>
      </c>
      <c r="AA51" s="38" t="str">
        <f>IF(X51="","",IF(AND(X51&gt;=$C$4,Y51&gt;=$C$4),"Quick win",IF(X51&gt;=$C$4,"Strategic bet",IF(Y51&gt;=$C$4,"Fill-in","Deprioritise"))))</f>
        <v/>
      </c>
      <c r="AB51" s="41" t="str">
        <f>IF(X51="","",ROUND(X51*Y51*IF(Z51="High",0.85,1)*IF(W51="Redesign / standardise first",0.8,1),2))</f>
        <v/>
      </c>
      <c r="AC51" s="42" t="str">
        <f>IF(AB51="","",RANK(AB51,$AB$8:$AB$57)+COUNTIF($AB$7:AB50,AB51))</f>
        <v/>
      </c>
      <c r="AD51" s="39" t="str">
        <f>IF(AH51="","",INDEX(Lists!$AV$2:$AV$5,AH51))</f>
        <v/>
      </c>
      <c r="AE51" s="43" t="str">
        <f>IF(AB51="","",ROUND(G51*12*INDEX(Lists!$F$2:$F$11,MATCH(R51,Lists!$B$2:$B$11,0)),0))</f>
        <v/>
      </c>
      <c r="AF51" s="44" t="str">
        <f>IF(OR(B51="",R51=""),"",IF(O51="Custom",INDEX(Lists!$I$2:$I$11,MATCH(R51,Lists!$B$2:$B$11,0)),INDEX('2. Use-Case Library'!$H$5:$H$244,MATCH($O51,'2. Use-Case Library'!$A$5:$A$244,0))))</f>
        <v/>
      </c>
      <c r="AG51" s="44" t="str">
        <f>IF(OR(B51="",O51="Custom"),"",INDEX('2. Use-Case Library'!$K$5:$K$244,MATCH($O51,'2. Use-Case Library'!$A$5:$A$244,0)))</f>
        <v/>
      </c>
      <c r="AH51" s="38" t="str">
        <f>IF(AB51="","",IF(AA51="Deprioritise",4,IF(W51="AI later - close data gap first",3,IF(OR(W51="Redesign / standardise first",W51="Stretch - partner or later stage",AA51="Strategic bet",Z51="High",S51=5),2,1))))</f>
        <v/>
      </c>
      <c r="AI51" s="38" t="str">
        <f>IF(AC51="","",AH51*100+AC51)</f>
        <v/>
      </c>
      <c r="AJ51" s="38" t="str">
        <f>IF(B51="","",IF(O51="Custom",B51,INDEX('2. Use-Case Library'!$D$5:$D$244,MATCH($O51,'2. Use-Case Library'!$A$5:$A$244,0))))</f>
        <v/>
      </c>
    </row>
    <row r="52" ht="52" customHeight="1">
      <c r="A52" s="14" t="n">
        <v>45</v>
      </c>
      <c r="B52" s="37" t="n"/>
      <c r="C52" s="37" t="n"/>
      <c r="D52" s="37" t="n"/>
      <c r="E52" s="37" t="n"/>
      <c r="F52" s="37" t="n"/>
      <c r="G52" s="37" t="n"/>
      <c r="H52" s="37" t="n"/>
      <c r="I52" s="37" t="n"/>
      <c r="J52" s="37" t="n"/>
      <c r="K52" s="37" t="n"/>
      <c r="L52" s="37" t="n"/>
      <c r="M52" s="37" t="n"/>
      <c r="N52" s="37" t="n"/>
      <c r="O52" s="38" t="str">
        <f>IF(B52="","",IFERROR(INDEX('2. Use-Case Library'!$A$5:$A$244,MATCH(B52,'2. Use-Case Library'!$M$5:$M$244,0)),"Custom"))</f>
        <v/>
      </c>
      <c r="P52" s="39" t="str">
        <f>IF(B52="","",IF(O52="Custom",IF(E52="","(select function in E)",E52),INDEX('2. Use-Case Library'!$C$5:$C$244,MATCH($O52,'2. Use-Case Library'!$A$5:$A$244,0))))</f>
        <v/>
      </c>
      <c r="Q52" s="39" t="str">
        <f>IF(B52="","",IF(D52&lt;&gt;"",D52,IF(O52="Custom","",INDEX('2. Use-Case Library'!$F$5:$F$244,MATCH($O52,'2. Use-Case Library'!$A$5:$A$244,0)))))</f>
        <v/>
      </c>
      <c r="R52" s="39" t="str">
        <f>IF(Q52="","",INDEX(Lists!$B$2:$B$11,MATCH(Q52,Lists!$A$2:$A$11,0)))</f>
        <v/>
      </c>
      <c r="S52" s="38" t="str">
        <f>IF(R52="","",INDEX(Lists!$C$2:$C$11,MATCH(R52,Lists!$B$2:$B$11,0)))</f>
        <v/>
      </c>
      <c r="T52" s="38" t="str">
        <f>IF(R52="","",INDEX(Lists!$D$2:$D$11,MATCH(R52,Lists!$B$2:$B$11,0)))</f>
        <v/>
      </c>
      <c r="U52" s="38" t="str">
        <f>IF(OR(R52="",I52=""),"",IF(INDEX(Lists!$N$2:$N$5,MATCH(I52,Lists!$M$2:$M$5,0))&gt;=INDEX(Lists!$E$2:$E$11,MATCH(R52,Lists!$B$2:$B$11,0)),"Data ready","Data gap"))</f>
        <v/>
      </c>
      <c r="V52" s="39" t="str">
        <f>IF(R52="","",IF(S52&lt;=IF('1. AI Position'!$C$30="",5,INDEX(Lists!$AI$2:$AI$5,'1. AI Position'!$C$30)),"Within current position","Beyond current position"))</f>
        <v/>
      </c>
      <c r="W52" s="40" t="str">
        <f>IF(B52="","",IF(OR(COUNTA(F52:N52)&lt;9,Q52=""),"Complete inputs",IF(H52="No - varies by person / team","Redesign / standardise first",IF(T52="No","Automate - AI not needed",IF(U52="Data gap","AI later - close data gap first",IF(V52="Beyond current position","Stretch - partner or later stage","AI fit now"))))))</f>
        <v/>
      </c>
      <c r="X52" s="41" t="str">
        <f>IF(OR(W52="",W52="Complete inputs"),"",ROUND(0.3*INDEX(Lists!$N$8:$N$10,MATCH(F52,Lists!$M$8:$M$10,0))+0.25*IF(G52&lt;20,1,IF(G52&lt;80,2,IF(G52&lt;160,3,IF(G52&lt;480,4,5))))+0.25*J52+0.2*K52,2))</f>
        <v/>
      </c>
      <c r="Y52" s="41" t="str">
        <f>IF(X52="","",ROUND(0.3*IF(U52="Data ready",5,IF(INDEX(Lists!$N$2:$N$5,MATCH(I52,Lists!$M$2:$M$5,0))=INDEX(Lists!$E$2:$E$11,MATCH(R52,Lists!$B$2:$B$11,0))-1,3,1))+0.25*INDEX(Lists!$N$13:$N$15,MATCH(H52,Lists!$M$13:$M$15,0))+0.25*(6-S52)+0.2*IF(V52="Within current position",5,2),2))</f>
        <v/>
      </c>
      <c r="Z52" s="38" t="str">
        <f>IF(X52="","",CHOOSE(MAX(IF(T52="No",IF(L52="Yes",2,1),IF(IF(L52="Yes",2,0)+IF(M52="Yes",1,0)+INDEX(Lists!$N$18:$N$20,MATCH(N52,Lists!$M$18:$M$20,0))+IF(K52=5,2,IF(K52&gt;=4,1,0))&gt;=4,3,IF(IF(L52="Yes",2,0)+IF(M52="Yes",1,0)+INDEX(Lists!$N$18:$N$20,MATCH(N52,Lists!$M$18:$M$20,0))+IF(K52=5,2,IF(K52&gt;=4,1,0))&gt;=2,2,1))),IF($O52="Custom",1,MATCH(INDEX('2. Use-Case Library'!$L$5:$L$244,MATCH($O52,'2. Use-Case Library'!$A$5:$A$244,0)),{"Low","Medium","High"},0))),"Low","Medium","High"))</f>
        <v/>
      </c>
      <c r="AA52" s="38" t="str">
        <f>IF(X52="","",IF(AND(X52&gt;=$C$4,Y52&gt;=$C$4),"Quick win",IF(X52&gt;=$C$4,"Strategic bet",IF(Y52&gt;=$C$4,"Fill-in","Deprioritise"))))</f>
        <v/>
      </c>
      <c r="AB52" s="41" t="str">
        <f>IF(X52="","",ROUND(X52*Y52*IF(Z52="High",0.85,1)*IF(W52="Redesign / standardise first",0.8,1),2))</f>
        <v/>
      </c>
      <c r="AC52" s="42" t="str">
        <f>IF(AB52="","",RANK(AB52,$AB$8:$AB$57)+COUNTIF($AB$7:AB51,AB52))</f>
        <v/>
      </c>
      <c r="AD52" s="39" t="str">
        <f>IF(AH52="","",INDEX(Lists!$AV$2:$AV$5,AH52))</f>
        <v/>
      </c>
      <c r="AE52" s="43" t="str">
        <f>IF(AB52="","",ROUND(G52*12*INDEX(Lists!$F$2:$F$11,MATCH(R52,Lists!$B$2:$B$11,0)),0))</f>
        <v/>
      </c>
      <c r="AF52" s="44" t="str">
        <f>IF(OR(B52="",R52=""),"",IF(O52="Custom",INDEX(Lists!$I$2:$I$11,MATCH(R52,Lists!$B$2:$B$11,0)),INDEX('2. Use-Case Library'!$H$5:$H$244,MATCH($O52,'2. Use-Case Library'!$A$5:$A$244,0))))</f>
        <v/>
      </c>
      <c r="AG52" s="44" t="str">
        <f>IF(OR(B52="",O52="Custom"),"",INDEX('2. Use-Case Library'!$K$5:$K$244,MATCH($O52,'2. Use-Case Library'!$A$5:$A$244,0)))</f>
        <v/>
      </c>
      <c r="AH52" s="38" t="str">
        <f>IF(AB52="","",IF(AA52="Deprioritise",4,IF(W52="AI later - close data gap first",3,IF(OR(W52="Redesign / standardise first",W52="Stretch - partner or later stage",AA52="Strategic bet",Z52="High",S52=5),2,1))))</f>
        <v/>
      </c>
      <c r="AI52" s="38" t="str">
        <f>IF(AC52="","",AH52*100+AC52)</f>
        <v/>
      </c>
      <c r="AJ52" s="38" t="str">
        <f>IF(B52="","",IF(O52="Custom",B52,INDEX('2. Use-Case Library'!$D$5:$D$244,MATCH($O52,'2. Use-Case Library'!$A$5:$A$244,0))))</f>
        <v/>
      </c>
    </row>
    <row r="53" ht="52" customHeight="1">
      <c r="A53" s="14" t="n">
        <v>46</v>
      </c>
      <c r="B53" s="37" t="n"/>
      <c r="C53" s="37" t="n"/>
      <c r="D53" s="37" t="n"/>
      <c r="E53" s="37" t="n"/>
      <c r="F53" s="37" t="n"/>
      <c r="G53" s="37" t="n"/>
      <c r="H53" s="37" t="n"/>
      <c r="I53" s="37" t="n"/>
      <c r="J53" s="37" t="n"/>
      <c r="K53" s="37" t="n"/>
      <c r="L53" s="37" t="n"/>
      <c r="M53" s="37" t="n"/>
      <c r="N53" s="37" t="n"/>
      <c r="O53" s="38" t="str">
        <f>IF(B53="","",IFERROR(INDEX('2. Use-Case Library'!$A$5:$A$244,MATCH(B53,'2. Use-Case Library'!$M$5:$M$244,0)),"Custom"))</f>
        <v/>
      </c>
      <c r="P53" s="39" t="str">
        <f>IF(B53="","",IF(O53="Custom",IF(E53="","(select function in E)",E53),INDEX('2. Use-Case Library'!$C$5:$C$244,MATCH($O53,'2. Use-Case Library'!$A$5:$A$244,0))))</f>
        <v/>
      </c>
      <c r="Q53" s="39" t="str">
        <f>IF(B53="","",IF(D53&lt;&gt;"",D53,IF(O53="Custom","",INDEX('2. Use-Case Library'!$F$5:$F$244,MATCH($O53,'2. Use-Case Library'!$A$5:$A$244,0)))))</f>
        <v/>
      </c>
      <c r="R53" s="39" t="str">
        <f>IF(Q53="","",INDEX(Lists!$B$2:$B$11,MATCH(Q53,Lists!$A$2:$A$11,0)))</f>
        <v/>
      </c>
      <c r="S53" s="38" t="str">
        <f>IF(R53="","",INDEX(Lists!$C$2:$C$11,MATCH(R53,Lists!$B$2:$B$11,0)))</f>
        <v/>
      </c>
      <c r="T53" s="38" t="str">
        <f>IF(R53="","",INDEX(Lists!$D$2:$D$11,MATCH(R53,Lists!$B$2:$B$11,0)))</f>
        <v/>
      </c>
      <c r="U53" s="38" t="str">
        <f>IF(OR(R53="",I53=""),"",IF(INDEX(Lists!$N$2:$N$5,MATCH(I53,Lists!$M$2:$M$5,0))&gt;=INDEX(Lists!$E$2:$E$11,MATCH(R53,Lists!$B$2:$B$11,0)),"Data ready","Data gap"))</f>
        <v/>
      </c>
      <c r="V53" s="39" t="str">
        <f>IF(R53="","",IF(S53&lt;=IF('1. AI Position'!$C$30="",5,INDEX(Lists!$AI$2:$AI$5,'1. AI Position'!$C$30)),"Within current position","Beyond current position"))</f>
        <v/>
      </c>
      <c r="W53" s="40" t="str">
        <f>IF(B53="","",IF(OR(COUNTA(F53:N53)&lt;9,Q53=""),"Complete inputs",IF(H53="No - varies by person / team","Redesign / standardise first",IF(T53="No","Automate - AI not needed",IF(U53="Data gap","AI later - close data gap first",IF(V53="Beyond current position","Stretch - partner or later stage","AI fit now"))))))</f>
        <v/>
      </c>
      <c r="X53" s="41" t="str">
        <f>IF(OR(W53="",W53="Complete inputs"),"",ROUND(0.3*INDEX(Lists!$N$8:$N$10,MATCH(F53,Lists!$M$8:$M$10,0))+0.25*IF(G53&lt;20,1,IF(G53&lt;80,2,IF(G53&lt;160,3,IF(G53&lt;480,4,5))))+0.25*J53+0.2*K53,2))</f>
        <v/>
      </c>
      <c r="Y53" s="41" t="str">
        <f>IF(X53="","",ROUND(0.3*IF(U53="Data ready",5,IF(INDEX(Lists!$N$2:$N$5,MATCH(I53,Lists!$M$2:$M$5,0))=INDEX(Lists!$E$2:$E$11,MATCH(R53,Lists!$B$2:$B$11,0))-1,3,1))+0.25*INDEX(Lists!$N$13:$N$15,MATCH(H53,Lists!$M$13:$M$15,0))+0.25*(6-S53)+0.2*IF(V53="Within current position",5,2),2))</f>
        <v/>
      </c>
      <c r="Z53" s="38" t="str">
        <f>IF(X53="","",CHOOSE(MAX(IF(T53="No",IF(L53="Yes",2,1),IF(IF(L53="Yes",2,0)+IF(M53="Yes",1,0)+INDEX(Lists!$N$18:$N$20,MATCH(N53,Lists!$M$18:$M$20,0))+IF(K53=5,2,IF(K53&gt;=4,1,0))&gt;=4,3,IF(IF(L53="Yes",2,0)+IF(M53="Yes",1,0)+INDEX(Lists!$N$18:$N$20,MATCH(N53,Lists!$M$18:$M$20,0))+IF(K53=5,2,IF(K53&gt;=4,1,0))&gt;=2,2,1))),IF($O53="Custom",1,MATCH(INDEX('2. Use-Case Library'!$L$5:$L$244,MATCH($O53,'2. Use-Case Library'!$A$5:$A$244,0)),{"Low","Medium","High"},0))),"Low","Medium","High"))</f>
        <v/>
      </c>
      <c r="AA53" s="38" t="str">
        <f>IF(X53="","",IF(AND(X53&gt;=$C$4,Y53&gt;=$C$4),"Quick win",IF(X53&gt;=$C$4,"Strategic bet",IF(Y53&gt;=$C$4,"Fill-in","Deprioritise"))))</f>
        <v/>
      </c>
      <c r="AB53" s="41" t="str">
        <f>IF(X53="","",ROUND(X53*Y53*IF(Z53="High",0.85,1)*IF(W53="Redesign / standardise first",0.8,1),2))</f>
        <v/>
      </c>
      <c r="AC53" s="42" t="str">
        <f>IF(AB53="","",RANK(AB53,$AB$8:$AB$57)+COUNTIF($AB$7:AB52,AB53))</f>
        <v/>
      </c>
      <c r="AD53" s="39" t="str">
        <f>IF(AH53="","",INDEX(Lists!$AV$2:$AV$5,AH53))</f>
        <v/>
      </c>
      <c r="AE53" s="43" t="str">
        <f>IF(AB53="","",ROUND(G53*12*INDEX(Lists!$F$2:$F$11,MATCH(R53,Lists!$B$2:$B$11,0)),0))</f>
        <v/>
      </c>
      <c r="AF53" s="44" t="str">
        <f>IF(OR(B53="",R53=""),"",IF(O53="Custom",INDEX(Lists!$I$2:$I$11,MATCH(R53,Lists!$B$2:$B$11,0)),INDEX('2. Use-Case Library'!$H$5:$H$244,MATCH($O53,'2. Use-Case Library'!$A$5:$A$244,0))))</f>
        <v/>
      </c>
      <c r="AG53" s="44" t="str">
        <f>IF(OR(B53="",O53="Custom"),"",INDEX('2. Use-Case Library'!$K$5:$K$244,MATCH($O53,'2. Use-Case Library'!$A$5:$A$244,0)))</f>
        <v/>
      </c>
      <c r="AH53" s="38" t="str">
        <f>IF(AB53="","",IF(AA53="Deprioritise",4,IF(W53="AI later - close data gap first",3,IF(OR(W53="Redesign / standardise first",W53="Stretch - partner or later stage",AA53="Strategic bet",Z53="High",S53=5),2,1))))</f>
        <v/>
      </c>
      <c r="AI53" s="38" t="str">
        <f>IF(AC53="","",AH53*100+AC53)</f>
        <v/>
      </c>
      <c r="AJ53" s="38" t="str">
        <f>IF(B53="","",IF(O53="Custom",B53,INDEX('2. Use-Case Library'!$D$5:$D$244,MATCH($O53,'2. Use-Case Library'!$A$5:$A$244,0))))</f>
        <v/>
      </c>
    </row>
    <row r="54" ht="52" customHeight="1">
      <c r="A54" s="14" t="n">
        <v>47</v>
      </c>
      <c r="B54" s="37" t="n"/>
      <c r="C54" s="37" t="n"/>
      <c r="D54" s="37" t="n"/>
      <c r="E54" s="37" t="n"/>
      <c r="F54" s="37" t="n"/>
      <c r="G54" s="37" t="n"/>
      <c r="H54" s="37" t="n"/>
      <c r="I54" s="37" t="n"/>
      <c r="J54" s="37" t="n"/>
      <c r="K54" s="37" t="n"/>
      <c r="L54" s="37" t="n"/>
      <c r="M54" s="37" t="n"/>
      <c r="N54" s="37" t="n"/>
      <c r="O54" s="38" t="str">
        <f>IF(B54="","",IFERROR(INDEX('2. Use-Case Library'!$A$5:$A$244,MATCH(B54,'2. Use-Case Library'!$M$5:$M$244,0)),"Custom"))</f>
        <v/>
      </c>
      <c r="P54" s="39" t="str">
        <f>IF(B54="","",IF(O54="Custom",IF(E54="","(select function in E)",E54),INDEX('2. Use-Case Library'!$C$5:$C$244,MATCH($O54,'2. Use-Case Library'!$A$5:$A$244,0))))</f>
        <v/>
      </c>
      <c r="Q54" s="39" t="str">
        <f>IF(B54="","",IF(D54&lt;&gt;"",D54,IF(O54="Custom","",INDEX('2. Use-Case Library'!$F$5:$F$244,MATCH($O54,'2. Use-Case Library'!$A$5:$A$244,0)))))</f>
        <v/>
      </c>
      <c r="R54" s="39" t="str">
        <f>IF(Q54="","",INDEX(Lists!$B$2:$B$11,MATCH(Q54,Lists!$A$2:$A$11,0)))</f>
        <v/>
      </c>
      <c r="S54" s="38" t="str">
        <f>IF(R54="","",INDEX(Lists!$C$2:$C$11,MATCH(R54,Lists!$B$2:$B$11,0)))</f>
        <v/>
      </c>
      <c r="T54" s="38" t="str">
        <f>IF(R54="","",INDEX(Lists!$D$2:$D$11,MATCH(R54,Lists!$B$2:$B$11,0)))</f>
        <v/>
      </c>
      <c r="U54" s="38" t="str">
        <f>IF(OR(R54="",I54=""),"",IF(INDEX(Lists!$N$2:$N$5,MATCH(I54,Lists!$M$2:$M$5,0))&gt;=INDEX(Lists!$E$2:$E$11,MATCH(R54,Lists!$B$2:$B$11,0)),"Data ready","Data gap"))</f>
        <v/>
      </c>
      <c r="V54" s="39" t="str">
        <f>IF(R54="","",IF(S54&lt;=IF('1. AI Position'!$C$30="",5,INDEX(Lists!$AI$2:$AI$5,'1. AI Position'!$C$30)),"Within current position","Beyond current position"))</f>
        <v/>
      </c>
      <c r="W54" s="40" t="str">
        <f>IF(B54="","",IF(OR(COUNTA(F54:N54)&lt;9,Q54=""),"Complete inputs",IF(H54="No - varies by person / team","Redesign / standardise first",IF(T54="No","Automate - AI not needed",IF(U54="Data gap","AI later - close data gap first",IF(V54="Beyond current position","Stretch - partner or later stage","AI fit now"))))))</f>
        <v/>
      </c>
      <c r="X54" s="41" t="str">
        <f>IF(OR(W54="",W54="Complete inputs"),"",ROUND(0.3*INDEX(Lists!$N$8:$N$10,MATCH(F54,Lists!$M$8:$M$10,0))+0.25*IF(G54&lt;20,1,IF(G54&lt;80,2,IF(G54&lt;160,3,IF(G54&lt;480,4,5))))+0.25*J54+0.2*K54,2))</f>
        <v/>
      </c>
      <c r="Y54" s="41" t="str">
        <f>IF(X54="","",ROUND(0.3*IF(U54="Data ready",5,IF(INDEX(Lists!$N$2:$N$5,MATCH(I54,Lists!$M$2:$M$5,0))=INDEX(Lists!$E$2:$E$11,MATCH(R54,Lists!$B$2:$B$11,0))-1,3,1))+0.25*INDEX(Lists!$N$13:$N$15,MATCH(H54,Lists!$M$13:$M$15,0))+0.25*(6-S54)+0.2*IF(V54="Within current position",5,2),2))</f>
        <v/>
      </c>
      <c r="Z54" s="38" t="str">
        <f>IF(X54="","",CHOOSE(MAX(IF(T54="No",IF(L54="Yes",2,1),IF(IF(L54="Yes",2,0)+IF(M54="Yes",1,0)+INDEX(Lists!$N$18:$N$20,MATCH(N54,Lists!$M$18:$M$20,0))+IF(K54=5,2,IF(K54&gt;=4,1,0))&gt;=4,3,IF(IF(L54="Yes",2,0)+IF(M54="Yes",1,0)+INDEX(Lists!$N$18:$N$20,MATCH(N54,Lists!$M$18:$M$20,0))+IF(K54=5,2,IF(K54&gt;=4,1,0))&gt;=2,2,1))),IF($O54="Custom",1,MATCH(INDEX('2. Use-Case Library'!$L$5:$L$244,MATCH($O54,'2. Use-Case Library'!$A$5:$A$244,0)),{"Low","Medium","High"},0))),"Low","Medium","High"))</f>
        <v/>
      </c>
      <c r="AA54" s="38" t="str">
        <f>IF(X54="","",IF(AND(X54&gt;=$C$4,Y54&gt;=$C$4),"Quick win",IF(X54&gt;=$C$4,"Strategic bet",IF(Y54&gt;=$C$4,"Fill-in","Deprioritise"))))</f>
        <v/>
      </c>
      <c r="AB54" s="41" t="str">
        <f>IF(X54="","",ROUND(X54*Y54*IF(Z54="High",0.85,1)*IF(W54="Redesign / standardise first",0.8,1),2))</f>
        <v/>
      </c>
      <c r="AC54" s="42" t="str">
        <f>IF(AB54="","",RANK(AB54,$AB$8:$AB$57)+COUNTIF($AB$7:AB53,AB54))</f>
        <v/>
      </c>
      <c r="AD54" s="39" t="str">
        <f>IF(AH54="","",INDEX(Lists!$AV$2:$AV$5,AH54))</f>
        <v/>
      </c>
      <c r="AE54" s="43" t="str">
        <f>IF(AB54="","",ROUND(G54*12*INDEX(Lists!$F$2:$F$11,MATCH(R54,Lists!$B$2:$B$11,0)),0))</f>
        <v/>
      </c>
      <c r="AF54" s="44" t="str">
        <f>IF(OR(B54="",R54=""),"",IF(O54="Custom",INDEX(Lists!$I$2:$I$11,MATCH(R54,Lists!$B$2:$B$11,0)),INDEX('2. Use-Case Library'!$H$5:$H$244,MATCH($O54,'2. Use-Case Library'!$A$5:$A$244,0))))</f>
        <v/>
      </c>
      <c r="AG54" s="44" t="str">
        <f>IF(OR(B54="",O54="Custom"),"",INDEX('2. Use-Case Library'!$K$5:$K$244,MATCH($O54,'2. Use-Case Library'!$A$5:$A$244,0)))</f>
        <v/>
      </c>
      <c r="AH54" s="38" t="str">
        <f>IF(AB54="","",IF(AA54="Deprioritise",4,IF(W54="AI later - close data gap first",3,IF(OR(W54="Redesign / standardise first",W54="Stretch - partner or later stage",AA54="Strategic bet",Z54="High",S54=5),2,1))))</f>
        <v/>
      </c>
      <c r="AI54" s="38" t="str">
        <f>IF(AC54="","",AH54*100+AC54)</f>
        <v/>
      </c>
      <c r="AJ54" s="38" t="str">
        <f>IF(B54="","",IF(O54="Custom",B54,INDEX('2. Use-Case Library'!$D$5:$D$244,MATCH($O54,'2. Use-Case Library'!$A$5:$A$244,0))))</f>
        <v/>
      </c>
    </row>
    <row r="55" ht="52" customHeight="1">
      <c r="A55" s="14" t="n">
        <v>48</v>
      </c>
      <c r="B55" s="37" t="n"/>
      <c r="C55" s="37" t="n"/>
      <c r="D55" s="37" t="n"/>
      <c r="E55" s="37" t="n"/>
      <c r="F55" s="37" t="n"/>
      <c r="G55" s="37" t="n"/>
      <c r="H55" s="37" t="n"/>
      <c r="I55" s="37" t="n"/>
      <c r="J55" s="37" t="n"/>
      <c r="K55" s="37" t="n"/>
      <c r="L55" s="37" t="n"/>
      <c r="M55" s="37" t="n"/>
      <c r="N55" s="37" t="n"/>
      <c r="O55" s="38" t="str">
        <f>IF(B55="","",IFERROR(INDEX('2. Use-Case Library'!$A$5:$A$244,MATCH(B55,'2. Use-Case Library'!$M$5:$M$244,0)),"Custom"))</f>
        <v/>
      </c>
      <c r="P55" s="39" t="str">
        <f>IF(B55="","",IF(O55="Custom",IF(E55="","(select function in E)",E55),INDEX('2. Use-Case Library'!$C$5:$C$244,MATCH($O55,'2. Use-Case Library'!$A$5:$A$244,0))))</f>
        <v/>
      </c>
      <c r="Q55" s="39" t="str">
        <f>IF(B55="","",IF(D55&lt;&gt;"",D55,IF(O55="Custom","",INDEX('2. Use-Case Library'!$F$5:$F$244,MATCH($O55,'2. Use-Case Library'!$A$5:$A$244,0)))))</f>
        <v/>
      </c>
      <c r="R55" s="39" t="str">
        <f>IF(Q55="","",INDEX(Lists!$B$2:$B$11,MATCH(Q55,Lists!$A$2:$A$11,0)))</f>
        <v/>
      </c>
      <c r="S55" s="38" t="str">
        <f>IF(R55="","",INDEX(Lists!$C$2:$C$11,MATCH(R55,Lists!$B$2:$B$11,0)))</f>
        <v/>
      </c>
      <c r="T55" s="38" t="str">
        <f>IF(R55="","",INDEX(Lists!$D$2:$D$11,MATCH(R55,Lists!$B$2:$B$11,0)))</f>
        <v/>
      </c>
      <c r="U55" s="38" t="str">
        <f>IF(OR(R55="",I55=""),"",IF(INDEX(Lists!$N$2:$N$5,MATCH(I55,Lists!$M$2:$M$5,0))&gt;=INDEX(Lists!$E$2:$E$11,MATCH(R55,Lists!$B$2:$B$11,0)),"Data ready","Data gap"))</f>
        <v/>
      </c>
      <c r="V55" s="39" t="str">
        <f>IF(R55="","",IF(S55&lt;=IF('1. AI Position'!$C$30="",5,INDEX(Lists!$AI$2:$AI$5,'1. AI Position'!$C$30)),"Within current position","Beyond current position"))</f>
        <v/>
      </c>
      <c r="W55" s="40" t="str">
        <f>IF(B55="","",IF(OR(COUNTA(F55:N55)&lt;9,Q55=""),"Complete inputs",IF(H55="No - varies by person / team","Redesign / standardise first",IF(T55="No","Automate - AI not needed",IF(U55="Data gap","AI later - close data gap first",IF(V55="Beyond current position","Stretch - partner or later stage","AI fit now"))))))</f>
        <v/>
      </c>
      <c r="X55" s="41" t="str">
        <f>IF(OR(W55="",W55="Complete inputs"),"",ROUND(0.3*INDEX(Lists!$N$8:$N$10,MATCH(F55,Lists!$M$8:$M$10,0))+0.25*IF(G55&lt;20,1,IF(G55&lt;80,2,IF(G55&lt;160,3,IF(G55&lt;480,4,5))))+0.25*J55+0.2*K55,2))</f>
        <v/>
      </c>
      <c r="Y55" s="41" t="str">
        <f>IF(X55="","",ROUND(0.3*IF(U55="Data ready",5,IF(INDEX(Lists!$N$2:$N$5,MATCH(I55,Lists!$M$2:$M$5,0))=INDEX(Lists!$E$2:$E$11,MATCH(R55,Lists!$B$2:$B$11,0))-1,3,1))+0.25*INDEX(Lists!$N$13:$N$15,MATCH(H55,Lists!$M$13:$M$15,0))+0.25*(6-S55)+0.2*IF(V55="Within current position",5,2),2))</f>
        <v/>
      </c>
      <c r="Z55" s="38" t="str">
        <f>IF(X55="","",CHOOSE(MAX(IF(T55="No",IF(L55="Yes",2,1),IF(IF(L55="Yes",2,0)+IF(M55="Yes",1,0)+INDEX(Lists!$N$18:$N$20,MATCH(N55,Lists!$M$18:$M$20,0))+IF(K55=5,2,IF(K55&gt;=4,1,0))&gt;=4,3,IF(IF(L55="Yes",2,0)+IF(M55="Yes",1,0)+INDEX(Lists!$N$18:$N$20,MATCH(N55,Lists!$M$18:$M$20,0))+IF(K55=5,2,IF(K55&gt;=4,1,0))&gt;=2,2,1))),IF($O55="Custom",1,MATCH(INDEX('2. Use-Case Library'!$L$5:$L$244,MATCH($O55,'2. Use-Case Library'!$A$5:$A$244,0)),{"Low","Medium","High"},0))),"Low","Medium","High"))</f>
        <v/>
      </c>
      <c r="AA55" s="38" t="str">
        <f>IF(X55="","",IF(AND(X55&gt;=$C$4,Y55&gt;=$C$4),"Quick win",IF(X55&gt;=$C$4,"Strategic bet",IF(Y55&gt;=$C$4,"Fill-in","Deprioritise"))))</f>
        <v/>
      </c>
      <c r="AB55" s="41" t="str">
        <f>IF(X55="","",ROUND(X55*Y55*IF(Z55="High",0.85,1)*IF(W55="Redesign / standardise first",0.8,1),2))</f>
        <v/>
      </c>
      <c r="AC55" s="42" t="str">
        <f>IF(AB55="","",RANK(AB55,$AB$8:$AB$57)+COUNTIF($AB$7:AB54,AB55))</f>
        <v/>
      </c>
      <c r="AD55" s="39" t="str">
        <f>IF(AH55="","",INDEX(Lists!$AV$2:$AV$5,AH55))</f>
        <v/>
      </c>
      <c r="AE55" s="43" t="str">
        <f>IF(AB55="","",ROUND(G55*12*INDEX(Lists!$F$2:$F$11,MATCH(R55,Lists!$B$2:$B$11,0)),0))</f>
        <v/>
      </c>
      <c r="AF55" s="44" t="str">
        <f>IF(OR(B55="",R55=""),"",IF(O55="Custom",INDEX(Lists!$I$2:$I$11,MATCH(R55,Lists!$B$2:$B$11,0)),INDEX('2. Use-Case Library'!$H$5:$H$244,MATCH($O55,'2. Use-Case Library'!$A$5:$A$244,0))))</f>
        <v/>
      </c>
      <c r="AG55" s="44" t="str">
        <f>IF(OR(B55="",O55="Custom"),"",INDEX('2. Use-Case Library'!$K$5:$K$244,MATCH($O55,'2. Use-Case Library'!$A$5:$A$244,0)))</f>
        <v/>
      </c>
      <c r="AH55" s="38" t="str">
        <f>IF(AB55="","",IF(AA55="Deprioritise",4,IF(W55="AI later - close data gap first",3,IF(OR(W55="Redesign / standardise first",W55="Stretch - partner or later stage",AA55="Strategic bet",Z55="High",S55=5),2,1))))</f>
        <v/>
      </c>
      <c r="AI55" s="38" t="str">
        <f>IF(AC55="","",AH55*100+AC55)</f>
        <v/>
      </c>
      <c r="AJ55" s="38" t="str">
        <f>IF(B55="","",IF(O55="Custom",B55,INDEX('2. Use-Case Library'!$D$5:$D$244,MATCH($O55,'2. Use-Case Library'!$A$5:$A$244,0))))</f>
        <v/>
      </c>
    </row>
    <row r="56" ht="52" customHeight="1">
      <c r="A56" s="14" t="n">
        <v>49</v>
      </c>
      <c r="B56" s="37" t="n"/>
      <c r="C56" s="37" t="n"/>
      <c r="D56" s="37" t="n"/>
      <c r="E56" s="37" t="n"/>
      <c r="F56" s="37" t="n"/>
      <c r="G56" s="37" t="n"/>
      <c r="H56" s="37" t="n"/>
      <c r="I56" s="37" t="n"/>
      <c r="J56" s="37" t="n"/>
      <c r="K56" s="37" t="n"/>
      <c r="L56" s="37" t="n"/>
      <c r="M56" s="37" t="n"/>
      <c r="N56" s="37" t="n"/>
      <c r="O56" s="38" t="str">
        <f>IF(B56="","",IFERROR(INDEX('2. Use-Case Library'!$A$5:$A$244,MATCH(B56,'2. Use-Case Library'!$M$5:$M$244,0)),"Custom"))</f>
        <v/>
      </c>
      <c r="P56" s="39" t="str">
        <f>IF(B56="","",IF(O56="Custom",IF(E56="","(select function in E)",E56),INDEX('2. Use-Case Library'!$C$5:$C$244,MATCH($O56,'2. Use-Case Library'!$A$5:$A$244,0))))</f>
        <v/>
      </c>
      <c r="Q56" s="39" t="str">
        <f>IF(B56="","",IF(D56&lt;&gt;"",D56,IF(O56="Custom","",INDEX('2. Use-Case Library'!$F$5:$F$244,MATCH($O56,'2. Use-Case Library'!$A$5:$A$244,0)))))</f>
        <v/>
      </c>
      <c r="R56" s="39" t="str">
        <f>IF(Q56="","",INDEX(Lists!$B$2:$B$11,MATCH(Q56,Lists!$A$2:$A$11,0)))</f>
        <v/>
      </c>
      <c r="S56" s="38" t="str">
        <f>IF(R56="","",INDEX(Lists!$C$2:$C$11,MATCH(R56,Lists!$B$2:$B$11,0)))</f>
        <v/>
      </c>
      <c r="T56" s="38" t="str">
        <f>IF(R56="","",INDEX(Lists!$D$2:$D$11,MATCH(R56,Lists!$B$2:$B$11,0)))</f>
        <v/>
      </c>
      <c r="U56" s="38" t="str">
        <f>IF(OR(R56="",I56=""),"",IF(INDEX(Lists!$N$2:$N$5,MATCH(I56,Lists!$M$2:$M$5,0))&gt;=INDEX(Lists!$E$2:$E$11,MATCH(R56,Lists!$B$2:$B$11,0)),"Data ready","Data gap"))</f>
        <v/>
      </c>
      <c r="V56" s="39" t="str">
        <f>IF(R56="","",IF(S56&lt;=IF('1. AI Position'!$C$30="",5,INDEX(Lists!$AI$2:$AI$5,'1. AI Position'!$C$30)),"Within current position","Beyond current position"))</f>
        <v/>
      </c>
      <c r="W56" s="40" t="str">
        <f>IF(B56="","",IF(OR(COUNTA(F56:N56)&lt;9,Q56=""),"Complete inputs",IF(H56="No - varies by person / team","Redesign / standardise first",IF(T56="No","Automate - AI not needed",IF(U56="Data gap","AI later - close data gap first",IF(V56="Beyond current position","Stretch - partner or later stage","AI fit now"))))))</f>
        <v/>
      </c>
      <c r="X56" s="41" t="str">
        <f>IF(OR(W56="",W56="Complete inputs"),"",ROUND(0.3*INDEX(Lists!$N$8:$N$10,MATCH(F56,Lists!$M$8:$M$10,0))+0.25*IF(G56&lt;20,1,IF(G56&lt;80,2,IF(G56&lt;160,3,IF(G56&lt;480,4,5))))+0.25*J56+0.2*K56,2))</f>
        <v/>
      </c>
      <c r="Y56" s="41" t="str">
        <f>IF(X56="","",ROUND(0.3*IF(U56="Data ready",5,IF(INDEX(Lists!$N$2:$N$5,MATCH(I56,Lists!$M$2:$M$5,0))=INDEX(Lists!$E$2:$E$11,MATCH(R56,Lists!$B$2:$B$11,0))-1,3,1))+0.25*INDEX(Lists!$N$13:$N$15,MATCH(H56,Lists!$M$13:$M$15,0))+0.25*(6-S56)+0.2*IF(V56="Within current position",5,2),2))</f>
        <v/>
      </c>
      <c r="Z56" s="38" t="str">
        <f>IF(X56="","",CHOOSE(MAX(IF(T56="No",IF(L56="Yes",2,1),IF(IF(L56="Yes",2,0)+IF(M56="Yes",1,0)+INDEX(Lists!$N$18:$N$20,MATCH(N56,Lists!$M$18:$M$20,0))+IF(K56=5,2,IF(K56&gt;=4,1,0))&gt;=4,3,IF(IF(L56="Yes",2,0)+IF(M56="Yes",1,0)+INDEX(Lists!$N$18:$N$20,MATCH(N56,Lists!$M$18:$M$20,0))+IF(K56=5,2,IF(K56&gt;=4,1,0))&gt;=2,2,1))),IF($O56="Custom",1,MATCH(INDEX('2. Use-Case Library'!$L$5:$L$244,MATCH($O56,'2. Use-Case Library'!$A$5:$A$244,0)),{"Low","Medium","High"},0))),"Low","Medium","High"))</f>
        <v/>
      </c>
      <c r="AA56" s="38" t="str">
        <f>IF(X56="","",IF(AND(X56&gt;=$C$4,Y56&gt;=$C$4),"Quick win",IF(X56&gt;=$C$4,"Strategic bet",IF(Y56&gt;=$C$4,"Fill-in","Deprioritise"))))</f>
        <v/>
      </c>
      <c r="AB56" s="41" t="str">
        <f>IF(X56="","",ROUND(X56*Y56*IF(Z56="High",0.85,1)*IF(W56="Redesign / standardise first",0.8,1),2))</f>
        <v/>
      </c>
      <c r="AC56" s="42" t="str">
        <f>IF(AB56="","",RANK(AB56,$AB$8:$AB$57)+COUNTIF($AB$7:AB55,AB56))</f>
        <v/>
      </c>
      <c r="AD56" s="39" t="str">
        <f>IF(AH56="","",INDEX(Lists!$AV$2:$AV$5,AH56))</f>
        <v/>
      </c>
      <c r="AE56" s="43" t="str">
        <f>IF(AB56="","",ROUND(G56*12*INDEX(Lists!$F$2:$F$11,MATCH(R56,Lists!$B$2:$B$11,0)),0))</f>
        <v/>
      </c>
      <c r="AF56" s="44" t="str">
        <f>IF(OR(B56="",R56=""),"",IF(O56="Custom",INDEX(Lists!$I$2:$I$11,MATCH(R56,Lists!$B$2:$B$11,0)),INDEX('2. Use-Case Library'!$H$5:$H$244,MATCH($O56,'2. Use-Case Library'!$A$5:$A$244,0))))</f>
        <v/>
      </c>
      <c r="AG56" s="44" t="str">
        <f>IF(OR(B56="",O56="Custom"),"",INDEX('2. Use-Case Library'!$K$5:$K$244,MATCH($O56,'2. Use-Case Library'!$A$5:$A$244,0)))</f>
        <v/>
      </c>
      <c r="AH56" s="38" t="str">
        <f>IF(AB56="","",IF(AA56="Deprioritise",4,IF(W56="AI later - close data gap first",3,IF(OR(W56="Redesign / standardise first",W56="Stretch - partner or later stage",AA56="Strategic bet",Z56="High",S56=5),2,1))))</f>
        <v/>
      </c>
      <c r="AI56" s="38" t="str">
        <f>IF(AC56="","",AH56*100+AC56)</f>
        <v/>
      </c>
      <c r="AJ56" s="38" t="str">
        <f>IF(B56="","",IF(O56="Custom",B56,INDEX('2. Use-Case Library'!$D$5:$D$244,MATCH($O56,'2. Use-Case Library'!$A$5:$A$244,0))))</f>
        <v/>
      </c>
    </row>
    <row r="57" ht="52" customHeight="1">
      <c r="A57" s="14" t="n">
        <v>50</v>
      </c>
      <c r="B57" s="37" t="n"/>
      <c r="C57" s="37" t="n"/>
      <c r="D57" s="37" t="n"/>
      <c r="E57" s="37" t="n"/>
      <c r="F57" s="37" t="n"/>
      <c r="G57" s="37" t="n"/>
      <c r="H57" s="37" t="n"/>
      <c r="I57" s="37" t="n"/>
      <c r="J57" s="37" t="n"/>
      <c r="K57" s="37" t="n"/>
      <c r="L57" s="37" t="n"/>
      <c r="M57" s="37" t="n"/>
      <c r="N57" s="37" t="n"/>
      <c r="O57" s="38" t="str">
        <f>IF(B57="","",IFERROR(INDEX('2. Use-Case Library'!$A$5:$A$244,MATCH(B57,'2. Use-Case Library'!$M$5:$M$244,0)),"Custom"))</f>
        <v/>
      </c>
      <c r="P57" s="39" t="str">
        <f>IF(B57="","",IF(O57="Custom",IF(E57="","(select function in E)",E57),INDEX('2. Use-Case Library'!$C$5:$C$244,MATCH($O57,'2. Use-Case Library'!$A$5:$A$244,0))))</f>
        <v/>
      </c>
      <c r="Q57" s="39" t="str">
        <f>IF(B57="","",IF(D57&lt;&gt;"",D57,IF(O57="Custom","",INDEX('2. Use-Case Library'!$F$5:$F$244,MATCH($O57,'2. Use-Case Library'!$A$5:$A$244,0)))))</f>
        <v/>
      </c>
      <c r="R57" s="39" t="str">
        <f>IF(Q57="","",INDEX(Lists!$B$2:$B$11,MATCH(Q57,Lists!$A$2:$A$11,0)))</f>
        <v/>
      </c>
      <c r="S57" s="38" t="str">
        <f>IF(R57="","",INDEX(Lists!$C$2:$C$11,MATCH(R57,Lists!$B$2:$B$11,0)))</f>
        <v/>
      </c>
      <c r="T57" s="38" t="str">
        <f>IF(R57="","",INDEX(Lists!$D$2:$D$11,MATCH(R57,Lists!$B$2:$B$11,0)))</f>
        <v/>
      </c>
      <c r="U57" s="38" t="str">
        <f>IF(OR(R57="",I57=""),"",IF(INDEX(Lists!$N$2:$N$5,MATCH(I57,Lists!$M$2:$M$5,0))&gt;=INDEX(Lists!$E$2:$E$11,MATCH(R57,Lists!$B$2:$B$11,0)),"Data ready","Data gap"))</f>
        <v/>
      </c>
      <c r="V57" s="39" t="str">
        <f>IF(R57="","",IF(S57&lt;=IF('1. AI Position'!$C$30="",5,INDEX(Lists!$AI$2:$AI$5,'1. AI Position'!$C$30)),"Within current position","Beyond current position"))</f>
        <v/>
      </c>
      <c r="W57" s="40" t="str">
        <f>IF(B57="","",IF(OR(COUNTA(F57:N57)&lt;9,Q57=""),"Complete inputs",IF(H57="No - varies by person / team","Redesign / standardise first",IF(T57="No","Automate - AI not needed",IF(U57="Data gap","AI later - close data gap first",IF(V57="Beyond current position","Stretch - partner or later stage","AI fit now"))))))</f>
        <v/>
      </c>
      <c r="X57" s="41" t="str">
        <f>IF(OR(W57="",W57="Complete inputs"),"",ROUND(0.3*INDEX(Lists!$N$8:$N$10,MATCH(F57,Lists!$M$8:$M$10,0))+0.25*IF(G57&lt;20,1,IF(G57&lt;80,2,IF(G57&lt;160,3,IF(G57&lt;480,4,5))))+0.25*J57+0.2*K57,2))</f>
        <v/>
      </c>
      <c r="Y57" s="41" t="str">
        <f>IF(X57="","",ROUND(0.3*IF(U57="Data ready",5,IF(INDEX(Lists!$N$2:$N$5,MATCH(I57,Lists!$M$2:$M$5,0))=INDEX(Lists!$E$2:$E$11,MATCH(R57,Lists!$B$2:$B$11,0))-1,3,1))+0.25*INDEX(Lists!$N$13:$N$15,MATCH(H57,Lists!$M$13:$M$15,0))+0.25*(6-S57)+0.2*IF(V57="Within current position",5,2),2))</f>
        <v/>
      </c>
      <c r="Z57" s="38" t="str">
        <f>IF(X57="","",CHOOSE(MAX(IF(T57="No",IF(L57="Yes",2,1),IF(IF(L57="Yes",2,0)+IF(M57="Yes",1,0)+INDEX(Lists!$N$18:$N$20,MATCH(N57,Lists!$M$18:$M$20,0))+IF(K57=5,2,IF(K57&gt;=4,1,0))&gt;=4,3,IF(IF(L57="Yes",2,0)+IF(M57="Yes",1,0)+INDEX(Lists!$N$18:$N$20,MATCH(N57,Lists!$M$18:$M$20,0))+IF(K57=5,2,IF(K57&gt;=4,1,0))&gt;=2,2,1))),IF($O57="Custom",1,MATCH(INDEX('2. Use-Case Library'!$L$5:$L$244,MATCH($O57,'2. Use-Case Library'!$A$5:$A$244,0)),{"Low","Medium","High"},0))),"Low","Medium","High"))</f>
        <v/>
      </c>
      <c r="AA57" s="38" t="str">
        <f>IF(X57="","",IF(AND(X57&gt;=$C$4,Y57&gt;=$C$4),"Quick win",IF(X57&gt;=$C$4,"Strategic bet",IF(Y57&gt;=$C$4,"Fill-in","Deprioritise"))))</f>
        <v/>
      </c>
      <c r="AB57" s="41" t="str">
        <f>IF(X57="","",ROUND(X57*Y57*IF(Z57="High",0.85,1)*IF(W57="Redesign / standardise first",0.8,1),2))</f>
        <v/>
      </c>
      <c r="AC57" s="42" t="str">
        <f>IF(AB57="","",RANK(AB57,$AB$8:$AB$57)+COUNTIF($AB$7:AB56,AB57))</f>
        <v/>
      </c>
      <c r="AD57" s="39" t="str">
        <f>IF(AH57="","",INDEX(Lists!$AV$2:$AV$5,AH57))</f>
        <v/>
      </c>
      <c r="AE57" s="43" t="str">
        <f>IF(AB57="","",ROUND(G57*12*INDEX(Lists!$F$2:$F$11,MATCH(R57,Lists!$B$2:$B$11,0)),0))</f>
        <v/>
      </c>
      <c r="AF57" s="44" t="str">
        <f>IF(OR(B57="",R57=""),"",IF(O57="Custom",INDEX(Lists!$I$2:$I$11,MATCH(R57,Lists!$B$2:$B$11,0)),INDEX('2. Use-Case Library'!$H$5:$H$244,MATCH($O57,'2. Use-Case Library'!$A$5:$A$244,0))))</f>
        <v/>
      </c>
      <c r="AG57" s="44" t="str">
        <f>IF(OR(B57="",O57="Custom"),"",INDEX('2. Use-Case Library'!$K$5:$K$244,MATCH($O57,'2. Use-Case Library'!$A$5:$A$244,0)))</f>
        <v/>
      </c>
      <c r="AH57" s="38" t="str">
        <f>IF(AB57="","",IF(AA57="Deprioritise",4,IF(W57="AI later - close data gap first",3,IF(OR(W57="Redesign / standardise first",W57="Stretch - partner or later stage",AA57="Strategic bet",Z57="High",S57=5),2,1))))</f>
        <v/>
      </c>
      <c r="AI57" s="38" t="str">
        <f>IF(AC57="","",AH57*100+AC57)</f>
        <v/>
      </c>
      <c r="AJ57" s="38" t="str">
        <f>IF(B57="","",IF(O57="Custom",B57,INDEX('2. Use-Case Library'!$D$5:$D$244,MATCH($O57,'2. Use-Case Library'!$A$5:$A$244,0))))</f>
        <v/>
      </c>
    </row>
  </sheetData>
  <mergeCells count="9">
    <mergeCell ref="B4"/>
    <mergeCell ref="A6:N6"/>
    <mergeCell ref="O6:AG6"/>
    <mergeCell ref="C3:E3"/>
    <mergeCell ref="A2:AJ2"/>
    <mergeCell ref="D4:E4"/>
    <mergeCell ref="B3"/>
    <mergeCell ref="F3:H3"/>
    <mergeCell ref="A1:AJ1"/>
  </mergeCells>
  <conditionalFormatting sqref="W8:W57">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Z8:Z57">
    <cfRule type="cellIs" priority="6" operator="equal" dxfId="1">
      <formula>"Low"</formula>
    </cfRule>
    <cfRule type="cellIs" priority="7" operator="equal" dxfId="2">
      <formula>"Medium"</formula>
    </cfRule>
    <cfRule type="cellIs" priority="8" operator="equal" dxfId="3">
      <formula>"High"</formula>
    </cfRule>
  </conditionalFormatting>
  <conditionalFormatting sqref="U8:U57">
    <cfRule type="cellIs" priority="9" operator="equal" dxfId="7">
      <formula>"Data gap"</formula>
    </cfRule>
  </conditionalFormatting>
  <conditionalFormatting sqref="V8:V57">
    <cfRule type="cellIs" priority="10" operator="equal" dxfId="8">
      <formula>"Beyond current position"</formula>
    </cfRule>
  </conditionalFormatting>
  <conditionalFormatting sqref="AA8:AA57">
    <cfRule type="cellIs" priority="11" operator="equal" dxfId="4">
      <formula>"Quick win"</formula>
    </cfRule>
  </conditionalFormatting>
  <conditionalFormatting sqref="O8:O57">
    <cfRule type="cellIs" priority="12" operator="equal" dxfId="8">
      <formula>"Custom"</formula>
    </cfRule>
  </conditionalFormatting>
  <dataValidations count="10">
    <dataValidation sqref="B8:B57" showDropDown="0" showInputMessage="1" showErrorMessage="0" allowBlank="1" prompt="Select a library use case (cross-industry + your sector), or type a custom process." type="list">
      <formula1>=OFFSET(Lists!$BA$2,0,0,MAX(1,COUNTIF(Lists!$BA$2:$BA$241,"?*")),1)</formula1>
    </dataValidation>
    <dataValidation sqref="D8:D57" showDropDown="0" showInputMessage="1" showErrorMessage="1" allowBlank="1" prompt="Only for custom processes, or to override the library's task nature." type="list">
      <formula1>=Lists!$A$2:$A$11</formula1>
    </dataValidation>
    <dataValidation sqref="E8:E57" showDropDown="0" showInputMessage="1" showErrorMessage="1" allowBlank="1" prompt="Only for custom processes." type="list">
      <formula1>=Lists!$P$2:$P$12</formula1>
    </dataValidation>
    <dataValidation sqref="F8:F57" showDropDown="0" showInputMessage="0" showErrorMessage="1" allowBlank="1" type="list">
      <formula1>=Lists!$M$8:$M$10</formula1>
    </dataValidation>
    <dataValidation sqref="H8:H57" showDropDown="0" showInputMessage="0" showErrorMessage="1" allowBlank="1" type="list">
      <formula1>=Lists!$M$13:$M$15</formula1>
    </dataValidation>
    <dataValidation sqref="I8:I57" showDropDown="0" showInputMessage="0" showErrorMessage="1" allowBlank="1" type="list">
      <formula1>=Lists!$M$2:$M$5</formula1>
    </dataValidation>
    <dataValidation sqref="J8:K57" showDropDown="0" showInputMessage="0" showErrorMessage="1" allowBlank="1" type="list">
      <formula1>"1,2,3,4,5"</formula1>
    </dataValidation>
    <dataValidation sqref="L8:M57" showDropDown="0" showInputMessage="0" showErrorMessage="1" allowBlank="1" type="list">
      <formula1>=Lists!$M$23:$M$24</formula1>
    </dataValidation>
    <dataValidation sqref="N8:N57" showDropDown="0" showInputMessage="0" showErrorMessage="1" allowBlank="1" type="list">
      <formula1>=Lists!$M$18:$M$20</formula1>
    </dataValidation>
    <dataValidation sqref="G8:G57" showDropDown="0" showInputMessage="0" showErrorMessage="0" allowBlank="1" type="decimal" operator="between">
      <formula1>0</formula1>
      <formula2>100000</formula2>
    </dataValidation>
  </dataValidations>
  <printOptions gridLines="0"/>
  <pageMargins left="0.5" right="0.5" top="0.75" bottom="0.75" header="0.25" footer="0.25"/>
  <pageSetup orientation="landscape" paperSize="8" fitToHeight="0" fitToWidth="1"/>
  <headerFooter>
    <oddHeader/>
    <oddFooter>&amp;L&amp;8 GT AI Opportunity Discovery Toolkit&amp;R&amp;8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77"/>
  <sheetViews>
    <sheetView showGridLines="0" workbookViewId="0">
      <selection activeCell="A1" sqref="A1"/>
    </sheetView>
  </sheetViews>
  <sheetFormatPr baseColWidth="8" defaultRowHeight="15"/>
  <cols>
    <col width="5" customWidth="1" min="1" max="1"/>
    <col width="30" customWidth="1" min="2" max="2"/>
    <col width="11" customWidth="1" min="3" max="3"/>
    <col width="11" customWidth="1" min="4" max="4"/>
    <col width="11" customWidth="1" min="5" max="5"/>
    <col width="11" customWidth="1" min="6" max="6"/>
    <col width="11" customWidth="1" min="7" max="7"/>
    <col width="11" customWidth="1" min="8" max="8"/>
    <col width="13" customWidth="1" min="9" max="9"/>
    <col width="13" customWidth="1" min="10" max="10"/>
    <col width="22" customWidth="1" min="11" max="11"/>
  </cols>
  <sheetData>
    <row r="1" ht="32" customHeight="1">
      <c r="A1" s="1" t="inlineStr">
        <is>
          <t>4. AI Opportunity Report</t>
        </is>
      </c>
    </row>
    <row r="2" ht="32" customHeight="1">
      <c r="A2" s="2" t="inlineStr">
        <is>
          <t>Where AI fits - and where automation is enough - by function, with the top-ranked opportunities and GT recommendations from the use-case library.</t>
        </is>
      </c>
    </row>
    <row r="4" ht="22" customHeight="1">
      <c r="A4" s="3" t="inlineStr">
        <is>
          <t>A. ORGANISATIONAL AI POSITION</t>
        </is>
      </c>
    </row>
    <row r="5" ht="18" customHeight="1">
      <c r="A5" s="4" t="inlineStr">
        <is>
          <t>Organisation</t>
        </is>
      </c>
      <c r="B5" s="28" t="n"/>
      <c r="C5" s="5" t="str">
        <f>'1. AI Position'!C4</f>
        <v>Grant Thornton Bahrain (illustrative)</v>
      </c>
      <c r="D5" s="15" t="n"/>
      <c r="E5" s="15" t="n"/>
      <c r="F5" s="15" t="n"/>
      <c r="G5" s="15" t="n"/>
      <c r="H5" s="15" t="n"/>
      <c r="I5" s="15" t="n"/>
      <c r="J5" s="15" t="n"/>
      <c r="K5" s="15" t="n"/>
    </row>
    <row r="6" ht="18" customHeight="1">
      <c r="A6" s="4" t="inlineStr">
        <is>
          <t>Sector</t>
        </is>
      </c>
      <c r="B6" s="28" t="n"/>
      <c r="C6" s="5" t="str">
        <f>'1. AI Position'!$C$5&amp;""</f>
        <v>Professional services</v>
      </c>
      <c r="D6" s="15" t="n"/>
      <c r="E6" s="15" t="n"/>
      <c r="F6" s="15" t="n"/>
      <c r="G6" s="15" t="n"/>
      <c r="H6" s="15" t="n"/>
      <c r="I6" s="15" t="n"/>
      <c r="J6" s="15" t="n"/>
      <c r="K6" s="15" t="n"/>
    </row>
    <row r="7" ht="18" customHeight="1">
      <c r="A7" s="4" t="inlineStr">
        <is>
          <t>AI position (archetype)</t>
        </is>
      </c>
      <c r="B7" s="28" t="n"/>
      <c r="C7" s="19" t="str">
        <f>'1. AI Position'!$C$31</f>
        <v>Buy and configure AI</v>
      </c>
      <c r="D7" s="18" t="n"/>
      <c r="E7" s="18" t="n"/>
      <c r="F7" s="18" t="n"/>
      <c r="G7" s="18" t="n"/>
      <c r="H7" s="18" t="n"/>
      <c r="I7" s="18" t="n"/>
      <c r="J7" s="18" t="n"/>
      <c r="K7" s="18" t="n"/>
    </row>
    <row r="8" ht="18" customHeight="1">
      <c r="A8" s="4" t="inlineStr">
        <is>
          <t>Data Position / Scale &amp; Capacity</t>
        </is>
      </c>
      <c r="B8" s="28" t="n"/>
      <c r="C8" s="5" t="str">
        <f>IF('1. AI Position'!$C$28="","",TEXT('1. AI Position'!$C$28,"0%")&amp;"  /  "&amp;TEXT('1. AI Position'!$C$29,"0%"))</f>
        <v>56%  /  44%</v>
      </c>
      <c r="D8" s="15" t="n"/>
      <c r="E8" s="15" t="n"/>
      <c r="F8" s="15" t="n"/>
      <c r="G8" s="15" t="n"/>
      <c r="H8" s="15" t="n"/>
      <c r="I8" s="15" t="n"/>
      <c r="J8" s="15" t="n"/>
      <c r="K8" s="15" t="n"/>
    </row>
    <row r="9" ht="30" customHeight="1">
      <c r="A9" s="4" t="inlineStr">
        <is>
          <t>What it means</t>
        </is>
      </c>
      <c r="B9" s="28" t="n"/>
      <c r="C9" s="5" t="str">
        <f>'1. AI Position'!C33</f>
        <v>Good data, limited scale / capacity: adopt and configure proven AI products rather than build.</v>
      </c>
      <c r="D9" s="15" t="n"/>
      <c r="E9" s="15" t="n"/>
      <c r="F9" s="15" t="n"/>
      <c r="G9" s="15" t="n"/>
      <c r="H9" s="15" t="n"/>
      <c r="I9" s="15" t="n"/>
      <c r="J9" s="15" t="n"/>
      <c r="K9" s="15" t="n"/>
    </row>
    <row r="10" ht="30" customHeight="1">
      <c r="A10" s="4" t="inlineStr">
        <is>
          <t>Foundation flag</t>
        </is>
      </c>
      <c r="B10" s="28" t="n"/>
      <c r="C10" s="5" t="str">
        <f>'1. AI Position'!$C$35</f>
        <v>No foundation red flags from the position screen.</v>
      </c>
      <c r="D10" s="15" t="n"/>
      <c r="E10" s="15" t="n"/>
      <c r="F10" s="15" t="n"/>
      <c r="G10" s="15" t="n"/>
      <c r="H10" s="15" t="n"/>
      <c r="I10" s="15" t="n"/>
      <c r="J10" s="15" t="n"/>
      <c r="K10" s="15" t="n"/>
    </row>
    <row r="12" ht="22" customHeight="1">
      <c r="A12" s="3" t="inlineStr">
        <is>
          <t>B. VERDICT SUMMARY - what kind of solution fits the processes assessed</t>
        </is>
      </c>
    </row>
    <row r="13">
      <c r="B13" s="9" t="inlineStr">
        <is>
          <t>Verdict</t>
        </is>
      </c>
      <c r="C13" s="9" t="inlineStr">
        <is>
          <t>Processes</t>
        </is>
      </c>
      <c r="D13" s="9" t="inlineStr">
        <is>
          <t>% of total</t>
        </is>
      </c>
      <c r="E13" s="9" t="inlineStr">
        <is>
          <t>Hours released / yr</t>
        </is>
      </c>
      <c r="G13" s="9" t="inlineStr">
        <is>
          <t>Meaning</t>
        </is>
      </c>
      <c r="H13" s="45" t="n"/>
      <c r="I13" s="45" t="n"/>
      <c r="J13" s="45" t="n"/>
      <c r="K13" s="46" t="n"/>
    </row>
    <row r="14" ht="30" customHeight="1">
      <c r="B14" s="47" t="inlineStr">
        <is>
          <t>AI fit now</t>
        </is>
      </c>
      <c r="C14" s="21">
        <f>COUNTIF('3. AI Fit Diagnostic'!$W$8:$W$57,B14)</f>
        <v>11</v>
      </c>
      <c r="D14" s="48">
        <f>IF(SUM($C$14:$C$18)=0,"",C14/SUM($C$14:$C$18))</f>
        <v>0.5</v>
      </c>
      <c r="E14" s="49">
        <f>SUMIF('3. AI Fit Diagnostic'!$W$8:$W$57,B14,'3. AI Fit Diagnostic'!$AE$8:$AE$57)</f>
        <v>7566</v>
      </c>
      <c r="F14" s="25" t="inlineStr">
        <is>
          <t>AI is the right tool, the data exists and it is within the organisation's current position.</t>
        </is>
      </c>
      <c r="G14" s="15" t="n"/>
      <c r="H14" s="15" t="n"/>
      <c r="I14" s="15" t="n"/>
      <c r="J14" s="15" t="n"/>
      <c r="K14" s="15" t="n"/>
    </row>
    <row r="15" ht="30" customHeight="1">
      <c r="B15" s="50" t="inlineStr">
        <is>
          <t>Automate - AI not needed</t>
        </is>
      </c>
      <c r="C15" s="21">
        <f>COUNTIF('3. AI Fit Diagnostic'!$W$8:$W$57,B15)</f>
        <v>5</v>
      </c>
      <c r="D15" s="48">
        <f>IF(SUM($C$14:$C$18)=0,"",C15/SUM($C$14:$C$18))</f>
        <v>0.227272727272727</v>
      </c>
      <c r="E15" s="49">
        <f>SUMIF('3. AI Fit Diagnostic'!$W$8:$W$57,B15,'3. AI Fit Diagnostic'!$AE$8:$AE$57)</f>
        <v>4164</v>
      </c>
      <c r="F15" s="25" t="inlineStr">
        <is>
          <t>The work follows fixed rules or is a data / reporting problem; automation or BI delivers the value with less risk and cost.</t>
        </is>
      </c>
      <c r="G15" s="15" t="n"/>
      <c r="H15" s="15" t="n"/>
      <c r="I15" s="15" t="n"/>
      <c r="J15" s="15" t="n"/>
      <c r="K15" s="15" t="n"/>
    </row>
    <row r="16" ht="30" customHeight="1">
      <c r="B16" s="51" t="inlineStr">
        <is>
          <t>AI later - close data gap first</t>
        </is>
      </c>
      <c r="C16" s="21">
        <f>COUNTIF('3. AI Fit Diagnostic'!$W$8:$W$57,B16)</f>
        <v>2</v>
      </c>
      <c r="D16" s="48">
        <f>IF(SUM($C$14:$C$18)=0,"",C16/SUM($C$14:$C$18))</f>
        <v>0.0909090909090909</v>
      </c>
      <c r="E16" s="49">
        <f>SUMIF('3. AI Fit Diagnostic'!$W$8:$W$57,B16,'3. AI Fit Diagnostic'!$AE$8:$AE$57)</f>
        <v>672</v>
      </c>
      <c r="F16" s="25" t="inlineStr">
        <is>
          <t>AI would fit, but the data it needs is not captured, digital or labelled yet.</t>
        </is>
      </c>
      <c r="G16" s="15" t="n"/>
      <c r="H16" s="15" t="n"/>
      <c r="I16" s="15" t="n"/>
      <c r="J16" s="15" t="n"/>
      <c r="K16" s="15" t="n"/>
    </row>
    <row r="17" ht="30" customHeight="1">
      <c r="B17" s="52" t="inlineStr">
        <is>
          <t>Stretch - partner or later stage</t>
        </is>
      </c>
      <c r="C17" s="21">
        <f>COUNTIF('3. AI Fit Diagnostic'!$W$8:$W$57,B17)</f>
        <v>3</v>
      </c>
      <c r="D17" s="48">
        <f>IF(SUM($C$14:$C$18)=0,"",C17/SUM($C$14:$C$18))</f>
        <v>0.136363636363636</v>
      </c>
      <c r="E17" s="49">
        <f>SUMIF('3. AI Fit Diagnostic'!$W$8:$W$57,B17,'3. AI Fit Diagnostic'!$AE$8:$AE$57)</f>
        <v>1536</v>
      </c>
      <c r="F17" s="25" t="inlineStr">
        <is>
          <t>AI fits and the data exists, but the solution is more complex than the organisation can build or run today.</t>
        </is>
      </c>
      <c r="G17" s="15" t="n"/>
      <c r="H17" s="15" t="n"/>
      <c r="I17" s="15" t="n"/>
      <c r="J17" s="15" t="n"/>
      <c r="K17" s="15" t="n"/>
    </row>
    <row r="18" ht="30" customHeight="1">
      <c r="B18" s="53" t="inlineStr">
        <is>
          <t>Redesign / standardise first</t>
        </is>
      </c>
      <c r="C18" s="21">
        <f>COUNTIF('3. AI Fit Diagnostic'!$W$8:$W$57,B18)</f>
        <v>1</v>
      </c>
      <c r="D18" s="48">
        <f>IF(SUM($C$14:$C$18)=0,"",C18/SUM($C$14:$C$18))</f>
        <v>0.0454545454545455</v>
      </c>
      <c r="E18" s="49">
        <f>SUMIF('3. AI Fit Diagnostic'!$W$8:$W$57,B18,'3. AI Fit Diagnostic'!$AE$8:$AE$57)</f>
        <v>720</v>
      </c>
      <c r="F18" s="25" t="inlineStr">
        <is>
          <t>The process varies by person or team; automating or adding AI would scale inconsistency.</t>
        </is>
      </c>
      <c r="G18" s="15" t="n"/>
      <c r="H18" s="15" t="n"/>
      <c r="I18" s="15" t="n"/>
      <c r="J18" s="15" t="n"/>
      <c r="K18" s="15" t="n"/>
    </row>
    <row r="19">
      <c r="B19" s="4" t="inlineStr">
        <is>
          <t>Total assessed</t>
        </is>
      </c>
      <c r="C19" s="11">
        <f>SUM(C14:C18)</f>
        <v>22</v>
      </c>
      <c r="D19" s="6" t="inlineStr"/>
      <c r="E19" s="54">
        <f>SUM(E14:E18)</f>
        <v>14658</v>
      </c>
    </row>
    <row r="20" ht="30" customHeight="1">
      <c r="B20" s="55" t="str">
        <f>IF(C19=0,"",TEXT((C14+C17)/C19,"0%")&amp;" of assessed processes are AI opportunities (now or with a partner); "&amp;TEXT(C15/C19,"0%")&amp;" are better served by automation without AI; "&amp;TEXT((C16+C18)/C19,"0%")&amp;" need data or process foundations first.")</f>
        <v>64% of assessed processes are AI opportunities (now or with a partner); 23% are better served by automation without AI; 14% need data or process foundations first.</v>
      </c>
      <c r="C20" s="15" t="n"/>
      <c r="D20" s="15" t="n"/>
      <c r="E20" s="15" t="n"/>
      <c r="F20" s="15" t="n"/>
      <c r="G20" s="15" t="n"/>
      <c r="H20" s="15" t="n"/>
      <c r="I20" s="15" t="n"/>
      <c r="J20" s="15" t="n"/>
      <c r="K20" s="15" t="n"/>
    </row>
    <row r="22" ht="22" customHeight="1">
      <c r="A22" s="3" t="inlineStr">
        <is>
          <t>C. WHERE AI FITS BY FUNCTION (number of processes)</t>
        </is>
      </c>
    </row>
    <row r="23" ht="30" customHeight="1">
      <c r="B23" s="35" t="inlineStr">
        <is>
          <t>Function</t>
        </is>
      </c>
      <c r="C23" s="35" t="inlineStr">
        <is>
          <t>AI fit now</t>
        </is>
      </c>
      <c r="D23" s="35" t="inlineStr">
        <is>
          <t>Stretch</t>
        </is>
      </c>
      <c r="E23" s="35" t="inlineStr">
        <is>
          <t>AI later (data)</t>
        </is>
      </c>
      <c r="F23" s="35" t="inlineStr">
        <is>
          <t>Automate (no AI)</t>
        </is>
      </c>
      <c r="G23" s="35" t="inlineStr">
        <is>
          <t>Redesign first</t>
        </is>
      </c>
      <c r="H23" s="35" t="inlineStr">
        <is>
          <t>Total</t>
        </is>
      </c>
      <c r="I23" s="35" t="inlineStr">
        <is>
          <t>Hours / yr</t>
        </is>
      </c>
      <c r="J23" s="35" t="inlineStr">
        <is>
          <t>High-risk items</t>
        </is>
      </c>
      <c r="K23" s="35" t="inlineStr">
        <is>
          <t>Headline</t>
        </is>
      </c>
    </row>
    <row r="24">
      <c r="B24" s="56" t="inlineStr">
        <is>
          <t>Core operations &amp; service delivery</t>
        </is>
      </c>
      <c r="C24" s="21">
        <f>COUNTIFS('3. AI Fit Diagnostic'!$P$8:$P$57,$B24,'3. AI Fit Diagnostic'!$W$8:$W$57,"AI fit now")</f>
        <v>4</v>
      </c>
      <c r="D24" s="21">
        <f>COUNTIFS('3. AI Fit Diagnostic'!$P$8:$P$57,$B24,'3. AI Fit Diagnostic'!$W$8:$W$57,"Stretch - partner or later stage")</f>
        <v>3</v>
      </c>
      <c r="E24" s="21">
        <f>COUNTIFS('3. AI Fit Diagnostic'!$P$8:$P$57,$B24,'3. AI Fit Diagnostic'!$W$8:$W$57,"AI later - close data gap first")</f>
        <v>0</v>
      </c>
      <c r="F24" s="21">
        <f>COUNTIFS('3. AI Fit Diagnostic'!$P$8:$P$57,$B24,'3. AI Fit Diagnostic'!$W$8:$W$57,"Automate - AI not needed")</f>
        <v>2</v>
      </c>
      <c r="G24" s="21">
        <f>COUNTIFS('3. AI Fit Diagnostic'!$P$8:$P$57,$B24,'3. AI Fit Diagnostic'!$W$8:$W$57,"Redesign / standardise first")</f>
        <v>1</v>
      </c>
      <c r="H24" s="57">
        <f>SUM(C24:G24)</f>
        <v>10</v>
      </c>
      <c r="I24" s="49">
        <f>SUMIF('3. AI Fit Diagnostic'!$P$8:$P$57,$B24,'3. AI Fit Diagnostic'!$AE$8:$AE$57)</f>
        <v>7416</v>
      </c>
      <c r="J24" s="21">
        <f>COUNTIFS('3. AI Fit Diagnostic'!$P$8:$P$57,$B24,'3. AI Fit Diagnostic'!$Z$8:$Z$57,"High")</f>
        <v>2</v>
      </c>
      <c r="K24" s="42" t="str">
        <f>IF(H24=0,"",IF(C24+D24&gt;=MAX(E24,F24,G24),"AI opportunity",IF(F24&gt;=MAX(E24,G24),"Automation is enough",IF(E24&gt;=G24,"Fix data first","Redesign first"))))</f>
        <v>AI opportunity</v>
      </c>
    </row>
    <row r="25">
      <c r="B25" s="56" t="inlineStr">
        <is>
          <t>Customer service</t>
        </is>
      </c>
      <c r="C25" s="21">
        <f>COUNTIFS('3. AI Fit Diagnostic'!$P$8:$P$57,$B25,'3. AI Fit Diagnostic'!$W$8:$W$57,"AI fit now")</f>
        <v>0</v>
      </c>
      <c r="D25" s="21">
        <f>COUNTIFS('3. AI Fit Diagnostic'!$P$8:$P$57,$B25,'3. AI Fit Diagnostic'!$W$8:$W$57,"Stretch - partner or later stage")</f>
        <v>0</v>
      </c>
      <c r="E25" s="21">
        <f>COUNTIFS('3. AI Fit Diagnostic'!$P$8:$P$57,$B25,'3. AI Fit Diagnostic'!$W$8:$W$57,"AI later - close data gap first")</f>
        <v>0</v>
      </c>
      <c r="F25" s="21">
        <f>COUNTIFS('3. AI Fit Diagnostic'!$P$8:$P$57,$B25,'3. AI Fit Diagnostic'!$W$8:$W$57,"Automate - AI not needed")</f>
        <v>0</v>
      </c>
      <c r="G25" s="21">
        <f>COUNTIFS('3. AI Fit Diagnostic'!$P$8:$P$57,$B25,'3. AI Fit Diagnostic'!$W$8:$W$57,"Redesign / standardise first")</f>
        <v>0</v>
      </c>
      <c r="H25" s="57">
        <f>SUM(C25:G25)</f>
        <v>0</v>
      </c>
      <c r="I25" s="49">
        <f>SUMIF('3. AI Fit Diagnostic'!$P$8:$P$57,$B25,'3. AI Fit Diagnostic'!$AE$8:$AE$57)</f>
        <v>0</v>
      </c>
      <c r="J25" s="21">
        <f>COUNTIFS('3. AI Fit Diagnostic'!$P$8:$P$57,$B25,'3. AI Fit Diagnostic'!$Z$8:$Z$57,"High")</f>
        <v>0</v>
      </c>
      <c r="K25" s="42" t="str">
        <f>IF(H25=0,"",IF(C25+D25&gt;=MAX(E25,F25,G25),"AI opportunity",IF(F25&gt;=MAX(E25,G25),"Automation is enough",IF(E25&gt;=G25,"Fix data first","Redesign first"))))</f>
        <v/>
      </c>
    </row>
    <row r="26">
      <c r="B26" s="56" t="inlineStr">
        <is>
          <t>Sales &amp; marketing</t>
        </is>
      </c>
      <c r="C26" s="21">
        <f>COUNTIFS('3. AI Fit Diagnostic'!$P$8:$P$57,$B26,'3. AI Fit Diagnostic'!$W$8:$W$57,"AI fit now")</f>
        <v>2</v>
      </c>
      <c r="D26" s="21">
        <f>COUNTIFS('3. AI Fit Diagnostic'!$P$8:$P$57,$B26,'3. AI Fit Diagnostic'!$W$8:$W$57,"Stretch - partner or later stage")</f>
        <v>0</v>
      </c>
      <c r="E26" s="21">
        <f>COUNTIFS('3. AI Fit Diagnostic'!$P$8:$P$57,$B26,'3. AI Fit Diagnostic'!$W$8:$W$57,"AI later - close data gap first")</f>
        <v>1</v>
      </c>
      <c r="F26" s="21">
        <f>COUNTIFS('3. AI Fit Diagnostic'!$P$8:$P$57,$B26,'3. AI Fit Diagnostic'!$W$8:$W$57,"Automate - AI not needed")</f>
        <v>0</v>
      </c>
      <c r="G26" s="21">
        <f>COUNTIFS('3. AI Fit Diagnostic'!$P$8:$P$57,$B26,'3. AI Fit Diagnostic'!$W$8:$W$57,"Redesign / standardise first")</f>
        <v>0</v>
      </c>
      <c r="H26" s="57">
        <f>SUM(C26:G26)</f>
        <v>3</v>
      </c>
      <c r="I26" s="49">
        <f>SUMIF('3. AI Fit Diagnostic'!$P$8:$P$57,$B26,'3. AI Fit Diagnostic'!$AE$8:$AE$57)</f>
        <v>1818</v>
      </c>
      <c r="J26" s="21">
        <f>COUNTIFS('3. AI Fit Diagnostic'!$P$8:$P$57,$B26,'3. AI Fit Diagnostic'!$Z$8:$Z$57,"High")</f>
        <v>0</v>
      </c>
      <c r="K26" s="42" t="str">
        <f>IF(H26=0,"",IF(C26+D26&gt;=MAX(E26,F26,G26),"AI opportunity",IF(F26&gt;=MAX(E26,G26),"Automation is enough",IF(E26&gt;=G26,"Fix data first","Redesign first"))))</f>
        <v>AI opportunity</v>
      </c>
    </row>
    <row r="27">
      <c r="B27" s="56" t="inlineStr">
        <is>
          <t>Finance &amp; accounting</t>
        </is>
      </c>
      <c r="C27" s="21">
        <f>COUNTIFS('3. AI Fit Diagnostic'!$P$8:$P$57,$B27,'3. AI Fit Diagnostic'!$W$8:$W$57,"AI fit now")</f>
        <v>1</v>
      </c>
      <c r="D27" s="21">
        <f>COUNTIFS('3. AI Fit Diagnostic'!$P$8:$P$57,$B27,'3. AI Fit Diagnostic'!$W$8:$W$57,"Stretch - partner or later stage")</f>
        <v>0</v>
      </c>
      <c r="E27" s="21">
        <f>COUNTIFS('3. AI Fit Diagnostic'!$P$8:$P$57,$B27,'3. AI Fit Diagnostic'!$W$8:$W$57,"AI later - close data gap first")</f>
        <v>0</v>
      </c>
      <c r="F27" s="21">
        <f>COUNTIFS('3. AI Fit Diagnostic'!$P$8:$P$57,$B27,'3. AI Fit Diagnostic'!$W$8:$W$57,"Automate - AI not needed")</f>
        <v>1</v>
      </c>
      <c r="G27" s="21">
        <f>COUNTIFS('3. AI Fit Diagnostic'!$P$8:$P$57,$B27,'3. AI Fit Diagnostic'!$W$8:$W$57,"Redesign / standardise first")</f>
        <v>0</v>
      </c>
      <c r="H27" s="57">
        <f>SUM(C27:G27)</f>
        <v>2</v>
      </c>
      <c r="I27" s="49">
        <f>SUMIF('3. AI Fit Diagnostic'!$P$8:$P$57,$B27,'3. AI Fit Diagnostic'!$AE$8:$AE$57)</f>
        <v>1656</v>
      </c>
      <c r="J27" s="21">
        <f>COUNTIFS('3. AI Fit Diagnostic'!$P$8:$P$57,$B27,'3. AI Fit Diagnostic'!$Z$8:$Z$57,"High")</f>
        <v>0</v>
      </c>
      <c r="K27" s="42" t="str">
        <f>IF(H27=0,"",IF(C27+D27&gt;=MAX(E27,F27,G27),"AI opportunity",IF(F27&gt;=MAX(E27,G27),"Automation is enough",IF(E27&gt;=G27,"Fix data first","Redesign first"))))</f>
        <v>AI opportunity</v>
      </c>
    </row>
    <row r="28">
      <c r="B28" s="56" t="inlineStr">
        <is>
          <t>HR &amp; people</t>
        </is>
      </c>
      <c r="C28" s="21">
        <f>COUNTIFS('3. AI Fit Diagnostic'!$P$8:$P$57,$B28,'3. AI Fit Diagnostic'!$W$8:$W$57,"AI fit now")</f>
        <v>1</v>
      </c>
      <c r="D28" s="21">
        <f>COUNTIFS('3. AI Fit Diagnostic'!$P$8:$P$57,$B28,'3. AI Fit Diagnostic'!$W$8:$W$57,"Stretch - partner or later stage")</f>
        <v>0</v>
      </c>
      <c r="E28" s="21">
        <f>COUNTIFS('3. AI Fit Diagnostic'!$P$8:$P$57,$B28,'3. AI Fit Diagnostic'!$W$8:$W$57,"AI later - close data gap first")</f>
        <v>1</v>
      </c>
      <c r="F28" s="21">
        <f>COUNTIFS('3. AI Fit Diagnostic'!$P$8:$P$57,$B28,'3. AI Fit Diagnostic'!$W$8:$W$57,"Automate - AI not needed")</f>
        <v>0</v>
      </c>
      <c r="G28" s="21">
        <f>COUNTIFS('3. AI Fit Diagnostic'!$P$8:$P$57,$B28,'3. AI Fit Diagnostic'!$W$8:$W$57,"Redesign / standardise first")</f>
        <v>0</v>
      </c>
      <c r="H28" s="57">
        <f>SUM(C28:G28)</f>
        <v>2</v>
      </c>
      <c r="I28" s="49">
        <f>SUMIF('3. AI Fit Diagnostic'!$P$8:$P$57,$B28,'3. AI Fit Diagnostic'!$AE$8:$AE$57)</f>
        <v>408</v>
      </c>
      <c r="J28" s="21">
        <f>COUNTIFS('3. AI Fit Diagnostic'!$P$8:$P$57,$B28,'3. AI Fit Diagnostic'!$Z$8:$Z$57,"High")</f>
        <v>1</v>
      </c>
      <c r="K28" s="42" t="str">
        <f>IF(H28=0,"",IF(C28+D28&gt;=MAX(E28,F28,G28),"AI opportunity",IF(F28&gt;=MAX(E28,G28),"Automation is enough",IF(E28&gt;=G28,"Fix data first","Redesign first"))))</f>
        <v>AI opportunity</v>
      </c>
    </row>
    <row r="29">
      <c r="B29" s="56" t="inlineStr">
        <is>
          <t>Procurement &amp; supply chain</t>
        </is>
      </c>
      <c r="C29" s="21">
        <f>COUNTIFS('3. AI Fit Diagnostic'!$P$8:$P$57,$B29,'3. AI Fit Diagnostic'!$W$8:$W$57,"AI fit now")</f>
        <v>0</v>
      </c>
      <c r="D29" s="21">
        <f>COUNTIFS('3. AI Fit Diagnostic'!$P$8:$P$57,$B29,'3. AI Fit Diagnostic'!$W$8:$W$57,"Stretch - partner or later stage")</f>
        <v>0</v>
      </c>
      <c r="E29" s="21">
        <f>COUNTIFS('3. AI Fit Diagnostic'!$P$8:$P$57,$B29,'3. AI Fit Diagnostic'!$W$8:$W$57,"AI later - close data gap first")</f>
        <v>0</v>
      </c>
      <c r="F29" s="21">
        <f>COUNTIFS('3. AI Fit Diagnostic'!$P$8:$P$57,$B29,'3. AI Fit Diagnostic'!$W$8:$W$57,"Automate - AI not needed")</f>
        <v>0</v>
      </c>
      <c r="G29" s="21">
        <f>COUNTIFS('3. AI Fit Diagnostic'!$P$8:$P$57,$B29,'3. AI Fit Diagnostic'!$W$8:$W$57,"Redesign / standardise first")</f>
        <v>0</v>
      </c>
      <c r="H29" s="57">
        <f>SUM(C29:G29)</f>
        <v>0</v>
      </c>
      <c r="I29" s="49">
        <f>SUMIF('3. AI Fit Diagnostic'!$P$8:$P$57,$B29,'3. AI Fit Diagnostic'!$AE$8:$AE$57)</f>
        <v>0</v>
      </c>
      <c r="J29" s="21">
        <f>COUNTIFS('3. AI Fit Diagnostic'!$P$8:$P$57,$B29,'3. AI Fit Diagnostic'!$Z$8:$Z$57,"High")</f>
        <v>0</v>
      </c>
      <c r="K29" s="42" t="str">
        <f>IF(H29=0,"",IF(C29+D29&gt;=MAX(E29,F29,G29),"AI opportunity",IF(F29&gt;=MAX(E29,G29),"Automation is enough",IF(E29&gt;=G29,"Fix data first","Redesign first"))))</f>
        <v/>
      </c>
    </row>
    <row r="30">
      <c r="B30" s="56" t="inlineStr">
        <is>
          <t>Risk, compliance &amp; legal</t>
        </is>
      </c>
      <c r="C30" s="21">
        <f>COUNTIFS('3. AI Fit Diagnostic'!$P$8:$P$57,$B30,'3. AI Fit Diagnostic'!$W$8:$W$57,"AI fit now")</f>
        <v>1</v>
      </c>
      <c r="D30" s="21">
        <f>COUNTIFS('3. AI Fit Diagnostic'!$P$8:$P$57,$B30,'3. AI Fit Diagnostic'!$W$8:$W$57,"Stretch - partner or later stage")</f>
        <v>0</v>
      </c>
      <c r="E30" s="21">
        <f>COUNTIFS('3. AI Fit Diagnostic'!$P$8:$P$57,$B30,'3. AI Fit Diagnostic'!$W$8:$W$57,"AI later - close data gap first")</f>
        <v>0</v>
      </c>
      <c r="F30" s="21">
        <f>COUNTIFS('3. AI Fit Diagnostic'!$P$8:$P$57,$B30,'3. AI Fit Diagnostic'!$W$8:$W$57,"Automate - AI not needed")</f>
        <v>1</v>
      </c>
      <c r="G30" s="21">
        <f>COUNTIFS('3. AI Fit Diagnostic'!$P$8:$P$57,$B30,'3. AI Fit Diagnostic'!$W$8:$W$57,"Redesign / standardise first")</f>
        <v>0</v>
      </c>
      <c r="H30" s="57">
        <f>SUM(C30:G30)</f>
        <v>2</v>
      </c>
      <c r="I30" s="49">
        <f>SUMIF('3. AI Fit Diagnostic'!$P$8:$P$57,$B30,'3. AI Fit Diagnostic'!$AE$8:$AE$57)</f>
        <v>1560</v>
      </c>
      <c r="J30" s="21">
        <f>COUNTIFS('3. AI Fit Diagnostic'!$P$8:$P$57,$B30,'3. AI Fit Diagnostic'!$Z$8:$Z$57,"High")</f>
        <v>0</v>
      </c>
      <c r="K30" s="42" t="str">
        <f>IF(H30=0,"",IF(C30+D30&gt;=MAX(E30,F30,G30),"AI opportunity",IF(F30&gt;=MAX(E30,G30),"Automation is enough",IF(E30&gt;=G30,"Fix data first","Redesign first"))))</f>
        <v>AI opportunity</v>
      </c>
    </row>
    <row r="31">
      <c r="B31" s="56" t="inlineStr">
        <is>
          <t>IT &amp; cybersecurity</t>
        </is>
      </c>
      <c r="C31" s="21">
        <f>COUNTIFS('3. AI Fit Diagnostic'!$P$8:$P$57,$B31,'3. AI Fit Diagnostic'!$W$8:$W$57,"AI fit now")</f>
        <v>0</v>
      </c>
      <c r="D31" s="21">
        <f>COUNTIFS('3. AI Fit Diagnostic'!$P$8:$P$57,$B31,'3. AI Fit Diagnostic'!$W$8:$W$57,"Stretch - partner or later stage")</f>
        <v>0</v>
      </c>
      <c r="E31" s="21">
        <f>COUNTIFS('3. AI Fit Diagnostic'!$P$8:$P$57,$B31,'3. AI Fit Diagnostic'!$W$8:$W$57,"AI later - close data gap first")</f>
        <v>0</v>
      </c>
      <c r="F31" s="21">
        <f>COUNTIFS('3. AI Fit Diagnostic'!$P$8:$P$57,$B31,'3. AI Fit Diagnostic'!$W$8:$W$57,"Automate - AI not needed")</f>
        <v>0</v>
      </c>
      <c r="G31" s="21">
        <f>COUNTIFS('3. AI Fit Diagnostic'!$P$8:$P$57,$B31,'3. AI Fit Diagnostic'!$W$8:$W$57,"Redesign / standardise first")</f>
        <v>0</v>
      </c>
      <c r="H31" s="57">
        <f>SUM(C31:G31)</f>
        <v>0</v>
      </c>
      <c r="I31" s="49">
        <f>SUMIF('3. AI Fit Diagnostic'!$P$8:$P$57,$B31,'3. AI Fit Diagnostic'!$AE$8:$AE$57)</f>
        <v>0</v>
      </c>
      <c r="J31" s="21">
        <f>COUNTIFS('3. AI Fit Diagnostic'!$P$8:$P$57,$B31,'3. AI Fit Diagnostic'!$Z$8:$Z$57,"High")</f>
        <v>0</v>
      </c>
      <c r="K31" s="42" t="str">
        <f>IF(H31=0,"",IF(C31+D31&gt;=MAX(E31,F31,G31),"AI opportunity",IF(F31&gt;=MAX(E31,G31),"Automation is enough",IF(E31&gt;=G31,"Fix data first","Redesign first"))))</f>
        <v/>
      </c>
    </row>
    <row r="32">
      <c r="B32" s="56" t="inlineStr">
        <is>
          <t>Assets, facilities &amp; maintenance</t>
        </is>
      </c>
      <c r="C32" s="21">
        <f>COUNTIFS('3. AI Fit Diagnostic'!$P$8:$P$57,$B32,'3. AI Fit Diagnostic'!$W$8:$W$57,"AI fit now")</f>
        <v>0</v>
      </c>
      <c r="D32" s="21">
        <f>COUNTIFS('3. AI Fit Diagnostic'!$P$8:$P$57,$B32,'3. AI Fit Diagnostic'!$W$8:$W$57,"Stretch - partner or later stage")</f>
        <v>0</v>
      </c>
      <c r="E32" s="21">
        <f>COUNTIFS('3. AI Fit Diagnostic'!$P$8:$P$57,$B32,'3. AI Fit Diagnostic'!$W$8:$W$57,"AI later - close data gap first")</f>
        <v>0</v>
      </c>
      <c r="F32" s="21">
        <f>COUNTIFS('3. AI Fit Diagnostic'!$P$8:$P$57,$B32,'3. AI Fit Diagnostic'!$W$8:$W$57,"Automate - AI not needed")</f>
        <v>0</v>
      </c>
      <c r="G32" s="21">
        <f>COUNTIFS('3. AI Fit Diagnostic'!$P$8:$P$57,$B32,'3. AI Fit Diagnostic'!$W$8:$W$57,"Redesign / standardise first")</f>
        <v>0</v>
      </c>
      <c r="H32" s="57">
        <f>SUM(C32:G32)</f>
        <v>0</v>
      </c>
      <c r="I32" s="49">
        <f>SUMIF('3. AI Fit Diagnostic'!$P$8:$P$57,$B32,'3. AI Fit Diagnostic'!$AE$8:$AE$57)</f>
        <v>0</v>
      </c>
      <c r="J32" s="21">
        <f>COUNTIFS('3. AI Fit Diagnostic'!$P$8:$P$57,$B32,'3. AI Fit Diagnostic'!$Z$8:$Z$57,"High")</f>
        <v>0</v>
      </c>
      <c r="K32" s="42" t="str">
        <f>IF(H32=0,"",IF(C32+D32&gt;=MAX(E32,F32,G32),"AI opportunity",IF(F32&gt;=MAX(E32,G32),"Automation is enough",IF(E32&gt;=G32,"Fix data first","Redesign first"))))</f>
        <v/>
      </c>
    </row>
    <row r="33">
      <c r="B33" s="56" t="inlineStr">
        <is>
          <t>Strategy, management &amp; reporting</t>
        </is>
      </c>
      <c r="C33" s="21">
        <f>COUNTIFS('3. AI Fit Diagnostic'!$P$8:$P$57,$B33,'3. AI Fit Diagnostic'!$W$8:$W$57,"AI fit now")</f>
        <v>1</v>
      </c>
      <c r="D33" s="21">
        <f>COUNTIFS('3. AI Fit Diagnostic'!$P$8:$P$57,$B33,'3. AI Fit Diagnostic'!$W$8:$W$57,"Stretch - partner or later stage")</f>
        <v>0</v>
      </c>
      <c r="E33" s="21">
        <f>COUNTIFS('3. AI Fit Diagnostic'!$P$8:$P$57,$B33,'3. AI Fit Diagnostic'!$W$8:$W$57,"AI later - close data gap first")</f>
        <v>0</v>
      </c>
      <c r="F33" s="21">
        <f>COUNTIFS('3. AI Fit Diagnostic'!$P$8:$P$57,$B33,'3. AI Fit Diagnostic'!$W$8:$W$57,"Automate - AI not needed")</f>
        <v>1</v>
      </c>
      <c r="G33" s="21">
        <f>COUNTIFS('3. AI Fit Diagnostic'!$P$8:$P$57,$B33,'3. AI Fit Diagnostic'!$W$8:$W$57,"Redesign / standardise first")</f>
        <v>0</v>
      </c>
      <c r="H33" s="57">
        <f>SUM(C33:G33)</f>
        <v>2</v>
      </c>
      <c r="I33" s="49">
        <f>SUMIF('3. AI Fit Diagnostic'!$P$8:$P$57,$B33,'3. AI Fit Diagnostic'!$AE$8:$AE$57)</f>
        <v>1200</v>
      </c>
      <c r="J33" s="21">
        <f>COUNTIFS('3. AI Fit Diagnostic'!$P$8:$P$57,$B33,'3. AI Fit Diagnostic'!$Z$8:$Z$57,"High")</f>
        <v>0</v>
      </c>
      <c r="K33" s="42" t="str">
        <f>IF(H33=0,"",IF(C33+D33&gt;=MAX(E33,F33,G33),"AI opportunity",IF(F33&gt;=MAX(E33,G33),"Automation is enough",IF(E33&gt;=G33,"Fix data first","Redesign first"))))</f>
        <v>AI opportunity</v>
      </c>
    </row>
    <row r="34">
      <c r="B34" s="56" t="inlineStr">
        <is>
          <t>Knowledge &amp; collaboration</t>
        </is>
      </c>
      <c r="C34" s="21">
        <f>COUNTIFS('3. AI Fit Diagnostic'!$P$8:$P$57,$B34,'3. AI Fit Diagnostic'!$W$8:$W$57,"AI fit now")</f>
        <v>1</v>
      </c>
      <c r="D34" s="21">
        <f>COUNTIFS('3. AI Fit Diagnostic'!$P$8:$P$57,$B34,'3. AI Fit Diagnostic'!$W$8:$W$57,"Stretch - partner or later stage")</f>
        <v>0</v>
      </c>
      <c r="E34" s="21">
        <f>COUNTIFS('3. AI Fit Diagnostic'!$P$8:$P$57,$B34,'3. AI Fit Diagnostic'!$W$8:$W$57,"AI later - close data gap first")</f>
        <v>0</v>
      </c>
      <c r="F34" s="21">
        <f>COUNTIFS('3. AI Fit Diagnostic'!$P$8:$P$57,$B34,'3. AI Fit Diagnostic'!$W$8:$W$57,"Automate - AI not needed")</f>
        <v>0</v>
      </c>
      <c r="G34" s="21">
        <f>COUNTIFS('3. AI Fit Diagnostic'!$P$8:$P$57,$B34,'3. AI Fit Diagnostic'!$W$8:$W$57,"Redesign / standardise first")</f>
        <v>0</v>
      </c>
      <c r="H34" s="57">
        <f>SUM(C34:G34)</f>
        <v>1</v>
      </c>
      <c r="I34" s="49">
        <f>SUMIF('3. AI Fit Diagnostic'!$P$8:$P$57,$B34,'3. AI Fit Diagnostic'!$AE$8:$AE$57)</f>
        <v>600</v>
      </c>
      <c r="J34" s="21">
        <f>COUNTIFS('3. AI Fit Diagnostic'!$P$8:$P$57,$B34,'3. AI Fit Diagnostic'!$Z$8:$Z$57,"High")</f>
        <v>0</v>
      </c>
      <c r="K34" s="42" t="str">
        <f>IF(H34=0,"",IF(C34+D34&gt;=MAX(E34,F34,G34),"AI opportunity",IF(F34&gt;=MAX(E34,G34),"Automation is enough",IF(E34&gt;=G34,"Fix data first","Redesign first"))))</f>
        <v>AI opportunity</v>
      </c>
    </row>
    <row r="35">
      <c r="B35" s="4" t="inlineStr">
        <is>
          <t>Total</t>
        </is>
      </c>
      <c r="C35" s="11">
        <f>SUM(C24:C34)</f>
        <v>11</v>
      </c>
      <c r="D35" s="11">
        <f>SUM(D24:D34)</f>
        <v>3</v>
      </c>
      <c r="E35" s="11">
        <f>SUM(E24:E34)</f>
        <v>2</v>
      </c>
      <c r="F35" s="11">
        <f>SUM(F24:F34)</f>
        <v>5</v>
      </c>
      <c r="G35" s="11">
        <f>SUM(G24:G34)</f>
        <v>1</v>
      </c>
      <c r="H35" s="11">
        <f>SUM(H24:H34)</f>
        <v>22</v>
      </c>
      <c r="I35" s="54">
        <f>SUM(I24:I34)</f>
        <v>14658</v>
      </c>
      <c r="J35" s="11">
        <f>SUM(J24:J34)</f>
        <v>3</v>
      </c>
      <c r="K35" s="6" t="inlineStr"/>
    </row>
    <row r="57" ht="22" customHeight="1">
      <c r="A57" s="3" t="inlineStr">
        <is>
          <t>D. TOP 10 OPPORTUNITIES (risk-adjusted priority) - with GT recommendations</t>
        </is>
      </c>
    </row>
    <row r="58" ht="24" customHeight="1">
      <c r="A58" s="35" t="inlineStr">
        <is>
          <t>Rank</t>
        </is>
      </c>
      <c r="B58" s="35" t="inlineStr">
        <is>
          <t>Process / use case</t>
        </is>
      </c>
      <c r="C58" s="35" t="inlineStr">
        <is>
          <t>Solution family</t>
        </is>
      </c>
      <c r="D58" s="32" t="n"/>
      <c r="E58" s="35" t="inlineStr">
        <is>
          <t>Verdict</t>
        </is>
      </c>
      <c r="F58" s="32" t="n"/>
      <c r="G58" s="35" t="inlineStr">
        <is>
          <t>Risk</t>
        </is>
      </c>
      <c r="H58" s="35" t="inlineStr">
        <is>
          <t>Horizon</t>
        </is>
      </c>
      <c r="I58" s="35" t="inlineStr">
        <is>
          <t>GT recommendation</t>
        </is>
      </c>
      <c r="J58" s="32" t="n"/>
      <c r="K58" s="32" t="n"/>
    </row>
    <row r="59" ht="46" customHeight="1">
      <c r="A59" s="11" t="n">
        <v>1</v>
      </c>
      <c r="B59" s="26" t="str">
        <f>IFERROR(INDEX('3. AI Fit Diagnostic'!$AJ$8:$AJ$57,MATCH(1,'3. AI Fit Diagnostic'!$AC$8:$AC$57,0)),"")</f>
        <v>Tax - VAT / tax return data preparation</v>
      </c>
      <c r="C59" s="58" t="str">
        <f>IFERROR(INDEX('3. AI Fit Diagnostic'!$R$8:$R$57,MATCH(1,'3. AI Fit Diagnostic'!$AC$8:$AC$57,0)),"")</f>
        <v>Workflow automation / RPA</v>
      </c>
      <c r="D59" s="15" t="n"/>
      <c r="E59" s="59" t="str">
        <f>IFERROR(INDEX('3. AI Fit Diagnostic'!$W$8:$W$57,MATCH(1,'3. AI Fit Diagnostic'!$AC$8:$AC$57,0)),"")</f>
        <v>Automate - AI not needed</v>
      </c>
      <c r="F59" s="15" t="n"/>
      <c r="G59" s="38" t="str">
        <f>IFERROR(INDEX('3. AI Fit Diagnostic'!$Z$8:$Z$57,MATCH(1,'3. AI Fit Diagnostic'!$AC$8:$AC$57,0)),"")</f>
        <v>Low</v>
      </c>
      <c r="H59" s="58" t="str">
        <f>IFERROR(INDEX('3. AI Fit Diagnostic'!$AD$8:$AD$57,MATCH(1,'3. AI Fit Diagnostic'!$AC$8:$AC$57,0)),"")</f>
        <v>H1 - Now (0-6 months)</v>
      </c>
      <c r="I59" s="60" t="str">
        <f>IFERROR(INDEX('3. AI Fit Diagnostic'!$AF$8:$AF$57,MATCH(1,'3. AI Fit Diagnostic'!$AC$8:$AC$57,0)),"")</f>
        <v>Automated extraction, mapping and validation of client data into returns.</v>
      </c>
      <c r="J59" s="15" t="n"/>
      <c r="K59" s="15" t="n"/>
    </row>
    <row r="60" ht="46" customHeight="1">
      <c r="A60" s="11" t="n">
        <v>2</v>
      </c>
      <c r="B60" s="26" t="str">
        <f>IFERROR(INDEX('3. AI Fit Diagnostic'!$AJ$8:$AJ$57,MATCH(2,'3. AI Fit Diagnostic'!$AC$8:$AC$57,0)),"")</f>
        <v>Timesheets, WIP &amp; billing</v>
      </c>
      <c r="C60" s="58" t="str">
        <f>IFERROR(INDEX('3. AI Fit Diagnostic'!$R$8:$R$57,MATCH(2,'3. AI Fit Diagnostic'!$AC$8:$AC$57,0)),"")</f>
        <v>Workflow automation / RPA</v>
      </c>
      <c r="D60" s="15" t="n"/>
      <c r="E60" s="59" t="str">
        <f>IFERROR(INDEX('3. AI Fit Diagnostic'!$W$8:$W$57,MATCH(2,'3. AI Fit Diagnostic'!$AC$8:$AC$57,0)),"")</f>
        <v>Automate - AI not needed</v>
      </c>
      <c r="F60" s="15" t="n"/>
      <c r="G60" s="38" t="str">
        <f>IFERROR(INDEX('3. AI Fit Diagnostic'!$Z$8:$Z$57,MATCH(2,'3. AI Fit Diagnostic'!$AC$8:$AC$57,0)),"")</f>
        <v>Low</v>
      </c>
      <c r="H60" s="58" t="str">
        <f>IFERROR(INDEX('3. AI Fit Diagnostic'!$AD$8:$AD$57,MATCH(2,'3. AI Fit Diagnostic'!$AC$8:$AC$57,0)),"")</f>
        <v>H1 - Now (0-6 months)</v>
      </c>
      <c r="I60" s="60" t="str">
        <f>IFERROR(INDEX('3. AI Fit Diagnostic'!$AF$8:$AF$57,MATCH(2,'3. AI Fit Diagnostic'!$AC$8:$AC$57,0)),"")</f>
        <v>Automated timesheet reminders, WIP reports and draft billing narratives.</v>
      </c>
      <c r="J60" s="15" t="n"/>
      <c r="K60" s="15" t="n"/>
    </row>
    <row r="61" ht="46" customHeight="1">
      <c r="A61" s="11" t="n">
        <v>3</v>
      </c>
      <c r="B61" s="26" t="str">
        <f>IFERROR(INDEX('3. AI Fit Diagnostic'!$AJ$8:$AJ$57,MATCH(3,'3. AI Fit Diagnostic'!$AC$8:$AC$57,0)),"")</f>
        <v>Meeting minutes &amp; action tracking</v>
      </c>
      <c r="C61" s="58" t="str">
        <f>IFERROR(INDEX('3. AI Fit Diagnostic'!$R$8:$R$57,MATCH(3,'3. AI Fit Diagnostic'!$AC$8:$AC$57,0)),"")</f>
        <v>Generative AI assistant (off-the-shelf)</v>
      </c>
      <c r="D61" s="15" t="n"/>
      <c r="E61" s="59" t="str">
        <f>IFERROR(INDEX('3. AI Fit Diagnostic'!$W$8:$W$57,MATCH(3,'3. AI Fit Diagnostic'!$AC$8:$AC$57,0)),"")</f>
        <v>AI fit now</v>
      </c>
      <c r="F61" s="15" t="n"/>
      <c r="G61" s="38" t="str">
        <f>IFERROR(INDEX('3. AI Fit Diagnostic'!$Z$8:$Z$57,MATCH(3,'3. AI Fit Diagnostic'!$AC$8:$AC$57,0)),"")</f>
        <v>Low</v>
      </c>
      <c r="H61" s="58" t="str">
        <f>IFERROR(INDEX('3. AI Fit Diagnostic'!$AD$8:$AD$57,MATCH(3,'3. AI Fit Diagnostic'!$AC$8:$AC$57,0)),"")</f>
        <v>H1 - Now (0-6 months)</v>
      </c>
      <c r="I61" s="60" t="str">
        <f>IFERROR(INDEX('3. AI Fit Diagnostic'!$AF$8:$AF$57,MATCH(3,'3. AI Fit Diagnostic'!$AC$8:$AC$57,0)),"")</f>
        <v>Enterprise meeting assistant for transcripts, summaries and action tracking (with participant notice).</v>
      </c>
      <c r="J61" s="15" t="n"/>
      <c r="K61" s="15" t="n"/>
    </row>
    <row r="62" ht="46" customHeight="1">
      <c r="A62" s="11" t="n">
        <v>4</v>
      </c>
      <c r="B62" s="26" t="str">
        <f>IFERROR(INDEX('3. AI Fit Diagnostic'!$AJ$8:$AJ$57,MATCH(4,'3. AI Fit Diagnostic'!$AC$8:$AC$57,0)),"")</f>
        <v>Audit - working papers &amp; memo drafting</v>
      </c>
      <c r="C62" s="58" t="str">
        <f>IFERROR(INDEX('3. AI Fit Diagnostic'!$R$8:$R$57,MATCH(4,'3. AI Fit Diagnostic'!$AC$8:$AC$57,0)),"")</f>
        <v>Generative AI assistant (off-the-shelf)</v>
      </c>
      <c r="D62" s="15" t="n"/>
      <c r="E62" s="59" t="str">
        <f>IFERROR(INDEX('3. AI Fit Diagnostic'!$W$8:$W$57,MATCH(4,'3. AI Fit Diagnostic'!$AC$8:$AC$57,0)),"")</f>
        <v>AI fit now</v>
      </c>
      <c r="F62" s="15" t="n"/>
      <c r="G62" s="38" t="str">
        <f>IFERROR(INDEX('3. AI Fit Diagnostic'!$Z$8:$Z$57,MATCH(4,'3. AI Fit Diagnostic'!$AC$8:$AC$57,0)),"")</f>
        <v>Medium</v>
      </c>
      <c r="H62" s="58" t="str">
        <f>IFERROR(INDEX('3. AI Fit Diagnostic'!$AD$8:$AD$57,MATCH(4,'3. AI Fit Diagnostic'!$AC$8:$AC$57,0)),"")</f>
        <v>H1 - Now (0-6 months)</v>
      </c>
      <c r="I62" s="60" t="str">
        <f>IFERROR(INDEX('3. AI Fit Diagnostic'!$AF$8:$AF$57,MATCH(4,'3. AI Fit Diagnostic'!$AC$8:$AC$57,0)),"")</f>
        <v>GenAI drafting within methodology templates in an approved environment; reviewer sign-off.</v>
      </c>
      <c r="J62" s="15" t="n"/>
      <c r="K62" s="15" t="n"/>
    </row>
    <row r="63" ht="46" customHeight="1">
      <c r="A63" s="11" t="n">
        <v>5</v>
      </c>
      <c r="B63" s="26" t="str">
        <f>IFERROR(INDEX('3. AI Fit Diagnostic'!$AJ$8:$AJ$57,MATCH(5,'3. AI Fit Diagnostic'!$AC$8:$AC$57,0)),"")</f>
        <v>Client acceptance &amp; independence checks</v>
      </c>
      <c r="C63" s="58" t="str">
        <f>IFERROR(INDEX('3. AI Fit Diagnostic'!$R$8:$R$57,MATCH(5,'3. AI Fit Diagnostic'!$AC$8:$AC$57,0)),"")</f>
        <v>Rules engine / workflow automation</v>
      </c>
      <c r="D63" s="15" t="n"/>
      <c r="E63" s="59" t="str">
        <f>IFERROR(INDEX('3. AI Fit Diagnostic'!$W$8:$W$57,MATCH(5,'3. AI Fit Diagnostic'!$AC$8:$AC$57,0)),"")</f>
        <v>Automate - AI not needed</v>
      </c>
      <c r="F63" s="15" t="n"/>
      <c r="G63" s="38" t="str">
        <f>IFERROR(INDEX('3. AI Fit Diagnostic'!$Z$8:$Z$57,MATCH(5,'3. AI Fit Diagnostic'!$AC$8:$AC$57,0)),"")</f>
        <v>Low</v>
      </c>
      <c r="H63" s="58" t="str">
        <f>IFERROR(INDEX('3. AI Fit Diagnostic'!$AD$8:$AD$57,MATCH(5,'3. AI Fit Diagnostic'!$AC$8:$AC$57,0)),"")</f>
        <v>H1 - Now (0-6 months)</v>
      </c>
      <c r="I63" s="60" t="str">
        <f>IFERROR(INDEX('3. AI Fit Diagnostic'!$AF$8:$AF$57,MATCH(5,'3. AI Fit Diagnostic'!$AC$8:$AC$57,0)),"")</f>
        <v>Workflow with rules-based independence and conflict checks against the client database.</v>
      </c>
      <c r="J63" s="15" t="n"/>
      <c r="K63" s="15" t="n"/>
    </row>
    <row r="64" ht="46" customHeight="1">
      <c r="A64" s="11" t="n">
        <v>6</v>
      </c>
      <c r="B64" s="26" t="str">
        <f>IFERROR(INDEX('3. AI Fit Diagnostic'!$AJ$8:$AJ$57,MATCH(6,'3. AI Fit Diagnostic'!$AC$8:$AC$57,0)),"")</f>
        <v>Audit - bank &amp; external confirmations</v>
      </c>
      <c r="C64" s="58" t="str">
        <f>IFERROR(INDEX('3. AI Fit Diagnostic'!$R$8:$R$57,MATCH(6,'3. AI Fit Diagnostic'!$AC$8:$AC$57,0)),"")</f>
        <v>Intelligent document processing (IDP)</v>
      </c>
      <c r="D64" s="15" t="n"/>
      <c r="E64" s="59" t="str">
        <f>IFERROR(INDEX('3. AI Fit Diagnostic'!$W$8:$W$57,MATCH(6,'3. AI Fit Diagnostic'!$AC$8:$AC$57,0)),"")</f>
        <v>AI fit now</v>
      </c>
      <c r="F64" s="15" t="n"/>
      <c r="G64" s="38" t="str">
        <f>IFERROR(INDEX('3. AI Fit Diagnostic'!$Z$8:$Z$57,MATCH(6,'3. AI Fit Diagnostic'!$AC$8:$AC$57,0)),"")</f>
        <v>Medium</v>
      </c>
      <c r="H64" s="58" t="str">
        <f>IFERROR(INDEX('3. AI Fit Diagnostic'!$AD$8:$AD$57,MATCH(6,'3. AI Fit Diagnostic'!$AC$8:$AC$57,0)),"")</f>
        <v>H1 - Now (0-6 months)</v>
      </c>
      <c r="I64" s="60" t="str">
        <f>IFERROR(INDEX('3. AI Fit Diagnostic'!$AF$8:$AF$57,MATCH(6,'3. AI Fit Diagnostic'!$AC$8:$AC$57,0)),"")</f>
        <v>IDP of confirmation responses with automatic agreement to records.</v>
      </c>
      <c r="J64" s="15" t="n"/>
      <c r="K64" s="15" t="n"/>
    </row>
    <row r="65" ht="46" customHeight="1">
      <c r="A65" s="11" t="n">
        <v>7</v>
      </c>
      <c r="B65" s="26" t="str">
        <f>IFERROR(INDEX('3. AI Fit Diagnostic'!$AJ$8:$AJ$57,MATCH(7,'3. AI Fit Diagnostic'!$AC$8:$AC$57,0)),"")</f>
        <v>Methodology &amp; knowledge Q&amp;A</v>
      </c>
      <c r="C65" s="58" t="str">
        <f>IFERROR(INDEX('3. AI Fit Diagnostic'!$R$8:$R$57,MATCH(7,'3. AI Fit Diagnostic'!$AC$8:$AC$57,0)),"")</f>
        <v>GenAI knowledge assistant (RAG on own content)</v>
      </c>
      <c r="D65" s="15" t="n"/>
      <c r="E65" s="59" t="str">
        <f>IFERROR(INDEX('3. AI Fit Diagnostic'!$W$8:$W$57,MATCH(7,'3. AI Fit Diagnostic'!$AC$8:$AC$57,0)),"")</f>
        <v>AI fit now</v>
      </c>
      <c r="F65" s="15" t="n"/>
      <c r="G65" s="38" t="str">
        <f>IFERROR(INDEX('3. AI Fit Diagnostic'!$Z$8:$Z$57,MATCH(7,'3. AI Fit Diagnostic'!$AC$8:$AC$57,0)),"")</f>
        <v>Low</v>
      </c>
      <c r="H65" s="58" t="str">
        <f>IFERROR(INDEX('3. AI Fit Diagnostic'!$AD$8:$AD$57,MATCH(7,'3. AI Fit Diagnostic'!$AC$8:$AC$57,0)),"")</f>
        <v>H1 - Now (0-6 months)</v>
      </c>
      <c r="I65" s="60" t="str">
        <f>IFERROR(INDEX('3. AI Fit Diagnostic'!$AF$8:$AF$57,MATCH(7,'3. AI Fit Diagnostic'!$AC$8:$AC$57,0)),"")</f>
        <v>Grounded assistant over firm methodologies and sanitised precedents.</v>
      </c>
      <c r="J65" s="15" t="n"/>
      <c r="K65" s="15" t="n"/>
    </row>
    <row r="66" ht="46" customHeight="1">
      <c r="A66" s="11" t="n">
        <v>8</v>
      </c>
      <c r="B66" s="26" t="str">
        <f>IFERROR(INDEX('3. AI Fit Diagnostic'!$AJ$8:$AJ$57,MATCH(8,'3. AI Fit Diagnostic'!$AC$8:$AC$57,0)),"")</f>
        <v>Advisory - due-diligence data-room review</v>
      </c>
      <c r="C66" s="58" t="str">
        <f>IFERROR(INDEX('3. AI Fit Diagnostic'!$R$8:$R$57,MATCH(8,'3. AI Fit Diagnostic'!$AC$8:$AC$57,0)),"")</f>
        <v>Generative AI assistant (off-the-shelf)</v>
      </c>
      <c r="D66" s="15" t="n"/>
      <c r="E66" s="59" t="str">
        <f>IFERROR(INDEX('3. AI Fit Diagnostic'!$W$8:$W$57,MATCH(8,'3. AI Fit Diagnostic'!$AC$8:$AC$57,0)),"")</f>
        <v>AI fit now</v>
      </c>
      <c r="F66" s="15" t="n"/>
      <c r="G66" s="38" t="str">
        <f>IFERROR(INDEX('3. AI Fit Diagnostic'!$Z$8:$Z$57,MATCH(8,'3. AI Fit Diagnostic'!$AC$8:$AC$57,0)),"")</f>
        <v>Medium</v>
      </c>
      <c r="H66" s="58" t="str">
        <f>IFERROR(INDEX('3. AI Fit Diagnostic'!$AD$8:$AD$57,MATCH(8,'3. AI Fit Diagnostic'!$AC$8:$AC$57,0)),"")</f>
        <v>H1 - Now (0-6 months)</v>
      </c>
      <c r="I66" s="60" t="str">
        <f>IFERROR(INDEX('3. AI Fit Diagnostic'!$AF$8:$AF$57,MATCH(8,'3. AI Fit Diagnostic'!$AC$8:$AC$57,0)),"")</f>
        <v>GenAI review of data-room documents against DD checklists with red-flag summaries.</v>
      </c>
      <c r="J66" s="15" t="n"/>
      <c r="K66" s="15" t="n"/>
    </row>
    <row r="67" ht="46" customHeight="1">
      <c r="A67" s="11" t="n">
        <v>9</v>
      </c>
      <c r="B67" s="26" t="str">
        <f>IFERROR(INDEX('3. AI Fit Diagnostic'!$AJ$8:$AJ$57,MATCH(9,'3. AI Fit Diagnostic'!$AC$8:$AC$57,0)),"")</f>
        <v>Tax research &amp; technical Q&amp;A</v>
      </c>
      <c r="C67" s="58" t="str">
        <f>IFERROR(INDEX('3. AI Fit Diagnostic'!$R$8:$R$57,MATCH(9,'3. AI Fit Diagnostic'!$AC$8:$AC$57,0)),"")</f>
        <v>GenAI knowledge assistant (RAG on own content)</v>
      </c>
      <c r="D67" s="15" t="n"/>
      <c r="E67" s="59" t="str">
        <f>IFERROR(INDEX('3. AI Fit Diagnostic'!$W$8:$W$57,MATCH(9,'3. AI Fit Diagnostic'!$AC$8:$AC$57,0)),"")</f>
        <v>AI fit now</v>
      </c>
      <c r="F67" s="15" t="n"/>
      <c r="G67" s="38" t="str">
        <f>IFERROR(INDEX('3. AI Fit Diagnostic'!$Z$8:$Z$57,MATCH(9,'3. AI Fit Diagnostic'!$AC$8:$AC$57,0)),"")</f>
        <v>Low</v>
      </c>
      <c r="H67" s="58" t="str">
        <f>IFERROR(INDEX('3. AI Fit Diagnostic'!$AD$8:$AD$57,MATCH(9,'3. AI Fit Diagnostic'!$AC$8:$AC$57,0)),"")</f>
        <v>H1 - Now (0-6 months)</v>
      </c>
      <c r="I67" s="60" t="str">
        <f>IFERROR(INDEX('3. AI Fit Diagnostic'!$AF$8:$AF$57,MATCH(9,'3. AI Fit Diagnostic'!$AC$8:$AC$57,0)),"")</f>
        <v>Grounded tax assistant over Bahrain / GCC tax law, NBR guidance and approved internal positions with citations.</v>
      </c>
      <c r="J67" s="15" t="n"/>
      <c r="K67" s="15" t="n"/>
    </row>
    <row r="68" ht="46" customHeight="1">
      <c r="A68" s="11" t="n">
        <v>10</v>
      </c>
      <c r="B68" s="26" t="str">
        <f>IFERROR(INDEX('3. AI Fit Diagnostic'!$AJ$8:$AJ$57,MATCH(10,'3. AI Fit Diagnostic'!$AC$8:$AC$57,0)),"")</f>
        <v>Proposal, quotation &amp; tender responses</v>
      </c>
      <c r="C68" s="58" t="str">
        <f>IFERROR(INDEX('3. AI Fit Diagnostic'!$R$8:$R$57,MATCH(10,'3. AI Fit Diagnostic'!$AC$8:$AC$57,0)),"")</f>
        <v>GenAI knowledge assistant (RAG on own content)</v>
      </c>
      <c r="D68" s="15" t="n"/>
      <c r="E68" s="59" t="str">
        <f>IFERROR(INDEX('3. AI Fit Diagnostic'!$W$8:$W$57,MATCH(10,'3. AI Fit Diagnostic'!$AC$8:$AC$57,0)),"")</f>
        <v>AI fit now</v>
      </c>
      <c r="F68" s="15" t="n"/>
      <c r="G68" s="38" t="str">
        <f>IFERROR(INDEX('3. AI Fit Diagnostic'!$Z$8:$Z$57,MATCH(10,'3. AI Fit Diagnostic'!$AC$8:$AC$57,0)),"")</f>
        <v>Low</v>
      </c>
      <c r="H68" s="58" t="str">
        <f>IFERROR(INDEX('3. AI Fit Diagnostic'!$AD$8:$AD$57,MATCH(10,'3. AI Fit Diagnostic'!$AC$8:$AC$57,0)),"")</f>
        <v>H1 - Now (0-6 months)</v>
      </c>
      <c r="I68" s="60" t="str">
        <f>IFERROR(INDEX('3. AI Fit Diagnostic'!$AF$8:$AF$57,MATCH(10,'3. AI Fit Diagnostic'!$AC$8:$AC$57,0)),"")</f>
        <v>Knowledge assistant over approved credentials, CVs and past proposals to draft responses; bid manager review.</v>
      </c>
      <c r="J68" s="15" t="n"/>
      <c r="K68" s="15" t="n"/>
    </row>
    <row r="70" ht="22" customHeight="1">
      <c r="A70" s="3" t="inlineStr">
        <is>
          <t>E. SECTOR LENS</t>
        </is>
      </c>
    </row>
    <row r="71" ht="30" customHeight="1">
      <c r="A71" s="4" t="inlineStr">
        <is>
          <t>Value at stake by 2030</t>
        </is>
      </c>
      <c r="B71" s="28" t="n"/>
      <c r="C71" s="61" t="str">
        <f>IFERROR(INDEX('7. Sector Profiles'!$B$5:$B$18,MATCH('1. AI Position'!$C$5,'7. Sector Profiles'!$A$5:$A$18,0)),"Select a sector on sheet 1")</f>
        <v>Not sized separately in the 2030 analysis - value from audit, tax and advisory delivery (e.g., full-population auditing, predictive tax modelling, DD review)</v>
      </c>
      <c r="D71" s="15" t="n"/>
      <c r="E71" s="15" t="n"/>
      <c r="F71" s="15" t="n"/>
      <c r="G71" s="15" t="n"/>
      <c r="H71" s="15" t="n"/>
      <c r="I71" s="15" t="n"/>
      <c r="J71" s="15" t="n"/>
      <c r="K71" s="15" t="n"/>
    </row>
    <row r="72" ht="18" customHeight="1">
      <c r="A72" s="4" t="inlineStr">
        <is>
          <t>Automation &amp; AI potential</t>
        </is>
      </c>
      <c r="B72" s="28" t="n"/>
      <c r="C72" s="61" t="str">
        <f>IFERROR(INDEX('7. Sector Profiles'!$C$5:$C$18,MATCH('1. AI Position'!$C$5,'7. Sector Profiles'!$A$5:$A$18,0)),"Select a sector on sheet 1")</f>
        <v>High</v>
      </c>
      <c r="D72" s="15" t="n"/>
      <c r="E72" s="15" t="n"/>
      <c r="F72" s="15" t="n"/>
      <c r="G72" s="15" t="n"/>
      <c r="H72" s="15" t="n"/>
      <c r="I72" s="15" t="n"/>
      <c r="J72" s="15" t="n"/>
      <c r="K72" s="15" t="n"/>
    </row>
    <row r="73" ht="30" customHeight="1">
      <c r="A73" s="4" t="inlineStr">
        <is>
          <t>Where the value is</t>
        </is>
      </c>
      <c r="B73" s="28" t="n"/>
      <c r="C73" s="61" t="str">
        <f>IFERROR(INDEX('7. Sector Profiles'!$D$5:$D$18,MATCH('1. AI Position'!$C$5,'7. Sector Profiles'!$A$5:$A$18,0)),"Select a sector on sheet 1")</f>
        <v>Audit analytics, drafting, tax research, DD review, practice operations</v>
      </c>
      <c r="D73" s="15" t="n"/>
      <c r="E73" s="15" t="n"/>
      <c r="F73" s="15" t="n"/>
      <c r="G73" s="15" t="n"/>
      <c r="H73" s="15" t="n"/>
      <c r="I73" s="15" t="n"/>
      <c r="J73" s="15" t="n"/>
      <c r="K73" s="15" t="n"/>
    </row>
    <row r="74" ht="30" customHeight="1">
      <c r="A74" s="4" t="inlineStr">
        <is>
          <t>Regulators &amp; key rules</t>
        </is>
      </c>
      <c r="B74" s="28" t="n"/>
      <c r="C74" s="61" t="str">
        <f>IFERROR(INDEX('7. Sector Profiles'!$E$5:$E$18,MATCH('1. AI Position'!$C$5,'7. Sector Profiles'!$A$5:$A$18,0)),"Select a sector on sheet 1")</f>
        <v>ISQM 1; IESBA Code; ISAs; client confidentiality; PDPL</v>
      </c>
      <c r="D74" s="15" t="n"/>
      <c r="E74" s="15" t="n"/>
      <c r="F74" s="15" t="n"/>
      <c r="G74" s="15" t="n"/>
      <c r="H74" s="15" t="n"/>
      <c r="I74" s="15" t="n"/>
      <c r="J74" s="15" t="n"/>
      <c r="K74" s="15" t="n"/>
    </row>
    <row r="75" ht="18" customHeight="1">
      <c r="A75" s="4" t="inlineStr">
        <is>
          <t>Library entries for this sector</t>
        </is>
      </c>
      <c r="B75" s="28" t="n"/>
      <c r="C75" s="61">
        <f>IFERROR(INDEX('7. Sector Profiles'!$F$5:$F$18,MATCH('1. AI Position'!$C$5,'7. Sector Profiles'!$A$5:$A$18,0)),"Select a sector on sheet 1")</f>
        <v>15</v>
      </c>
      <c r="D75" s="15" t="n"/>
      <c r="E75" s="15" t="n"/>
      <c r="F75" s="15" t="n"/>
      <c r="G75" s="15" t="n"/>
      <c r="H75" s="15" t="n"/>
      <c r="I75" s="15" t="n"/>
      <c r="J75" s="15" t="n"/>
      <c r="K75" s="15" t="n"/>
    </row>
    <row r="77" ht="28" customHeight="1">
      <c r="A77" s="62" t="inlineStr">
        <is>
          <t>Value and feasibility scored 1-5 (sheet 3). Hours released are indicative (effort x typical reduction for the solution family) and must be validated in the business case. Risk tiers are inherent (before controls) and never below the library minimum. Recommendations come from the GT AI Use-Case Library.</t>
        </is>
      </c>
      <c r="B77" s="15" t="n"/>
      <c r="C77" s="15" t="n"/>
      <c r="D77" s="15" t="n"/>
      <c r="E77" s="15" t="n"/>
      <c r="F77" s="15" t="n"/>
      <c r="G77" s="15" t="n"/>
      <c r="H77" s="15" t="n"/>
      <c r="I77" s="15" t="n"/>
      <c r="J77" s="15" t="n"/>
      <c r="K77" s="15" t="n"/>
    </row>
  </sheetData>
  <mergeCells count="74">
    <mergeCell ref="G58"/>
    <mergeCell ref="C62:D62"/>
    <mergeCell ref="C10:K10"/>
    <mergeCell ref="C68:D68"/>
    <mergeCell ref="E62:F62"/>
    <mergeCell ref="I66:K66"/>
    <mergeCell ref="E68:F68"/>
    <mergeCell ref="F18:K18"/>
    <mergeCell ref="A73:B73"/>
    <mergeCell ref="C75:K75"/>
    <mergeCell ref="C58:D58"/>
    <mergeCell ref="E67:F67"/>
    <mergeCell ref="C9:K9"/>
    <mergeCell ref="F17:K17"/>
    <mergeCell ref="I58:K58"/>
    <mergeCell ref="B20:K20"/>
    <mergeCell ref="C64:D64"/>
    <mergeCell ref="A1:K1"/>
    <mergeCell ref="A6:B6"/>
    <mergeCell ref="E64:F64"/>
    <mergeCell ref="I68:K68"/>
    <mergeCell ref="A70:K70"/>
    <mergeCell ref="A77:K77"/>
    <mergeCell ref="A58"/>
    <mergeCell ref="I62:K62"/>
    <mergeCell ref="A7:B7"/>
    <mergeCell ref="C71:K71"/>
    <mergeCell ref="I67:K67"/>
    <mergeCell ref="C63:D63"/>
    <mergeCell ref="C65:D65"/>
    <mergeCell ref="E63:F63"/>
    <mergeCell ref="A75:B75"/>
    <mergeCell ref="G13:K13"/>
    <mergeCell ref="A74:B74"/>
    <mergeCell ref="C8:K8"/>
    <mergeCell ref="E60:F60"/>
    <mergeCell ref="I64:K64"/>
    <mergeCell ref="C73:K73"/>
    <mergeCell ref="E65:F65"/>
    <mergeCell ref="C59:D59"/>
    <mergeCell ref="C7:K7"/>
    <mergeCell ref="E59:F59"/>
    <mergeCell ref="I63:K63"/>
    <mergeCell ref="A12:K12"/>
    <mergeCell ref="C72:K72"/>
    <mergeCell ref="B58"/>
    <mergeCell ref="H58"/>
    <mergeCell ref="C60:D60"/>
    <mergeCell ref="F14:K14"/>
    <mergeCell ref="I59:K59"/>
    <mergeCell ref="I60:K60"/>
    <mergeCell ref="A57:K57"/>
    <mergeCell ref="A5:B5"/>
    <mergeCell ref="A2:K2"/>
    <mergeCell ref="A71:B71"/>
    <mergeCell ref="I65:K65"/>
    <mergeCell ref="C61:D61"/>
    <mergeCell ref="E61:F61"/>
    <mergeCell ref="A8:B8"/>
    <mergeCell ref="C6:K6"/>
    <mergeCell ref="A22:K22"/>
    <mergeCell ref="A4:K4"/>
    <mergeCell ref="F16:K16"/>
    <mergeCell ref="A72:B72"/>
    <mergeCell ref="C5:K5"/>
    <mergeCell ref="C67:D67"/>
    <mergeCell ref="A10:B10"/>
    <mergeCell ref="C74:K74"/>
    <mergeCell ref="I61:K61"/>
    <mergeCell ref="C66:D66"/>
    <mergeCell ref="E66:F66"/>
    <mergeCell ref="A9:B9"/>
    <mergeCell ref="E58:F58"/>
    <mergeCell ref="F15:K15"/>
  </mergeCells>
  <conditionalFormatting sqref="C24:C34">
    <cfRule type="cellIs" priority="1" operator="greaterThan" dxfId="4">
      <formula>0</formula>
    </cfRule>
  </conditionalFormatting>
  <conditionalFormatting sqref="D24:D34">
    <cfRule type="cellIs" priority="2" operator="greaterThan" dxfId="3">
      <formula>0</formula>
    </cfRule>
  </conditionalFormatting>
  <conditionalFormatting sqref="E24:E34">
    <cfRule type="cellIs" priority="3" operator="greaterThan" dxfId="2">
      <formula>0</formula>
    </cfRule>
  </conditionalFormatting>
  <conditionalFormatting sqref="F24:F34">
    <cfRule type="cellIs" priority="4" operator="greaterThan" dxfId="5">
      <formula>0</formula>
    </cfRule>
  </conditionalFormatting>
  <conditionalFormatting sqref="G24:G34">
    <cfRule type="cellIs" priority="5" operator="greaterThan" dxfId="6">
      <formula>0</formula>
    </cfRule>
  </conditionalFormatting>
  <conditionalFormatting sqref="K24:K34">
    <cfRule type="cellIs" priority="6" operator="equal" dxfId="4">
      <formula>"AI opportunity"</formula>
    </cfRule>
    <cfRule type="cellIs" priority="7" operator="equal" dxfId="5">
      <formula>"Automation is enough"</formula>
    </cfRule>
  </conditionalFormatting>
  <conditionalFormatting sqref="E59:F68">
    <cfRule type="cellIs" priority="8" operator="equal" dxfId="4">
      <formula>"AI fit now"</formula>
    </cfRule>
    <cfRule type="cellIs" priority="9" operator="equal" dxfId="5">
      <formula>"Automate - AI not needed"</formula>
    </cfRule>
    <cfRule type="cellIs" priority="10" operator="equal" dxfId="2">
      <formula>"AI later - close data gap first"</formula>
    </cfRule>
    <cfRule type="cellIs" priority="11" operator="equal" dxfId="3">
      <formula>"Stretch - partner or later stage"</formula>
    </cfRule>
    <cfRule type="cellIs" priority="12" operator="equal" dxfId="6">
      <formula>"Redesign / standardise first"</formula>
    </cfRule>
  </conditionalFormatting>
  <conditionalFormatting sqref="G59:G68">
    <cfRule type="cellIs" priority="13" operator="equal" dxfId="1">
      <formula>"Low"</formula>
    </cfRule>
    <cfRule type="cellIs" priority="14" operator="equal" dxfId="2">
      <formula>"Medium"</formula>
    </cfRule>
    <cfRule type="cellIs" priority="15" operator="equal" dxfId="3">
      <formula>"High"</formula>
    </cfRule>
  </conditionalFormatting>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rowBreaks count="1" manualBreakCount="1">
    <brk id="56" min="0" max="16383" man="1"/>
  </rowBreaks>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H73"/>
  <sheetViews>
    <sheetView showGridLines="0" workbookViewId="0">
      <selection activeCell="A1" sqref="A1"/>
    </sheetView>
  </sheetViews>
  <sheetFormatPr baseColWidth="8" defaultRowHeight="15"/>
  <cols>
    <col width="6" customWidth="1" min="1" max="1"/>
    <col width="40" customWidth="1" min="2" max="2"/>
    <col width="24" customWidth="1" min="3" max="3"/>
    <col width="28" customWidth="1" min="4" max="4"/>
    <col width="24" customWidth="1" min="5" max="5"/>
    <col width="10" customWidth="1" min="6" max="6"/>
    <col width="10" customWidth="1" min="7" max="7"/>
    <col hidden="1" width="13" customWidth="1" min="8" max="8"/>
  </cols>
  <sheetData>
    <row r="1" ht="32" customHeight="1">
      <c r="A1" s="1" t="inlineStr">
        <is>
          <t>5. Opportunity Roadmap</t>
        </is>
      </c>
    </row>
    <row r="2" ht="32" customHeight="1">
      <c r="A2" s="2" t="inlineStr">
        <is>
          <t>Opportunities placed automatically by horizon (ordered by priority rank), with the foundations they depend on.</t>
        </is>
      </c>
    </row>
    <row r="4" ht="22" customHeight="1">
      <c r="A4" s="3" t="inlineStr">
        <is>
          <t>H1 - Now (0-6 months)</t>
        </is>
      </c>
    </row>
    <row r="5">
      <c r="A5" s="63" t="inlineStr">
        <is>
          <t>Rank</t>
        </is>
      </c>
      <c r="B5" s="63" t="inlineStr">
        <is>
          <t>Process / use case</t>
        </is>
      </c>
      <c r="C5" s="63" t="inlineStr">
        <is>
          <t>Function</t>
        </is>
      </c>
      <c r="D5" s="63" t="inlineStr">
        <is>
          <t>Solution family</t>
        </is>
      </c>
      <c r="E5" s="63" t="inlineStr">
        <is>
          <t>Verdict</t>
        </is>
      </c>
      <c r="F5" s="63" t="inlineStr">
        <is>
          <t>Risk tier</t>
        </is>
      </c>
      <c r="G5" s="63" t="inlineStr">
        <is>
          <t>Hours / yr</t>
        </is>
      </c>
    </row>
    <row r="6" ht="26" customHeight="1">
      <c r="A6" s="42">
        <f>IF($H6="","",INDEX('3. AI Fit Diagnostic'!$AC$8:$AC$57,MATCH($H6,'3. AI Fit Diagnostic'!$AI$8:$AI$57,0)))</f>
        <v>1</v>
      </c>
      <c r="B6" s="26" t="str">
        <f>IF($H6="","",INDEX('3. AI Fit Diagnostic'!$AJ$8:$AJ$57,MATCH($H6,'3. AI Fit Diagnostic'!$AI$8:$AI$57,0)))</f>
        <v>Tax - VAT / tax return data preparation</v>
      </c>
      <c r="C6" s="25" t="str">
        <f>IF($H6="","",INDEX('3. AI Fit Diagnostic'!$P$8:$P$57,MATCH($H6,'3. AI Fit Diagnostic'!$AI$8:$AI$57,0)))</f>
        <v>Core operations &amp; service delivery</v>
      </c>
      <c r="D6" s="25" t="str">
        <f>IF($H6="","",INDEX('3. AI Fit Diagnostic'!$R$8:$R$57,MATCH($H6,'3. AI Fit Diagnostic'!$AI$8:$AI$57,0)))</f>
        <v>Workflow automation / RPA</v>
      </c>
      <c r="E6" s="25" t="str">
        <f>IF($H6="","",INDEX('3. AI Fit Diagnostic'!$W$8:$W$57,MATCH($H6,'3. AI Fit Diagnostic'!$AI$8:$AI$57,0)))</f>
        <v>Automate - AI not needed</v>
      </c>
      <c r="F6" s="38" t="str">
        <f>IF($H6="","",INDEX('3. AI Fit Diagnostic'!$Z$8:$Z$57,MATCH($H6,'3. AI Fit Diagnostic'!$AI$8:$AI$57,0)))</f>
        <v>Low</v>
      </c>
      <c r="G6" s="43">
        <f>IF($H6="","",INDEX('3. AI Fit Diagnostic'!$AE$8:$AE$57,MATCH($H6,'3. AI Fit Diagnostic'!$AI$8:$AI$57,0)))</f>
        <v>1440</v>
      </c>
      <c r="H6">
        <f>IF(IFERROR(SMALL('3. AI Fit Diagnostic'!$AI$8:$AI$57,COUNTIF('3. AI Fit Diagnostic'!$AI$8:$AI$57,"&lt;"&amp;100)+1),"")="","",IF(IFERROR(SMALL('3. AI Fit Diagnostic'!$AI$8:$AI$57,COUNTIF('3. AI Fit Diagnostic'!$AI$8:$AI$57,"&lt;"&amp;100)+1),"")&lt;200,IFERROR(SMALL('3. AI Fit Diagnostic'!$AI$8:$AI$57,COUNTIF('3. AI Fit Diagnostic'!$AI$8:$AI$57,"&lt;"&amp;100)+1),""),""))</f>
        <v>101</v>
      </c>
    </row>
    <row r="7" ht="26" customHeight="1">
      <c r="A7" s="42">
        <f>IF($H7="","",INDEX('3. AI Fit Diagnostic'!$AC$8:$AC$57,MATCH($H7,'3. AI Fit Diagnostic'!$AI$8:$AI$57,0)))</f>
        <v>2</v>
      </c>
      <c r="B7" s="26" t="str">
        <f>IF($H7="","",INDEX('3. AI Fit Diagnostic'!$AJ$8:$AJ$57,MATCH($H7,'3. AI Fit Diagnostic'!$AI$8:$AI$57,0)))</f>
        <v>Timesheets, WIP &amp; billing</v>
      </c>
      <c r="C7" s="25" t="str">
        <f>IF($H7="","",INDEX('3. AI Fit Diagnostic'!$P$8:$P$57,MATCH($H7,'3. AI Fit Diagnostic'!$AI$8:$AI$57,0)))</f>
        <v>Finance &amp; accounting</v>
      </c>
      <c r="D7" s="25" t="str">
        <f>IF($H7="","",INDEX('3. AI Fit Diagnostic'!$R$8:$R$57,MATCH($H7,'3. AI Fit Diagnostic'!$AI$8:$AI$57,0)))</f>
        <v>Workflow automation / RPA</v>
      </c>
      <c r="E7" s="25" t="str">
        <f>IF($H7="","",INDEX('3. AI Fit Diagnostic'!$W$8:$W$57,MATCH($H7,'3. AI Fit Diagnostic'!$AI$8:$AI$57,0)))</f>
        <v>Automate - AI not needed</v>
      </c>
      <c r="F7" s="38" t="str">
        <f>IF($H7="","",INDEX('3. AI Fit Diagnostic'!$Z$8:$Z$57,MATCH($H7,'3. AI Fit Diagnostic'!$AI$8:$AI$57,0)))</f>
        <v>Low</v>
      </c>
      <c r="G7" s="43">
        <f>IF($H7="","",INDEX('3. AI Fit Diagnostic'!$AE$8:$AE$57,MATCH($H7,'3. AI Fit Diagnostic'!$AI$8:$AI$57,0)))</f>
        <v>1296</v>
      </c>
      <c r="H7">
        <f>IF(IFERROR(SMALL('3. AI Fit Diagnostic'!$AI$8:$AI$57,COUNTIF('3. AI Fit Diagnostic'!$AI$8:$AI$57,"&lt;"&amp;100)+2),"")="","",IF(IFERROR(SMALL('3. AI Fit Diagnostic'!$AI$8:$AI$57,COUNTIF('3. AI Fit Diagnostic'!$AI$8:$AI$57,"&lt;"&amp;100)+2),"")&lt;200,IFERROR(SMALL('3. AI Fit Diagnostic'!$AI$8:$AI$57,COUNTIF('3. AI Fit Diagnostic'!$AI$8:$AI$57,"&lt;"&amp;100)+2),""),""))</f>
        <v>102</v>
      </c>
    </row>
    <row r="8" ht="26" customHeight="1">
      <c r="A8" s="42">
        <f>IF($H8="","",INDEX('3. AI Fit Diagnostic'!$AC$8:$AC$57,MATCH($H8,'3. AI Fit Diagnostic'!$AI$8:$AI$57,0)))</f>
        <v>3</v>
      </c>
      <c r="B8" s="26" t="str">
        <f>IF($H8="","",INDEX('3. AI Fit Diagnostic'!$AJ$8:$AJ$57,MATCH($H8,'3. AI Fit Diagnostic'!$AI$8:$AI$57,0)))</f>
        <v>Meeting minutes &amp; action tracking</v>
      </c>
      <c r="C8" s="25" t="str">
        <f>IF($H8="","",INDEX('3. AI Fit Diagnostic'!$P$8:$P$57,MATCH($H8,'3. AI Fit Diagnostic'!$AI$8:$AI$57,0)))</f>
        <v>Strategy, management &amp; reporting</v>
      </c>
      <c r="D8" s="25" t="str">
        <f>IF($H8="","",INDEX('3. AI Fit Diagnostic'!$R$8:$R$57,MATCH($H8,'3. AI Fit Diagnostic'!$AI$8:$AI$57,0)))</f>
        <v>Generative AI assistant (off-the-shelf)</v>
      </c>
      <c r="E8" s="25" t="str">
        <f>IF($H8="","",INDEX('3. AI Fit Diagnostic'!$W$8:$W$57,MATCH($H8,'3. AI Fit Diagnostic'!$AI$8:$AI$57,0)))</f>
        <v>AI fit now</v>
      </c>
      <c r="F8" s="38" t="str">
        <f>IF($H8="","",INDEX('3. AI Fit Diagnostic'!$Z$8:$Z$57,MATCH($H8,'3. AI Fit Diagnostic'!$AI$8:$AI$57,0)))</f>
        <v>Low</v>
      </c>
      <c r="G8" s="43">
        <f>IF($H8="","",INDEX('3. AI Fit Diagnostic'!$AE$8:$AE$57,MATCH($H8,'3. AI Fit Diagnostic'!$AI$8:$AI$57,0)))</f>
        <v>900</v>
      </c>
      <c r="H8">
        <f>IF(IFERROR(SMALL('3. AI Fit Diagnostic'!$AI$8:$AI$57,COUNTIF('3. AI Fit Diagnostic'!$AI$8:$AI$57,"&lt;"&amp;100)+3),"")="","",IF(IFERROR(SMALL('3. AI Fit Diagnostic'!$AI$8:$AI$57,COUNTIF('3. AI Fit Diagnostic'!$AI$8:$AI$57,"&lt;"&amp;100)+3),"")&lt;200,IFERROR(SMALL('3. AI Fit Diagnostic'!$AI$8:$AI$57,COUNTIF('3. AI Fit Diagnostic'!$AI$8:$AI$57,"&lt;"&amp;100)+3),""),""))</f>
        <v>103</v>
      </c>
    </row>
    <row r="9" ht="26" customHeight="1">
      <c r="A9" s="42">
        <f>IF($H9="","",INDEX('3. AI Fit Diagnostic'!$AC$8:$AC$57,MATCH($H9,'3. AI Fit Diagnostic'!$AI$8:$AI$57,0)))</f>
        <v>4</v>
      </c>
      <c r="B9" s="26" t="str">
        <f>IF($H9="","",INDEX('3. AI Fit Diagnostic'!$AJ$8:$AJ$57,MATCH($H9,'3. AI Fit Diagnostic'!$AI$8:$AI$57,0)))</f>
        <v>Audit - working papers &amp; memo drafting</v>
      </c>
      <c r="C9" s="25" t="str">
        <f>IF($H9="","",INDEX('3. AI Fit Diagnostic'!$P$8:$P$57,MATCH($H9,'3. AI Fit Diagnostic'!$AI$8:$AI$57,0)))</f>
        <v>Core operations &amp; service delivery</v>
      </c>
      <c r="D9" s="25" t="str">
        <f>IF($H9="","",INDEX('3. AI Fit Diagnostic'!$R$8:$R$57,MATCH($H9,'3. AI Fit Diagnostic'!$AI$8:$AI$57,0)))</f>
        <v>Generative AI assistant (off-the-shelf)</v>
      </c>
      <c r="E9" s="25" t="str">
        <f>IF($H9="","",INDEX('3. AI Fit Diagnostic'!$W$8:$W$57,MATCH($H9,'3. AI Fit Diagnostic'!$AI$8:$AI$57,0)))</f>
        <v>AI fit now</v>
      </c>
      <c r="F9" s="38" t="str">
        <f>IF($H9="","",INDEX('3. AI Fit Diagnostic'!$Z$8:$Z$57,MATCH($H9,'3. AI Fit Diagnostic'!$AI$8:$AI$57,0)))</f>
        <v>Medium</v>
      </c>
      <c r="G9" s="43">
        <f>IF($H9="","",INDEX('3. AI Fit Diagnostic'!$AE$8:$AE$57,MATCH($H9,'3. AI Fit Diagnostic'!$AI$8:$AI$57,0)))</f>
        <v>1440</v>
      </c>
      <c r="H9">
        <f>IF(IFERROR(SMALL('3. AI Fit Diagnostic'!$AI$8:$AI$57,COUNTIF('3. AI Fit Diagnostic'!$AI$8:$AI$57,"&lt;"&amp;100)+4),"")="","",IF(IFERROR(SMALL('3. AI Fit Diagnostic'!$AI$8:$AI$57,COUNTIF('3. AI Fit Diagnostic'!$AI$8:$AI$57,"&lt;"&amp;100)+4),"")&lt;200,IFERROR(SMALL('3. AI Fit Diagnostic'!$AI$8:$AI$57,COUNTIF('3. AI Fit Diagnostic'!$AI$8:$AI$57,"&lt;"&amp;100)+4),""),""))</f>
        <v>104</v>
      </c>
    </row>
    <row r="10" ht="26" customHeight="1">
      <c r="A10" s="42">
        <f>IF($H10="","",INDEX('3. AI Fit Diagnostic'!$AC$8:$AC$57,MATCH($H10,'3. AI Fit Diagnostic'!$AI$8:$AI$57,0)))</f>
        <v>5</v>
      </c>
      <c r="B10" s="26" t="str">
        <f>IF($H10="","",INDEX('3. AI Fit Diagnostic'!$AJ$8:$AJ$57,MATCH($H10,'3. AI Fit Diagnostic'!$AI$8:$AI$57,0)))</f>
        <v>Client acceptance &amp; independence checks</v>
      </c>
      <c r="C10" s="25" t="str">
        <f>IF($H10="","",INDEX('3. AI Fit Diagnostic'!$P$8:$P$57,MATCH($H10,'3. AI Fit Diagnostic'!$AI$8:$AI$57,0)))</f>
        <v>Risk, compliance &amp; legal</v>
      </c>
      <c r="D10" s="25" t="str">
        <f>IF($H10="","",INDEX('3. AI Fit Diagnostic'!$R$8:$R$57,MATCH($H10,'3. AI Fit Diagnostic'!$AI$8:$AI$57,0)))</f>
        <v>Rules engine / workflow automation</v>
      </c>
      <c r="E10" s="25" t="str">
        <f>IF($H10="","",INDEX('3. AI Fit Diagnostic'!$W$8:$W$57,MATCH($H10,'3. AI Fit Diagnostic'!$AI$8:$AI$57,0)))</f>
        <v>Automate - AI not needed</v>
      </c>
      <c r="F10" s="38" t="str">
        <f>IF($H10="","",INDEX('3. AI Fit Diagnostic'!$Z$8:$Z$57,MATCH($H10,'3. AI Fit Diagnostic'!$AI$8:$AI$57,0)))</f>
        <v>Low</v>
      </c>
      <c r="G10" s="43">
        <f>IF($H10="","",INDEX('3. AI Fit Diagnostic'!$AE$8:$AE$57,MATCH($H10,'3. AI Fit Diagnostic'!$AI$8:$AI$57,0)))</f>
        <v>840</v>
      </c>
      <c r="H10">
        <f>IF(IFERROR(SMALL('3. AI Fit Diagnostic'!$AI$8:$AI$57,COUNTIF('3. AI Fit Diagnostic'!$AI$8:$AI$57,"&lt;"&amp;100)+5),"")="","",IF(IFERROR(SMALL('3. AI Fit Diagnostic'!$AI$8:$AI$57,COUNTIF('3. AI Fit Diagnostic'!$AI$8:$AI$57,"&lt;"&amp;100)+5),"")&lt;200,IFERROR(SMALL('3. AI Fit Diagnostic'!$AI$8:$AI$57,COUNTIF('3. AI Fit Diagnostic'!$AI$8:$AI$57,"&lt;"&amp;100)+5),""),""))</f>
        <v>105</v>
      </c>
    </row>
    <row r="11" ht="26" customHeight="1">
      <c r="A11" s="42">
        <f>IF($H11="","",INDEX('3. AI Fit Diagnostic'!$AC$8:$AC$57,MATCH($H11,'3. AI Fit Diagnostic'!$AI$8:$AI$57,0)))</f>
        <v>6</v>
      </c>
      <c r="B11" s="26" t="str">
        <f>IF($H11="","",INDEX('3. AI Fit Diagnostic'!$AJ$8:$AJ$57,MATCH($H11,'3. AI Fit Diagnostic'!$AI$8:$AI$57,0)))</f>
        <v>Audit - bank &amp; external confirmations</v>
      </c>
      <c r="C11" s="25" t="str">
        <f>IF($H11="","",INDEX('3. AI Fit Diagnostic'!$P$8:$P$57,MATCH($H11,'3. AI Fit Diagnostic'!$AI$8:$AI$57,0)))</f>
        <v>Core operations &amp; service delivery</v>
      </c>
      <c r="D11" s="25" t="str">
        <f>IF($H11="","",INDEX('3. AI Fit Diagnostic'!$R$8:$R$57,MATCH($H11,'3. AI Fit Diagnostic'!$AI$8:$AI$57,0)))</f>
        <v>Intelligent document processing (IDP)</v>
      </c>
      <c r="E11" s="25" t="str">
        <f>IF($H11="","",INDEX('3. AI Fit Diagnostic'!$W$8:$W$57,MATCH($H11,'3. AI Fit Diagnostic'!$AI$8:$AI$57,0)))</f>
        <v>AI fit now</v>
      </c>
      <c r="F11" s="38" t="str">
        <f>IF($H11="","",INDEX('3. AI Fit Diagnostic'!$Z$8:$Z$57,MATCH($H11,'3. AI Fit Diagnostic'!$AI$8:$AI$57,0)))</f>
        <v>Medium</v>
      </c>
      <c r="G11" s="43">
        <f>IF($H11="","",INDEX('3. AI Fit Diagnostic'!$AE$8:$AE$57,MATCH($H11,'3. AI Fit Diagnostic'!$AI$8:$AI$57,0)))</f>
        <v>720</v>
      </c>
      <c r="H11">
        <f>IF(IFERROR(SMALL('3. AI Fit Diagnostic'!$AI$8:$AI$57,COUNTIF('3. AI Fit Diagnostic'!$AI$8:$AI$57,"&lt;"&amp;100)+6),"")="","",IF(IFERROR(SMALL('3. AI Fit Diagnostic'!$AI$8:$AI$57,COUNTIF('3. AI Fit Diagnostic'!$AI$8:$AI$57,"&lt;"&amp;100)+6),"")&lt;200,IFERROR(SMALL('3. AI Fit Diagnostic'!$AI$8:$AI$57,COUNTIF('3. AI Fit Diagnostic'!$AI$8:$AI$57,"&lt;"&amp;100)+6),""),""))</f>
        <v>106</v>
      </c>
    </row>
    <row r="12" ht="26" customHeight="1">
      <c r="A12" s="42">
        <f>IF($H12="","",INDEX('3. AI Fit Diagnostic'!$AC$8:$AC$57,MATCH($H12,'3. AI Fit Diagnostic'!$AI$8:$AI$57,0)))</f>
        <v>7</v>
      </c>
      <c r="B12" s="26" t="str">
        <f>IF($H12="","",INDEX('3. AI Fit Diagnostic'!$AJ$8:$AJ$57,MATCH($H12,'3. AI Fit Diagnostic'!$AI$8:$AI$57,0)))</f>
        <v>Methodology &amp; knowledge Q&amp;A</v>
      </c>
      <c r="C12" s="25" t="str">
        <f>IF($H12="","",INDEX('3. AI Fit Diagnostic'!$P$8:$P$57,MATCH($H12,'3. AI Fit Diagnostic'!$AI$8:$AI$57,0)))</f>
        <v>Knowledge &amp; collaboration</v>
      </c>
      <c r="D12" s="25" t="str">
        <f>IF($H12="","",INDEX('3. AI Fit Diagnostic'!$R$8:$R$57,MATCH($H12,'3. AI Fit Diagnostic'!$AI$8:$AI$57,0)))</f>
        <v>GenAI knowledge assistant (RAG on own content)</v>
      </c>
      <c r="E12" s="25" t="str">
        <f>IF($H12="","",INDEX('3. AI Fit Diagnostic'!$W$8:$W$57,MATCH($H12,'3. AI Fit Diagnostic'!$AI$8:$AI$57,0)))</f>
        <v>AI fit now</v>
      </c>
      <c r="F12" s="38" t="str">
        <f>IF($H12="","",INDEX('3. AI Fit Diagnostic'!$Z$8:$Z$57,MATCH($H12,'3. AI Fit Diagnostic'!$AI$8:$AI$57,0)))</f>
        <v>Low</v>
      </c>
      <c r="G12" s="43">
        <f>IF($H12="","",INDEX('3. AI Fit Diagnostic'!$AE$8:$AE$57,MATCH($H12,'3. AI Fit Diagnostic'!$AI$8:$AI$57,0)))</f>
        <v>600</v>
      </c>
      <c r="H12">
        <f>IF(IFERROR(SMALL('3. AI Fit Diagnostic'!$AI$8:$AI$57,COUNTIF('3. AI Fit Diagnostic'!$AI$8:$AI$57,"&lt;"&amp;100)+7),"")="","",IF(IFERROR(SMALL('3. AI Fit Diagnostic'!$AI$8:$AI$57,COUNTIF('3. AI Fit Diagnostic'!$AI$8:$AI$57,"&lt;"&amp;100)+7),"")&lt;200,IFERROR(SMALL('3. AI Fit Diagnostic'!$AI$8:$AI$57,COUNTIF('3. AI Fit Diagnostic'!$AI$8:$AI$57,"&lt;"&amp;100)+7),""),""))</f>
        <v>107</v>
      </c>
    </row>
    <row r="13" ht="26" customHeight="1">
      <c r="A13" s="42">
        <f>IF($H13="","",INDEX('3. AI Fit Diagnostic'!$AC$8:$AC$57,MATCH($H13,'3. AI Fit Diagnostic'!$AI$8:$AI$57,0)))</f>
        <v>8</v>
      </c>
      <c r="B13" s="26" t="str">
        <f>IF($H13="","",INDEX('3. AI Fit Diagnostic'!$AJ$8:$AJ$57,MATCH($H13,'3. AI Fit Diagnostic'!$AI$8:$AI$57,0)))</f>
        <v>Advisory - due-diligence data-room review</v>
      </c>
      <c r="C13" s="25" t="str">
        <f>IF($H13="","",INDEX('3. AI Fit Diagnostic'!$P$8:$P$57,MATCH($H13,'3. AI Fit Diagnostic'!$AI$8:$AI$57,0)))</f>
        <v>Core operations &amp; service delivery</v>
      </c>
      <c r="D13" s="25" t="str">
        <f>IF($H13="","",INDEX('3. AI Fit Diagnostic'!$R$8:$R$57,MATCH($H13,'3. AI Fit Diagnostic'!$AI$8:$AI$57,0)))</f>
        <v>Generative AI assistant (off-the-shelf)</v>
      </c>
      <c r="E13" s="25" t="str">
        <f>IF($H13="","",INDEX('3. AI Fit Diagnostic'!$W$8:$W$57,MATCH($H13,'3. AI Fit Diagnostic'!$AI$8:$AI$57,0)))</f>
        <v>AI fit now</v>
      </c>
      <c r="F13" s="38" t="str">
        <f>IF($H13="","",INDEX('3. AI Fit Diagnostic'!$Z$8:$Z$57,MATCH($H13,'3. AI Fit Diagnostic'!$AI$8:$AI$57,0)))</f>
        <v>Medium</v>
      </c>
      <c r="G13" s="43">
        <f>IF($H13="","",INDEX('3. AI Fit Diagnostic'!$AE$8:$AE$57,MATCH($H13,'3. AI Fit Diagnostic'!$AI$8:$AI$57,0)))</f>
        <v>792</v>
      </c>
      <c r="H13">
        <f>IF(IFERROR(SMALL('3. AI Fit Diagnostic'!$AI$8:$AI$57,COUNTIF('3. AI Fit Diagnostic'!$AI$8:$AI$57,"&lt;"&amp;100)+8),"")="","",IF(IFERROR(SMALL('3. AI Fit Diagnostic'!$AI$8:$AI$57,COUNTIF('3. AI Fit Diagnostic'!$AI$8:$AI$57,"&lt;"&amp;100)+8),"")&lt;200,IFERROR(SMALL('3. AI Fit Diagnostic'!$AI$8:$AI$57,COUNTIF('3. AI Fit Diagnostic'!$AI$8:$AI$57,"&lt;"&amp;100)+8),""),""))</f>
        <v>108</v>
      </c>
    </row>
    <row r="14" ht="26" customHeight="1">
      <c r="A14" s="42">
        <f>IF($H14="","",INDEX('3. AI Fit Diagnostic'!$AC$8:$AC$57,MATCH($H14,'3. AI Fit Diagnostic'!$AI$8:$AI$57,0)))</f>
        <v>9</v>
      </c>
      <c r="B14" s="26" t="str">
        <f>IF($H14="","",INDEX('3. AI Fit Diagnostic'!$AJ$8:$AJ$57,MATCH($H14,'3. AI Fit Diagnostic'!$AI$8:$AI$57,0)))</f>
        <v>Tax research &amp; technical Q&amp;A</v>
      </c>
      <c r="C14" s="25" t="str">
        <f>IF($H14="","",INDEX('3. AI Fit Diagnostic'!$P$8:$P$57,MATCH($H14,'3. AI Fit Diagnostic'!$AI$8:$AI$57,0)))</f>
        <v>Core operations &amp; service delivery</v>
      </c>
      <c r="D14" s="25" t="str">
        <f>IF($H14="","",INDEX('3. AI Fit Diagnostic'!$R$8:$R$57,MATCH($H14,'3. AI Fit Diagnostic'!$AI$8:$AI$57,0)))</f>
        <v>GenAI knowledge assistant (RAG on own content)</v>
      </c>
      <c r="E14" s="25" t="str">
        <f>IF($H14="","",INDEX('3. AI Fit Diagnostic'!$W$8:$W$57,MATCH($H14,'3. AI Fit Diagnostic'!$AI$8:$AI$57,0)))</f>
        <v>AI fit now</v>
      </c>
      <c r="F14" s="38" t="str">
        <f>IF($H14="","",INDEX('3. AI Fit Diagnostic'!$Z$8:$Z$57,MATCH($H14,'3. AI Fit Diagnostic'!$AI$8:$AI$57,0)))</f>
        <v>Low</v>
      </c>
      <c r="G14" s="43">
        <f>IF($H14="","",INDEX('3. AI Fit Diagnostic'!$AE$8:$AE$57,MATCH($H14,'3. AI Fit Diagnostic'!$AI$8:$AI$57,0)))</f>
        <v>480</v>
      </c>
      <c r="H14">
        <f>IF(IFERROR(SMALL('3. AI Fit Diagnostic'!$AI$8:$AI$57,COUNTIF('3. AI Fit Diagnostic'!$AI$8:$AI$57,"&lt;"&amp;100)+9),"")="","",IF(IFERROR(SMALL('3. AI Fit Diagnostic'!$AI$8:$AI$57,COUNTIF('3. AI Fit Diagnostic'!$AI$8:$AI$57,"&lt;"&amp;100)+9),"")&lt;200,IFERROR(SMALL('3. AI Fit Diagnostic'!$AI$8:$AI$57,COUNTIF('3. AI Fit Diagnostic'!$AI$8:$AI$57,"&lt;"&amp;100)+9),""),""))</f>
        <v>109</v>
      </c>
    </row>
    <row r="15" ht="26" customHeight="1">
      <c r="A15" s="42">
        <f>IF($H15="","",INDEX('3. AI Fit Diagnostic'!$AC$8:$AC$57,MATCH($H15,'3. AI Fit Diagnostic'!$AI$8:$AI$57,0)))</f>
        <v>10</v>
      </c>
      <c r="B15" s="26" t="str">
        <f>IF($H15="","",INDEX('3. AI Fit Diagnostic'!$AJ$8:$AJ$57,MATCH($H15,'3. AI Fit Diagnostic'!$AI$8:$AI$57,0)))</f>
        <v>Proposal, quotation &amp; tender responses</v>
      </c>
      <c r="C15" s="25" t="str">
        <f>IF($H15="","",INDEX('3. AI Fit Diagnostic'!$P$8:$P$57,MATCH($H15,'3. AI Fit Diagnostic'!$AI$8:$AI$57,0)))</f>
        <v>Sales &amp; marketing</v>
      </c>
      <c r="D15" s="25" t="str">
        <f>IF($H15="","",INDEX('3. AI Fit Diagnostic'!$R$8:$R$57,MATCH($H15,'3. AI Fit Diagnostic'!$AI$8:$AI$57,0)))</f>
        <v>GenAI knowledge assistant (RAG on own content)</v>
      </c>
      <c r="E15" s="25" t="str">
        <f>IF($H15="","",INDEX('3. AI Fit Diagnostic'!$W$8:$W$57,MATCH($H15,'3. AI Fit Diagnostic'!$AI$8:$AI$57,0)))</f>
        <v>AI fit now</v>
      </c>
      <c r="F15" s="38" t="str">
        <f>IF($H15="","",INDEX('3. AI Fit Diagnostic'!$Z$8:$Z$57,MATCH($H15,'3. AI Fit Diagnostic'!$AI$8:$AI$57,0)))</f>
        <v>Low</v>
      </c>
      <c r="G15" s="43">
        <f>IF($H15="","",INDEX('3. AI Fit Diagnostic'!$AE$8:$AE$57,MATCH($H15,'3. AI Fit Diagnostic'!$AI$8:$AI$57,0)))</f>
        <v>1050</v>
      </c>
      <c r="H15">
        <f>IF(IFERROR(SMALL('3. AI Fit Diagnostic'!$AI$8:$AI$57,COUNTIF('3. AI Fit Diagnostic'!$AI$8:$AI$57,"&lt;"&amp;100)+10),"")="","",IF(IFERROR(SMALL('3. AI Fit Diagnostic'!$AI$8:$AI$57,COUNTIF('3. AI Fit Diagnostic'!$AI$8:$AI$57,"&lt;"&amp;100)+10),"")&lt;200,IFERROR(SMALL('3. AI Fit Diagnostic'!$AI$8:$AI$57,COUNTIF('3. AI Fit Diagnostic'!$AI$8:$AI$57,"&lt;"&amp;100)+10),""),""))</f>
        <v>110</v>
      </c>
    </row>
    <row r="16" ht="26" customHeight="1">
      <c r="A16" s="42">
        <f>IF($H16="","",INDEX('3. AI Fit Diagnostic'!$AC$8:$AC$57,MATCH($H16,'3. AI Fit Diagnostic'!$AI$8:$AI$57,0)))</f>
        <v>11</v>
      </c>
      <c r="B16" s="26" t="str">
        <f>IF($H16="","",INDEX('3. AI Fit Diagnostic'!$AJ$8:$AJ$57,MATCH($H16,'3. AI Fit Diagnostic'!$AI$8:$AI$57,0)))</f>
        <v>Client BCP &amp; business impact analysis (GT AI BCP tool - in preparation)</v>
      </c>
      <c r="C16" s="25" t="str">
        <f>IF($H16="","",INDEX('3. AI Fit Diagnostic'!$P$8:$P$57,MATCH($H16,'3. AI Fit Diagnostic'!$AI$8:$AI$57,0)))</f>
        <v>Risk, compliance &amp; legal</v>
      </c>
      <c r="D16" s="25" t="str">
        <f>IF($H16="","",INDEX('3. AI Fit Diagnostic'!$R$8:$R$57,MATCH($H16,'3. AI Fit Diagnostic'!$AI$8:$AI$57,0)))</f>
        <v>Generative AI assistant (off-the-shelf)</v>
      </c>
      <c r="E16" s="25" t="str">
        <f>IF($H16="","",INDEX('3. AI Fit Diagnostic'!$W$8:$W$57,MATCH($H16,'3. AI Fit Diagnostic'!$AI$8:$AI$57,0)))</f>
        <v>AI fit now</v>
      </c>
      <c r="F16" s="38" t="str">
        <f>IF($H16="","",INDEX('3. AI Fit Diagnostic'!$Z$8:$Z$57,MATCH($H16,'3. AI Fit Diagnostic'!$AI$8:$AI$57,0)))</f>
        <v>Medium</v>
      </c>
      <c r="G16" s="43">
        <f>IF($H16="","",INDEX('3. AI Fit Diagnostic'!$AE$8:$AE$57,MATCH($H16,'3. AI Fit Diagnostic'!$AI$8:$AI$57,0)))</f>
        <v>720</v>
      </c>
      <c r="H16">
        <f>IF(IFERROR(SMALL('3. AI Fit Diagnostic'!$AI$8:$AI$57,COUNTIF('3. AI Fit Diagnostic'!$AI$8:$AI$57,"&lt;"&amp;100)+11),"")="","",IF(IFERROR(SMALL('3. AI Fit Diagnostic'!$AI$8:$AI$57,COUNTIF('3. AI Fit Diagnostic'!$AI$8:$AI$57,"&lt;"&amp;100)+11),"")&lt;200,IFERROR(SMALL('3. AI Fit Diagnostic'!$AI$8:$AI$57,COUNTIF('3. AI Fit Diagnostic'!$AI$8:$AI$57,"&lt;"&amp;100)+11),""),""))</f>
        <v>111</v>
      </c>
    </row>
    <row r="17" ht="26" customHeight="1">
      <c r="A17" s="42">
        <f>IF($H17="","",INDEX('3. AI Fit Diagnostic'!$AC$8:$AC$57,MATCH($H17,'3. AI Fit Diagnostic'!$AI$8:$AI$57,0)))</f>
        <v>12</v>
      </c>
      <c r="B17" s="26" t="str">
        <f>IF($H17="","",INDEX('3. AI Fit Diagnostic'!$AJ$8:$AJ$57,MATCH($H17,'3. AI Fit Diagnostic'!$AI$8:$AI$57,0)))</f>
        <v>Marketing content &amp; campaigns</v>
      </c>
      <c r="C17" s="25" t="str">
        <f>IF($H17="","",INDEX('3. AI Fit Diagnostic'!$P$8:$P$57,MATCH($H17,'3. AI Fit Diagnostic'!$AI$8:$AI$57,0)))</f>
        <v>Sales &amp; marketing</v>
      </c>
      <c r="D17" s="25" t="str">
        <f>IF($H17="","",INDEX('3. AI Fit Diagnostic'!$R$8:$R$57,MATCH($H17,'3. AI Fit Diagnostic'!$AI$8:$AI$57,0)))</f>
        <v>Generative AI assistant (off-the-shelf)</v>
      </c>
      <c r="E17" s="25" t="str">
        <f>IF($H17="","",INDEX('3. AI Fit Diagnostic'!$W$8:$W$57,MATCH($H17,'3. AI Fit Diagnostic'!$AI$8:$AI$57,0)))</f>
        <v>AI fit now</v>
      </c>
      <c r="F17" s="38" t="str">
        <f>IF($H17="","",INDEX('3. AI Fit Diagnostic'!$Z$8:$Z$57,MATCH($H17,'3. AI Fit Diagnostic'!$AI$8:$AI$57,0)))</f>
        <v>Low</v>
      </c>
      <c r="G17" s="43">
        <f>IF($H17="","",INDEX('3. AI Fit Diagnostic'!$AE$8:$AE$57,MATCH($H17,'3. AI Fit Diagnostic'!$AI$8:$AI$57,0)))</f>
        <v>288</v>
      </c>
      <c r="H17">
        <f>IF(IFERROR(SMALL('3. AI Fit Diagnostic'!$AI$8:$AI$57,COUNTIF('3. AI Fit Diagnostic'!$AI$8:$AI$57,"&lt;"&amp;100)+12),"")="","",IF(IFERROR(SMALL('3. AI Fit Diagnostic'!$AI$8:$AI$57,COUNTIF('3. AI Fit Diagnostic'!$AI$8:$AI$57,"&lt;"&amp;100)+12),"")&lt;200,IFERROR(SMALL('3. AI Fit Diagnostic'!$AI$8:$AI$57,COUNTIF('3. AI Fit Diagnostic'!$AI$8:$AI$57,"&lt;"&amp;100)+12),""),""))</f>
        <v>112</v>
      </c>
    </row>
    <row r="18" ht="26" customHeight="1">
      <c r="A18" s="42">
        <f>IF($H18="","",INDEX('3. AI Fit Diagnostic'!$AC$8:$AC$57,MATCH($H18,'3. AI Fit Diagnostic'!$AI$8:$AI$57,0)))</f>
        <v>13</v>
      </c>
      <c r="B18" s="26" t="str">
        <f>IF($H18="","",INDEX('3. AI Fit Diagnostic'!$AJ$8:$AJ$57,MATCH($H18,'3. AI Fit Diagnostic'!$AI$8:$AI$57,0)))</f>
        <v>Assessment &amp; maturity report production</v>
      </c>
      <c r="C18" s="25" t="str">
        <f>IF($H18="","",INDEX('3. AI Fit Diagnostic'!$P$8:$P$57,MATCH($H18,'3. AI Fit Diagnostic'!$AI$8:$AI$57,0)))</f>
        <v>Core operations &amp; service delivery</v>
      </c>
      <c r="D18" s="25" t="str">
        <f>IF($H18="","",INDEX('3. AI Fit Diagnostic'!$R$8:$R$57,MATCH($H18,'3. AI Fit Diagnostic'!$AI$8:$AI$57,0)))</f>
        <v>Workflow automation / RPA</v>
      </c>
      <c r="E18" s="25" t="str">
        <f>IF($H18="","",INDEX('3. AI Fit Diagnostic'!$W$8:$W$57,MATCH($H18,'3. AI Fit Diagnostic'!$AI$8:$AI$57,0)))</f>
        <v>Automate - AI not needed</v>
      </c>
      <c r="F18" s="38" t="str">
        <f>IF($H18="","",INDEX('3. AI Fit Diagnostic'!$Z$8:$Z$57,MATCH($H18,'3. AI Fit Diagnostic'!$AI$8:$AI$57,0)))</f>
        <v>Low</v>
      </c>
      <c r="G18" s="43">
        <f>IF($H18="","",INDEX('3. AI Fit Diagnostic'!$AE$8:$AE$57,MATCH($H18,'3. AI Fit Diagnostic'!$AI$8:$AI$57,0)))</f>
        <v>288</v>
      </c>
      <c r="H18">
        <f>IF(IFERROR(SMALL('3. AI Fit Diagnostic'!$AI$8:$AI$57,COUNTIF('3. AI Fit Diagnostic'!$AI$8:$AI$57,"&lt;"&amp;100)+13),"")="","",IF(IFERROR(SMALL('3. AI Fit Diagnostic'!$AI$8:$AI$57,COUNTIF('3. AI Fit Diagnostic'!$AI$8:$AI$57,"&lt;"&amp;100)+13),"")&lt;200,IFERROR(SMALL('3. AI Fit Diagnostic'!$AI$8:$AI$57,COUNTIF('3. AI Fit Diagnostic'!$AI$8:$AI$57,"&lt;"&amp;100)+13),""),""))</f>
        <v>113</v>
      </c>
    </row>
    <row r="19" ht="26" customHeight="1">
      <c r="A19" s="42">
        <f>IF($H19="","",INDEX('3. AI Fit Diagnostic'!$AC$8:$AC$57,MATCH($H19,'3. AI Fit Diagnostic'!$AI$8:$AI$57,0)))</f>
        <v>16</v>
      </c>
      <c r="B19" s="26" t="str">
        <f>IF($H19="","",INDEX('3. AI Fit Diagnostic'!$AJ$8:$AJ$57,MATCH($H19,'3. AI Fit Diagnostic'!$AI$8:$AI$57,0)))</f>
        <v>KPI dashboards</v>
      </c>
      <c r="C19" s="25" t="str">
        <f>IF($H19="","",INDEX('3. AI Fit Diagnostic'!$P$8:$P$57,MATCH($H19,'3. AI Fit Diagnostic'!$AI$8:$AI$57,0)))</f>
        <v>Strategy, management &amp; reporting</v>
      </c>
      <c r="D19" s="25" t="str">
        <f>IF($H19="","",INDEX('3. AI Fit Diagnostic'!$R$8:$R$57,MATCH($H19,'3. AI Fit Diagnostic'!$AI$8:$AI$57,0)))</f>
        <v>BI, dashboards &amp; reconciliation automation</v>
      </c>
      <c r="E19" s="25" t="str">
        <f>IF($H19="","",INDEX('3. AI Fit Diagnostic'!$W$8:$W$57,MATCH($H19,'3. AI Fit Diagnostic'!$AI$8:$AI$57,0)))</f>
        <v>Automate - AI not needed</v>
      </c>
      <c r="F19" s="38" t="str">
        <f>IF($H19="","",INDEX('3. AI Fit Diagnostic'!$Z$8:$Z$57,MATCH($H19,'3. AI Fit Diagnostic'!$AI$8:$AI$57,0)))</f>
        <v>Low</v>
      </c>
      <c r="G19" s="43">
        <f>IF($H19="","",INDEX('3. AI Fit Diagnostic'!$AE$8:$AE$57,MATCH($H19,'3. AI Fit Diagnostic'!$AI$8:$AI$57,0)))</f>
        <v>300</v>
      </c>
      <c r="H19">
        <f>IF(IFERROR(SMALL('3. AI Fit Diagnostic'!$AI$8:$AI$57,COUNTIF('3. AI Fit Diagnostic'!$AI$8:$AI$57,"&lt;"&amp;100)+14),"")="","",IF(IFERROR(SMALL('3. AI Fit Diagnostic'!$AI$8:$AI$57,COUNTIF('3. AI Fit Diagnostic'!$AI$8:$AI$57,"&lt;"&amp;100)+14),"")&lt;200,IFERROR(SMALL('3. AI Fit Diagnostic'!$AI$8:$AI$57,COUNTIF('3. AI Fit Diagnostic'!$AI$8:$AI$57,"&lt;"&amp;100)+14),""),""))</f>
        <v>116</v>
      </c>
    </row>
    <row r="20" ht="26" customHeight="1">
      <c r="A20" s="42">
        <f>IF($H20="","",INDEX('3. AI Fit Diagnostic'!$AC$8:$AC$57,MATCH($H20,'3. AI Fit Diagnostic'!$AI$8:$AI$57,0)))</f>
        <v>17</v>
      </c>
      <c r="B20" s="26" t="str">
        <f>IF($H20="","",INDEX('3. AI Fit Diagnostic'!$AJ$8:$AJ$57,MATCH($H20,'3. AI Fit Diagnostic'!$AI$8:$AI$57,0)))</f>
        <v>Employee HR queries (leave, policies, payslips)</v>
      </c>
      <c r="C20" s="25" t="str">
        <f>IF($H20="","",INDEX('3. AI Fit Diagnostic'!$P$8:$P$57,MATCH($H20,'3. AI Fit Diagnostic'!$AI$8:$AI$57,0)))</f>
        <v>HR &amp; people</v>
      </c>
      <c r="D20" s="25" t="str">
        <f>IF($H20="","",INDEX('3. AI Fit Diagnostic'!$R$8:$R$57,MATCH($H20,'3. AI Fit Diagnostic'!$AI$8:$AI$57,0)))</f>
        <v>Conversational AI / virtual agent</v>
      </c>
      <c r="E20" s="25" t="str">
        <f>IF($H20="","",INDEX('3. AI Fit Diagnostic'!$W$8:$W$57,MATCH($H20,'3. AI Fit Diagnostic'!$AI$8:$AI$57,0)))</f>
        <v>AI fit now</v>
      </c>
      <c r="F20" s="38" t="str">
        <f>IF($H20="","",INDEX('3. AI Fit Diagnostic'!$Z$8:$Z$57,MATCH($H20,'3. AI Fit Diagnostic'!$AI$8:$AI$57,0)))</f>
        <v>Low</v>
      </c>
      <c r="G20" s="43">
        <f>IF($H20="","",INDEX('3. AI Fit Diagnostic'!$AE$8:$AE$57,MATCH($H20,'3. AI Fit Diagnostic'!$AI$8:$AI$57,0)))</f>
        <v>216</v>
      </c>
      <c r="H20">
        <f>IF(IFERROR(SMALL('3. AI Fit Diagnostic'!$AI$8:$AI$57,COUNTIF('3. AI Fit Diagnostic'!$AI$8:$AI$57,"&lt;"&amp;100)+15),"")="","",IF(IFERROR(SMALL('3. AI Fit Diagnostic'!$AI$8:$AI$57,COUNTIF('3. AI Fit Diagnostic'!$AI$8:$AI$57,"&lt;"&amp;100)+15),"")&lt;200,IFERROR(SMALL('3. AI Fit Diagnostic'!$AI$8:$AI$57,COUNTIF('3. AI Fit Diagnostic'!$AI$8:$AI$57,"&lt;"&amp;100)+15),""),""))</f>
        <v>117</v>
      </c>
    </row>
    <row r="21" ht="26" customHeight="1">
      <c r="A21" s="42">
        <f>IF($H21="","",INDEX('3. AI Fit Diagnostic'!$AC$8:$AC$57,MATCH($H21,'3. AI Fit Diagnostic'!$AI$8:$AI$57,0)))</f>
        <v>18</v>
      </c>
      <c r="B21" s="26" t="str">
        <f>IF($H21="","",INDEX('3. AI Fit Diagnostic'!$AJ$8:$AJ$57,MATCH($H21,'3. AI Fit Diagnostic'!$AI$8:$AI$57,0)))</f>
        <v>Expense claims audit</v>
      </c>
      <c r="C21" s="25" t="str">
        <f>IF($H21="","",INDEX('3. AI Fit Diagnostic'!$P$8:$P$57,MATCH($H21,'3. AI Fit Diagnostic'!$AI$8:$AI$57,0)))</f>
        <v>Finance &amp; accounting</v>
      </c>
      <c r="D21" s="25" t="str">
        <f>IF($H21="","",INDEX('3. AI Fit Diagnostic'!$R$8:$R$57,MATCH($H21,'3. AI Fit Diagnostic'!$AI$8:$AI$57,0)))</f>
        <v>Intelligent document processing (IDP)</v>
      </c>
      <c r="E21" s="25" t="str">
        <f>IF($H21="","",INDEX('3. AI Fit Diagnostic'!$W$8:$W$57,MATCH($H21,'3. AI Fit Diagnostic'!$AI$8:$AI$57,0)))</f>
        <v>AI fit now</v>
      </c>
      <c r="F21" s="38" t="str">
        <f>IF($H21="","",INDEX('3. AI Fit Diagnostic'!$Z$8:$Z$57,MATCH($H21,'3. AI Fit Diagnostic'!$AI$8:$AI$57,0)))</f>
        <v>Medium</v>
      </c>
      <c r="G21" s="43">
        <f>IF($H21="","",INDEX('3. AI Fit Diagnostic'!$AE$8:$AE$57,MATCH($H21,'3. AI Fit Diagnostic'!$AI$8:$AI$57,0)))</f>
        <v>360</v>
      </c>
      <c r="H21">
        <f>IF(IFERROR(SMALL('3. AI Fit Diagnostic'!$AI$8:$AI$57,COUNTIF('3. AI Fit Diagnostic'!$AI$8:$AI$57,"&lt;"&amp;100)+16),"")="","",IF(IFERROR(SMALL('3. AI Fit Diagnostic'!$AI$8:$AI$57,COUNTIF('3. AI Fit Diagnostic'!$AI$8:$AI$57,"&lt;"&amp;100)+16),"")&lt;200,IFERROR(SMALL('3. AI Fit Diagnostic'!$AI$8:$AI$57,COUNTIF('3. AI Fit Diagnostic'!$AI$8:$AI$57,"&lt;"&amp;100)+16),""),""))</f>
        <v>118</v>
      </c>
    </row>
    <row r="22" ht="26" customHeight="1">
      <c r="A22" s="42" t="str">
        <f>IF($H22="","",INDEX('3. AI Fit Diagnostic'!$AC$8:$AC$57,MATCH($H22,'3. AI Fit Diagnostic'!$AI$8:$AI$57,0)))</f>
        <v/>
      </c>
      <c r="B22" s="26" t="str">
        <f>IF($H22="","",INDEX('3. AI Fit Diagnostic'!$AJ$8:$AJ$57,MATCH($H22,'3. AI Fit Diagnostic'!$AI$8:$AI$57,0)))</f>
        <v/>
      </c>
      <c r="C22" s="25" t="str">
        <f>IF($H22="","",INDEX('3. AI Fit Diagnostic'!$P$8:$P$57,MATCH($H22,'3. AI Fit Diagnostic'!$AI$8:$AI$57,0)))</f>
        <v/>
      </c>
      <c r="D22" s="25" t="str">
        <f>IF($H22="","",INDEX('3. AI Fit Diagnostic'!$R$8:$R$57,MATCH($H22,'3. AI Fit Diagnostic'!$AI$8:$AI$57,0)))</f>
        <v/>
      </c>
      <c r="E22" s="25" t="str">
        <f>IF($H22="","",INDEX('3. AI Fit Diagnostic'!$W$8:$W$57,MATCH($H22,'3. AI Fit Diagnostic'!$AI$8:$AI$57,0)))</f>
        <v/>
      </c>
      <c r="F22" s="38" t="str">
        <f>IF($H22="","",INDEX('3. AI Fit Diagnostic'!$Z$8:$Z$57,MATCH($H22,'3. AI Fit Diagnostic'!$AI$8:$AI$57,0)))</f>
        <v/>
      </c>
      <c r="G22" s="43" t="str">
        <f>IF($H22="","",INDEX('3. AI Fit Diagnostic'!$AE$8:$AE$57,MATCH($H22,'3. AI Fit Diagnostic'!$AI$8:$AI$57,0)))</f>
        <v/>
      </c>
      <c r="H22" t="str">
        <f>IF(IFERROR(SMALL('3. AI Fit Diagnostic'!$AI$8:$AI$57,COUNTIF('3. AI Fit Diagnostic'!$AI$8:$AI$57,"&lt;"&amp;100)+17),"")="","",IF(IFERROR(SMALL('3. AI Fit Diagnostic'!$AI$8:$AI$57,COUNTIF('3. AI Fit Diagnostic'!$AI$8:$AI$57,"&lt;"&amp;100)+17),"")&lt;200,IFERROR(SMALL('3. AI Fit Diagnostic'!$AI$8:$AI$57,COUNTIF('3. AI Fit Diagnostic'!$AI$8:$AI$57,"&lt;"&amp;100)+17),""),""))</f>
        <v/>
      </c>
    </row>
    <row r="23" ht="26" customHeight="1">
      <c r="A23" s="42" t="str">
        <f>IF($H23="","",INDEX('3. AI Fit Diagnostic'!$AC$8:$AC$57,MATCH($H23,'3. AI Fit Diagnostic'!$AI$8:$AI$57,0)))</f>
        <v/>
      </c>
      <c r="B23" s="26" t="str">
        <f>IF($H23="","",INDEX('3. AI Fit Diagnostic'!$AJ$8:$AJ$57,MATCH($H23,'3. AI Fit Diagnostic'!$AI$8:$AI$57,0)))</f>
        <v/>
      </c>
      <c r="C23" s="25" t="str">
        <f>IF($H23="","",INDEX('3. AI Fit Diagnostic'!$P$8:$P$57,MATCH($H23,'3. AI Fit Diagnostic'!$AI$8:$AI$57,0)))</f>
        <v/>
      </c>
      <c r="D23" s="25" t="str">
        <f>IF($H23="","",INDEX('3. AI Fit Diagnostic'!$R$8:$R$57,MATCH($H23,'3. AI Fit Diagnostic'!$AI$8:$AI$57,0)))</f>
        <v/>
      </c>
      <c r="E23" s="25" t="str">
        <f>IF($H23="","",INDEX('3. AI Fit Diagnostic'!$W$8:$W$57,MATCH($H23,'3. AI Fit Diagnostic'!$AI$8:$AI$57,0)))</f>
        <v/>
      </c>
      <c r="F23" s="38" t="str">
        <f>IF($H23="","",INDEX('3. AI Fit Diagnostic'!$Z$8:$Z$57,MATCH($H23,'3. AI Fit Diagnostic'!$AI$8:$AI$57,0)))</f>
        <v/>
      </c>
      <c r="G23" s="43" t="str">
        <f>IF($H23="","",INDEX('3. AI Fit Diagnostic'!$AE$8:$AE$57,MATCH($H23,'3. AI Fit Diagnostic'!$AI$8:$AI$57,0)))</f>
        <v/>
      </c>
      <c r="H23" t="str">
        <f>IF(IFERROR(SMALL('3. AI Fit Diagnostic'!$AI$8:$AI$57,COUNTIF('3. AI Fit Diagnostic'!$AI$8:$AI$57,"&lt;"&amp;100)+18),"")="","",IF(IFERROR(SMALL('3. AI Fit Diagnostic'!$AI$8:$AI$57,COUNTIF('3. AI Fit Diagnostic'!$AI$8:$AI$57,"&lt;"&amp;100)+18),"")&lt;200,IFERROR(SMALL('3. AI Fit Diagnostic'!$AI$8:$AI$57,COUNTIF('3. AI Fit Diagnostic'!$AI$8:$AI$57,"&lt;"&amp;100)+18),""),""))</f>
        <v/>
      </c>
    </row>
    <row r="24" ht="26" customHeight="1">
      <c r="A24" s="42" t="str">
        <f>IF($H24="","",INDEX('3. AI Fit Diagnostic'!$AC$8:$AC$57,MATCH($H24,'3. AI Fit Diagnostic'!$AI$8:$AI$57,0)))</f>
        <v/>
      </c>
      <c r="B24" s="26" t="str">
        <f>IF($H24="","",INDEX('3. AI Fit Diagnostic'!$AJ$8:$AJ$57,MATCH($H24,'3. AI Fit Diagnostic'!$AI$8:$AI$57,0)))</f>
        <v/>
      </c>
      <c r="C24" s="25" t="str">
        <f>IF($H24="","",INDEX('3. AI Fit Diagnostic'!$P$8:$P$57,MATCH($H24,'3. AI Fit Diagnostic'!$AI$8:$AI$57,0)))</f>
        <v/>
      </c>
      <c r="D24" s="25" t="str">
        <f>IF($H24="","",INDEX('3. AI Fit Diagnostic'!$R$8:$R$57,MATCH($H24,'3. AI Fit Diagnostic'!$AI$8:$AI$57,0)))</f>
        <v/>
      </c>
      <c r="E24" s="25" t="str">
        <f>IF($H24="","",INDEX('3. AI Fit Diagnostic'!$W$8:$W$57,MATCH($H24,'3. AI Fit Diagnostic'!$AI$8:$AI$57,0)))</f>
        <v/>
      </c>
      <c r="F24" s="38" t="str">
        <f>IF($H24="","",INDEX('3. AI Fit Diagnostic'!$Z$8:$Z$57,MATCH($H24,'3. AI Fit Diagnostic'!$AI$8:$AI$57,0)))</f>
        <v/>
      </c>
      <c r="G24" s="43" t="str">
        <f>IF($H24="","",INDEX('3. AI Fit Diagnostic'!$AE$8:$AE$57,MATCH($H24,'3. AI Fit Diagnostic'!$AI$8:$AI$57,0)))</f>
        <v/>
      </c>
      <c r="H24" t="str">
        <f>IF(IFERROR(SMALL('3. AI Fit Diagnostic'!$AI$8:$AI$57,COUNTIF('3. AI Fit Diagnostic'!$AI$8:$AI$57,"&lt;"&amp;100)+19),"")="","",IF(IFERROR(SMALL('3. AI Fit Diagnostic'!$AI$8:$AI$57,COUNTIF('3. AI Fit Diagnostic'!$AI$8:$AI$57,"&lt;"&amp;100)+19),"")&lt;200,IFERROR(SMALL('3. AI Fit Diagnostic'!$AI$8:$AI$57,COUNTIF('3. AI Fit Diagnostic'!$AI$8:$AI$57,"&lt;"&amp;100)+19),""),""))</f>
        <v/>
      </c>
    </row>
    <row r="25" ht="26" customHeight="1">
      <c r="A25" s="42" t="str">
        <f>IF($H25="","",INDEX('3. AI Fit Diagnostic'!$AC$8:$AC$57,MATCH($H25,'3. AI Fit Diagnostic'!$AI$8:$AI$57,0)))</f>
        <v/>
      </c>
      <c r="B25" s="26" t="str">
        <f>IF($H25="","",INDEX('3. AI Fit Diagnostic'!$AJ$8:$AJ$57,MATCH($H25,'3. AI Fit Diagnostic'!$AI$8:$AI$57,0)))</f>
        <v/>
      </c>
      <c r="C25" s="25" t="str">
        <f>IF($H25="","",INDEX('3. AI Fit Diagnostic'!$P$8:$P$57,MATCH($H25,'3. AI Fit Diagnostic'!$AI$8:$AI$57,0)))</f>
        <v/>
      </c>
      <c r="D25" s="25" t="str">
        <f>IF($H25="","",INDEX('3. AI Fit Diagnostic'!$R$8:$R$57,MATCH($H25,'3. AI Fit Diagnostic'!$AI$8:$AI$57,0)))</f>
        <v/>
      </c>
      <c r="E25" s="25" t="str">
        <f>IF($H25="","",INDEX('3. AI Fit Diagnostic'!$W$8:$W$57,MATCH($H25,'3. AI Fit Diagnostic'!$AI$8:$AI$57,0)))</f>
        <v/>
      </c>
      <c r="F25" s="38" t="str">
        <f>IF($H25="","",INDEX('3. AI Fit Diagnostic'!$Z$8:$Z$57,MATCH($H25,'3. AI Fit Diagnostic'!$AI$8:$AI$57,0)))</f>
        <v/>
      </c>
      <c r="G25" s="43" t="str">
        <f>IF($H25="","",INDEX('3. AI Fit Diagnostic'!$AE$8:$AE$57,MATCH($H25,'3. AI Fit Diagnostic'!$AI$8:$AI$57,0)))</f>
        <v/>
      </c>
      <c r="H25" t="str">
        <f>IF(IFERROR(SMALL('3. AI Fit Diagnostic'!$AI$8:$AI$57,COUNTIF('3. AI Fit Diagnostic'!$AI$8:$AI$57,"&lt;"&amp;100)+20),"")="","",IF(IFERROR(SMALL('3. AI Fit Diagnostic'!$AI$8:$AI$57,COUNTIF('3. AI Fit Diagnostic'!$AI$8:$AI$57,"&lt;"&amp;100)+20),"")&lt;200,IFERROR(SMALL('3. AI Fit Diagnostic'!$AI$8:$AI$57,COUNTIF('3. AI Fit Diagnostic'!$AI$8:$AI$57,"&lt;"&amp;100)+20),""),""))</f>
        <v/>
      </c>
    </row>
    <row r="27" ht="22" customHeight="1">
      <c r="A27" s="10" t="inlineStr">
        <is>
          <t>H2 - Next (6-12 months)</t>
        </is>
      </c>
    </row>
    <row r="28">
      <c r="A28" s="63" t="inlineStr">
        <is>
          <t>Rank</t>
        </is>
      </c>
      <c r="B28" s="63" t="inlineStr">
        <is>
          <t>Process / use case</t>
        </is>
      </c>
      <c r="C28" s="63" t="inlineStr">
        <is>
          <t>Function</t>
        </is>
      </c>
      <c r="D28" s="63" t="inlineStr">
        <is>
          <t>Solution family</t>
        </is>
      </c>
      <c r="E28" s="63" t="inlineStr">
        <is>
          <t>Verdict</t>
        </is>
      </c>
      <c r="F28" s="63" t="inlineStr">
        <is>
          <t>Risk tier</t>
        </is>
      </c>
      <c r="G28" s="63" t="inlineStr">
        <is>
          <t>Hours / yr</t>
        </is>
      </c>
    </row>
    <row r="29" ht="26" customHeight="1">
      <c r="A29" s="42">
        <f>IF($H29="","",INDEX('3. AI Fit Diagnostic'!$AC$8:$AC$57,MATCH($H29,'3. AI Fit Diagnostic'!$AI$8:$AI$57,0)))</f>
        <v>14</v>
      </c>
      <c r="B29" s="26" t="str">
        <f>IF($H29="","",INDEX('3. AI Fit Diagnostic'!$AJ$8:$AJ$57,MATCH($H29,'3. AI Fit Diagnostic'!$AI$8:$AI$57,0)))</f>
        <v>Financial statements preparation (GT AI FS tool - in preparation)</v>
      </c>
      <c r="C29" s="25" t="str">
        <f>IF($H29="","",INDEX('3. AI Fit Diagnostic'!$P$8:$P$57,MATCH($H29,'3. AI Fit Diagnostic'!$AI$8:$AI$57,0)))</f>
        <v>Core operations &amp; service delivery</v>
      </c>
      <c r="D29" s="25" t="str">
        <f>IF($H29="","",INDEX('3. AI Fit Diagnostic'!$R$8:$R$57,MATCH($H29,'3. AI Fit Diagnostic'!$AI$8:$AI$57,0)))</f>
        <v>Predictive analytics / machine learning</v>
      </c>
      <c r="E29" s="25" t="str">
        <f>IF($H29="","",INDEX('3. AI Fit Diagnostic'!$W$8:$W$57,MATCH($H29,'3. AI Fit Diagnostic'!$AI$8:$AI$57,0)))</f>
        <v>Stretch - partner or later stage</v>
      </c>
      <c r="F29" s="38" t="str">
        <f>IF($H29="","",INDEX('3. AI Fit Diagnostic'!$Z$8:$Z$57,MATCH($H29,'3. AI Fit Diagnostic'!$AI$8:$AI$57,0)))</f>
        <v>High</v>
      </c>
      <c r="G29" s="43">
        <f>IF($H29="","",INDEX('3. AI Fit Diagnostic'!$AE$8:$AE$57,MATCH($H29,'3. AI Fit Diagnostic'!$AI$8:$AI$57,0)))</f>
        <v>624</v>
      </c>
      <c r="H29">
        <f>IF(IFERROR(SMALL('3. AI Fit Diagnostic'!$AI$8:$AI$57,COUNTIF('3. AI Fit Diagnostic'!$AI$8:$AI$57,"&lt;"&amp;200)+1),"")="","",IF(IFERROR(SMALL('3. AI Fit Diagnostic'!$AI$8:$AI$57,COUNTIF('3. AI Fit Diagnostic'!$AI$8:$AI$57,"&lt;"&amp;200)+1),"")&lt;300,IFERROR(SMALL('3. AI Fit Diagnostic'!$AI$8:$AI$57,COUNTIF('3. AI Fit Diagnostic'!$AI$8:$AI$57,"&lt;"&amp;200)+1),""),""))</f>
        <v>214</v>
      </c>
    </row>
    <row r="30" ht="26" customHeight="1">
      <c r="A30" s="42">
        <f>IF($H30="","",INDEX('3. AI Fit Diagnostic'!$AC$8:$AC$57,MATCH($H30,'3. AI Fit Diagnostic'!$AI$8:$AI$57,0)))</f>
        <v>15</v>
      </c>
      <c r="B30" s="26" t="str">
        <f>IF($H30="","",INDEX('3. AI Fit Diagnostic'!$AJ$8:$AJ$57,MATCH($H30,'3. AI Fit Diagnostic'!$AI$8:$AI$57,0)))</f>
        <v>Audit - journal-entry testing (full population)</v>
      </c>
      <c r="C30" s="25" t="str">
        <f>IF($H30="","",INDEX('3. AI Fit Diagnostic'!$P$8:$P$57,MATCH($H30,'3. AI Fit Diagnostic'!$AI$8:$AI$57,0)))</f>
        <v>Core operations &amp; service delivery</v>
      </c>
      <c r="D30" s="25" t="str">
        <f>IF($H30="","",INDEX('3. AI Fit Diagnostic'!$R$8:$R$57,MATCH($H30,'3. AI Fit Diagnostic'!$AI$8:$AI$57,0)))</f>
        <v>Predictive analytics / machine learning</v>
      </c>
      <c r="E30" s="25" t="str">
        <f>IF($H30="","",INDEX('3. AI Fit Diagnostic'!$W$8:$W$57,MATCH($H30,'3. AI Fit Diagnostic'!$AI$8:$AI$57,0)))</f>
        <v>Stretch - partner or later stage</v>
      </c>
      <c r="F30" s="38" t="str">
        <f>IF($H30="","",INDEX('3. AI Fit Diagnostic'!$Z$8:$Z$57,MATCH($H30,'3. AI Fit Diagnostic'!$AI$8:$AI$57,0)))</f>
        <v>High</v>
      </c>
      <c r="G30" s="43">
        <f>IF($H30="","",INDEX('3. AI Fit Diagnostic'!$AE$8:$AE$57,MATCH($H30,'3. AI Fit Diagnostic'!$AI$8:$AI$57,0)))</f>
        <v>720</v>
      </c>
      <c r="H30">
        <f>IF(IFERROR(SMALL('3. AI Fit Diagnostic'!$AI$8:$AI$57,COUNTIF('3. AI Fit Diagnostic'!$AI$8:$AI$57,"&lt;"&amp;200)+2),"")="","",IF(IFERROR(SMALL('3. AI Fit Diagnostic'!$AI$8:$AI$57,COUNTIF('3. AI Fit Diagnostic'!$AI$8:$AI$57,"&lt;"&amp;200)+2),"")&lt;300,IFERROR(SMALL('3. AI Fit Diagnostic'!$AI$8:$AI$57,COUNTIF('3. AI Fit Diagnostic'!$AI$8:$AI$57,"&lt;"&amp;200)+2),""),""))</f>
        <v>215</v>
      </c>
    </row>
    <row r="31" ht="26" customHeight="1">
      <c r="A31" s="42">
        <f>IF($H31="","",INDEX('3. AI Fit Diagnostic'!$AC$8:$AC$57,MATCH($H31,'3. AI Fit Diagnostic'!$AI$8:$AI$57,0)))</f>
        <v>22</v>
      </c>
      <c r="B31" s="26" t="str">
        <f>IF($H31="","",INDEX('3. AI Fit Diagnostic'!$AJ$8:$AJ$57,MATCH($H31,'3. AI Fit Diagnostic'!$AI$8:$AI$57,0)))</f>
        <v>Engagement workflow coordination</v>
      </c>
      <c r="C31" s="25" t="str">
        <f>IF($H31="","",INDEX('3. AI Fit Diagnostic'!$P$8:$P$57,MATCH($H31,'3. AI Fit Diagnostic'!$AI$8:$AI$57,0)))</f>
        <v>Core operations &amp; service delivery</v>
      </c>
      <c r="D31" s="25" t="str">
        <f>IF($H31="","",INDEX('3. AI Fit Diagnostic'!$R$8:$R$57,MATCH($H31,'3. AI Fit Diagnostic'!$AI$8:$AI$57,0)))</f>
        <v>Agentic AI (supervised agents)</v>
      </c>
      <c r="E31" s="25" t="str">
        <f>IF($H31="","",INDEX('3. AI Fit Diagnostic'!$W$8:$W$57,MATCH($H31,'3. AI Fit Diagnostic'!$AI$8:$AI$57,0)))</f>
        <v>Redesign / standardise first</v>
      </c>
      <c r="F31" s="38" t="str">
        <f>IF($H31="","",INDEX('3. AI Fit Diagnostic'!$Z$8:$Z$57,MATCH($H31,'3. AI Fit Diagnostic'!$AI$8:$AI$57,0)))</f>
        <v>Medium</v>
      </c>
      <c r="G31" s="43">
        <f>IF($H31="","",INDEX('3. AI Fit Diagnostic'!$AE$8:$AE$57,MATCH($H31,'3. AI Fit Diagnostic'!$AI$8:$AI$57,0)))</f>
        <v>720</v>
      </c>
      <c r="H31">
        <f>IF(IFERROR(SMALL('3. AI Fit Diagnostic'!$AI$8:$AI$57,COUNTIF('3. AI Fit Diagnostic'!$AI$8:$AI$57,"&lt;"&amp;200)+3),"")="","",IF(IFERROR(SMALL('3. AI Fit Diagnostic'!$AI$8:$AI$57,COUNTIF('3. AI Fit Diagnostic'!$AI$8:$AI$57,"&lt;"&amp;200)+3),"")&lt;300,IFERROR(SMALL('3. AI Fit Diagnostic'!$AI$8:$AI$57,COUNTIF('3. AI Fit Diagnostic'!$AI$8:$AI$57,"&lt;"&amp;200)+3),""),""))</f>
        <v>222</v>
      </c>
    </row>
    <row r="32" ht="26" customHeight="1">
      <c r="A32" s="42" t="str">
        <f>IF($H32="","",INDEX('3. AI Fit Diagnostic'!$AC$8:$AC$57,MATCH($H32,'3. AI Fit Diagnostic'!$AI$8:$AI$57,0)))</f>
        <v/>
      </c>
      <c r="B32" s="26" t="str">
        <f>IF($H32="","",INDEX('3. AI Fit Diagnostic'!$AJ$8:$AJ$57,MATCH($H32,'3. AI Fit Diagnostic'!$AI$8:$AI$57,0)))</f>
        <v/>
      </c>
      <c r="C32" s="25" t="str">
        <f>IF($H32="","",INDEX('3. AI Fit Diagnostic'!$P$8:$P$57,MATCH($H32,'3. AI Fit Diagnostic'!$AI$8:$AI$57,0)))</f>
        <v/>
      </c>
      <c r="D32" s="25" t="str">
        <f>IF($H32="","",INDEX('3. AI Fit Diagnostic'!$R$8:$R$57,MATCH($H32,'3. AI Fit Diagnostic'!$AI$8:$AI$57,0)))</f>
        <v/>
      </c>
      <c r="E32" s="25" t="str">
        <f>IF($H32="","",INDEX('3. AI Fit Diagnostic'!$W$8:$W$57,MATCH($H32,'3. AI Fit Diagnostic'!$AI$8:$AI$57,0)))</f>
        <v/>
      </c>
      <c r="F32" s="38" t="str">
        <f>IF($H32="","",INDEX('3. AI Fit Diagnostic'!$Z$8:$Z$57,MATCH($H32,'3. AI Fit Diagnostic'!$AI$8:$AI$57,0)))</f>
        <v/>
      </c>
      <c r="G32" s="43" t="str">
        <f>IF($H32="","",INDEX('3. AI Fit Diagnostic'!$AE$8:$AE$57,MATCH($H32,'3. AI Fit Diagnostic'!$AI$8:$AI$57,0)))</f>
        <v/>
      </c>
      <c r="H32" t="str">
        <f>IF(IFERROR(SMALL('3. AI Fit Diagnostic'!$AI$8:$AI$57,COUNTIF('3. AI Fit Diagnostic'!$AI$8:$AI$57,"&lt;"&amp;200)+4),"")="","",IF(IFERROR(SMALL('3. AI Fit Diagnostic'!$AI$8:$AI$57,COUNTIF('3. AI Fit Diagnostic'!$AI$8:$AI$57,"&lt;"&amp;200)+4),"")&lt;300,IFERROR(SMALL('3. AI Fit Diagnostic'!$AI$8:$AI$57,COUNTIF('3. AI Fit Diagnostic'!$AI$8:$AI$57,"&lt;"&amp;200)+4),""),""))</f>
        <v/>
      </c>
    </row>
    <row r="33" ht="26" customHeight="1">
      <c r="A33" s="42" t="str">
        <f>IF($H33="","",INDEX('3. AI Fit Diagnostic'!$AC$8:$AC$57,MATCH($H33,'3. AI Fit Diagnostic'!$AI$8:$AI$57,0)))</f>
        <v/>
      </c>
      <c r="B33" s="26" t="str">
        <f>IF($H33="","",INDEX('3. AI Fit Diagnostic'!$AJ$8:$AJ$57,MATCH($H33,'3. AI Fit Diagnostic'!$AI$8:$AI$57,0)))</f>
        <v/>
      </c>
      <c r="C33" s="25" t="str">
        <f>IF($H33="","",INDEX('3. AI Fit Diagnostic'!$P$8:$P$57,MATCH($H33,'3. AI Fit Diagnostic'!$AI$8:$AI$57,0)))</f>
        <v/>
      </c>
      <c r="D33" s="25" t="str">
        <f>IF($H33="","",INDEX('3. AI Fit Diagnostic'!$R$8:$R$57,MATCH($H33,'3. AI Fit Diagnostic'!$AI$8:$AI$57,0)))</f>
        <v/>
      </c>
      <c r="E33" s="25" t="str">
        <f>IF($H33="","",INDEX('3. AI Fit Diagnostic'!$W$8:$W$57,MATCH($H33,'3. AI Fit Diagnostic'!$AI$8:$AI$57,0)))</f>
        <v/>
      </c>
      <c r="F33" s="38" t="str">
        <f>IF($H33="","",INDEX('3. AI Fit Diagnostic'!$Z$8:$Z$57,MATCH($H33,'3. AI Fit Diagnostic'!$AI$8:$AI$57,0)))</f>
        <v/>
      </c>
      <c r="G33" s="43" t="str">
        <f>IF($H33="","",INDEX('3. AI Fit Diagnostic'!$AE$8:$AE$57,MATCH($H33,'3. AI Fit Diagnostic'!$AI$8:$AI$57,0)))</f>
        <v/>
      </c>
      <c r="H33" t="str">
        <f>IF(IFERROR(SMALL('3. AI Fit Diagnostic'!$AI$8:$AI$57,COUNTIF('3. AI Fit Diagnostic'!$AI$8:$AI$57,"&lt;"&amp;200)+5),"")="","",IF(IFERROR(SMALL('3. AI Fit Diagnostic'!$AI$8:$AI$57,COUNTIF('3. AI Fit Diagnostic'!$AI$8:$AI$57,"&lt;"&amp;200)+5),"")&lt;300,IFERROR(SMALL('3. AI Fit Diagnostic'!$AI$8:$AI$57,COUNTIF('3. AI Fit Diagnostic'!$AI$8:$AI$57,"&lt;"&amp;200)+5),""),""))</f>
        <v/>
      </c>
    </row>
    <row r="34" ht="26" customHeight="1">
      <c r="A34" s="42" t="str">
        <f>IF($H34="","",INDEX('3. AI Fit Diagnostic'!$AC$8:$AC$57,MATCH($H34,'3. AI Fit Diagnostic'!$AI$8:$AI$57,0)))</f>
        <v/>
      </c>
      <c r="B34" s="26" t="str">
        <f>IF($H34="","",INDEX('3. AI Fit Diagnostic'!$AJ$8:$AJ$57,MATCH($H34,'3. AI Fit Diagnostic'!$AI$8:$AI$57,0)))</f>
        <v/>
      </c>
      <c r="C34" s="25" t="str">
        <f>IF($H34="","",INDEX('3. AI Fit Diagnostic'!$P$8:$P$57,MATCH($H34,'3. AI Fit Diagnostic'!$AI$8:$AI$57,0)))</f>
        <v/>
      </c>
      <c r="D34" s="25" t="str">
        <f>IF($H34="","",INDEX('3. AI Fit Diagnostic'!$R$8:$R$57,MATCH($H34,'3. AI Fit Diagnostic'!$AI$8:$AI$57,0)))</f>
        <v/>
      </c>
      <c r="E34" s="25" t="str">
        <f>IF($H34="","",INDEX('3. AI Fit Diagnostic'!$W$8:$W$57,MATCH($H34,'3. AI Fit Diagnostic'!$AI$8:$AI$57,0)))</f>
        <v/>
      </c>
      <c r="F34" s="38" t="str">
        <f>IF($H34="","",INDEX('3. AI Fit Diagnostic'!$Z$8:$Z$57,MATCH($H34,'3. AI Fit Diagnostic'!$AI$8:$AI$57,0)))</f>
        <v/>
      </c>
      <c r="G34" s="43" t="str">
        <f>IF($H34="","",INDEX('3. AI Fit Diagnostic'!$AE$8:$AE$57,MATCH($H34,'3. AI Fit Diagnostic'!$AI$8:$AI$57,0)))</f>
        <v/>
      </c>
      <c r="H34" t="str">
        <f>IF(IFERROR(SMALL('3. AI Fit Diagnostic'!$AI$8:$AI$57,COUNTIF('3. AI Fit Diagnostic'!$AI$8:$AI$57,"&lt;"&amp;200)+6),"")="","",IF(IFERROR(SMALL('3. AI Fit Diagnostic'!$AI$8:$AI$57,COUNTIF('3. AI Fit Diagnostic'!$AI$8:$AI$57,"&lt;"&amp;200)+6),"")&lt;300,IFERROR(SMALL('3. AI Fit Diagnostic'!$AI$8:$AI$57,COUNTIF('3. AI Fit Diagnostic'!$AI$8:$AI$57,"&lt;"&amp;200)+6),""),""))</f>
        <v/>
      </c>
    </row>
    <row r="35" ht="26" customHeight="1">
      <c r="A35" s="42" t="str">
        <f>IF($H35="","",INDEX('3. AI Fit Diagnostic'!$AC$8:$AC$57,MATCH($H35,'3. AI Fit Diagnostic'!$AI$8:$AI$57,0)))</f>
        <v/>
      </c>
      <c r="B35" s="26" t="str">
        <f>IF($H35="","",INDEX('3. AI Fit Diagnostic'!$AJ$8:$AJ$57,MATCH($H35,'3. AI Fit Diagnostic'!$AI$8:$AI$57,0)))</f>
        <v/>
      </c>
      <c r="C35" s="25" t="str">
        <f>IF($H35="","",INDEX('3. AI Fit Diagnostic'!$P$8:$P$57,MATCH($H35,'3. AI Fit Diagnostic'!$AI$8:$AI$57,0)))</f>
        <v/>
      </c>
      <c r="D35" s="25" t="str">
        <f>IF($H35="","",INDEX('3. AI Fit Diagnostic'!$R$8:$R$57,MATCH($H35,'3. AI Fit Diagnostic'!$AI$8:$AI$57,0)))</f>
        <v/>
      </c>
      <c r="E35" s="25" t="str">
        <f>IF($H35="","",INDEX('3. AI Fit Diagnostic'!$W$8:$W$57,MATCH($H35,'3. AI Fit Diagnostic'!$AI$8:$AI$57,0)))</f>
        <v/>
      </c>
      <c r="F35" s="38" t="str">
        <f>IF($H35="","",INDEX('3. AI Fit Diagnostic'!$Z$8:$Z$57,MATCH($H35,'3. AI Fit Diagnostic'!$AI$8:$AI$57,0)))</f>
        <v/>
      </c>
      <c r="G35" s="43" t="str">
        <f>IF($H35="","",INDEX('3. AI Fit Diagnostic'!$AE$8:$AE$57,MATCH($H35,'3. AI Fit Diagnostic'!$AI$8:$AI$57,0)))</f>
        <v/>
      </c>
      <c r="H35" t="str">
        <f>IF(IFERROR(SMALL('3. AI Fit Diagnostic'!$AI$8:$AI$57,COUNTIF('3. AI Fit Diagnostic'!$AI$8:$AI$57,"&lt;"&amp;200)+7),"")="","",IF(IFERROR(SMALL('3. AI Fit Diagnostic'!$AI$8:$AI$57,COUNTIF('3. AI Fit Diagnostic'!$AI$8:$AI$57,"&lt;"&amp;200)+7),"")&lt;300,IFERROR(SMALL('3. AI Fit Diagnostic'!$AI$8:$AI$57,COUNTIF('3. AI Fit Diagnostic'!$AI$8:$AI$57,"&lt;"&amp;200)+7),""),""))</f>
        <v/>
      </c>
    </row>
    <row r="36" ht="26" customHeight="1">
      <c r="A36" s="42" t="str">
        <f>IF($H36="","",INDEX('3. AI Fit Diagnostic'!$AC$8:$AC$57,MATCH($H36,'3. AI Fit Diagnostic'!$AI$8:$AI$57,0)))</f>
        <v/>
      </c>
      <c r="B36" s="26" t="str">
        <f>IF($H36="","",INDEX('3. AI Fit Diagnostic'!$AJ$8:$AJ$57,MATCH($H36,'3. AI Fit Diagnostic'!$AI$8:$AI$57,0)))</f>
        <v/>
      </c>
      <c r="C36" s="25" t="str">
        <f>IF($H36="","",INDEX('3. AI Fit Diagnostic'!$P$8:$P$57,MATCH($H36,'3. AI Fit Diagnostic'!$AI$8:$AI$57,0)))</f>
        <v/>
      </c>
      <c r="D36" s="25" t="str">
        <f>IF($H36="","",INDEX('3. AI Fit Diagnostic'!$R$8:$R$57,MATCH($H36,'3. AI Fit Diagnostic'!$AI$8:$AI$57,0)))</f>
        <v/>
      </c>
      <c r="E36" s="25" t="str">
        <f>IF($H36="","",INDEX('3. AI Fit Diagnostic'!$W$8:$W$57,MATCH($H36,'3. AI Fit Diagnostic'!$AI$8:$AI$57,0)))</f>
        <v/>
      </c>
      <c r="F36" s="38" t="str">
        <f>IF($H36="","",INDEX('3. AI Fit Diagnostic'!$Z$8:$Z$57,MATCH($H36,'3. AI Fit Diagnostic'!$AI$8:$AI$57,0)))</f>
        <v/>
      </c>
      <c r="G36" s="43" t="str">
        <f>IF($H36="","",INDEX('3. AI Fit Diagnostic'!$AE$8:$AE$57,MATCH($H36,'3. AI Fit Diagnostic'!$AI$8:$AI$57,0)))</f>
        <v/>
      </c>
      <c r="H36" t="str">
        <f>IF(IFERROR(SMALL('3. AI Fit Diagnostic'!$AI$8:$AI$57,COUNTIF('3. AI Fit Diagnostic'!$AI$8:$AI$57,"&lt;"&amp;200)+8),"")="","",IF(IFERROR(SMALL('3. AI Fit Diagnostic'!$AI$8:$AI$57,COUNTIF('3. AI Fit Diagnostic'!$AI$8:$AI$57,"&lt;"&amp;200)+8),"")&lt;300,IFERROR(SMALL('3. AI Fit Diagnostic'!$AI$8:$AI$57,COUNTIF('3. AI Fit Diagnostic'!$AI$8:$AI$57,"&lt;"&amp;200)+8),""),""))</f>
        <v/>
      </c>
    </row>
    <row r="37" ht="26" customHeight="1">
      <c r="A37" s="42" t="str">
        <f>IF($H37="","",INDEX('3. AI Fit Diagnostic'!$AC$8:$AC$57,MATCH($H37,'3. AI Fit Diagnostic'!$AI$8:$AI$57,0)))</f>
        <v/>
      </c>
      <c r="B37" s="26" t="str">
        <f>IF($H37="","",INDEX('3. AI Fit Diagnostic'!$AJ$8:$AJ$57,MATCH($H37,'3. AI Fit Diagnostic'!$AI$8:$AI$57,0)))</f>
        <v/>
      </c>
      <c r="C37" s="25" t="str">
        <f>IF($H37="","",INDEX('3. AI Fit Diagnostic'!$P$8:$P$57,MATCH($H37,'3. AI Fit Diagnostic'!$AI$8:$AI$57,0)))</f>
        <v/>
      </c>
      <c r="D37" s="25" t="str">
        <f>IF($H37="","",INDEX('3. AI Fit Diagnostic'!$R$8:$R$57,MATCH($H37,'3. AI Fit Diagnostic'!$AI$8:$AI$57,0)))</f>
        <v/>
      </c>
      <c r="E37" s="25" t="str">
        <f>IF($H37="","",INDEX('3. AI Fit Diagnostic'!$W$8:$W$57,MATCH($H37,'3. AI Fit Diagnostic'!$AI$8:$AI$57,0)))</f>
        <v/>
      </c>
      <c r="F37" s="38" t="str">
        <f>IF($H37="","",INDEX('3. AI Fit Diagnostic'!$Z$8:$Z$57,MATCH($H37,'3. AI Fit Diagnostic'!$AI$8:$AI$57,0)))</f>
        <v/>
      </c>
      <c r="G37" s="43" t="str">
        <f>IF($H37="","",INDEX('3. AI Fit Diagnostic'!$AE$8:$AE$57,MATCH($H37,'3. AI Fit Diagnostic'!$AI$8:$AI$57,0)))</f>
        <v/>
      </c>
      <c r="H37" t="str">
        <f>IF(IFERROR(SMALL('3. AI Fit Diagnostic'!$AI$8:$AI$57,COUNTIF('3. AI Fit Diagnostic'!$AI$8:$AI$57,"&lt;"&amp;200)+9),"")="","",IF(IFERROR(SMALL('3. AI Fit Diagnostic'!$AI$8:$AI$57,COUNTIF('3. AI Fit Diagnostic'!$AI$8:$AI$57,"&lt;"&amp;200)+9),"")&lt;300,IFERROR(SMALL('3. AI Fit Diagnostic'!$AI$8:$AI$57,COUNTIF('3. AI Fit Diagnostic'!$AI$8:$AI$57,"&lt;"&amp;200)+9),""),""))</f>
        <v/>
      </c>
    </row>
    <row r="38" ht="26" customHeight="1">
      <c r="A38" s="42" t="str">
        <f>IF($H38="","",INDEX('3. AI Fit Diagnostic'!$AC$8:$AC$57,MATCH($H38,'3. AI Fit Diagnostic'!$AI$8:$AI$57,0)))</f>
        <v/>
      </c>
      <c r="B38" s="26" t="str">
        <f>IF($H38="","",INDEX('3. AI Fit Diagnostic'!$AJ$8:$AJ$57,MATCH($H38,'3. AI Fit Diagnostic'!$AI$8:$AI$57,0)))</f>
        <v/>
      </c>
      <c r="C38" s="25" t="str">
        <f>IF($H38="","",INDEX('3. AI Fit Diagnostic'!$P$8:$P$57,MATCH($H38,'3. AI Fit Diagnostic'!$AI$8:$AI$57,0)))</f>
        <v/>
      </c>
      <c r="D38" s="25" t="str">
        <f>IF($H38="","",INDEX('3. AI Fit Diagnostic'!$R$8:$R$57,MATCH($H38,'3. AI Fit Diagnostic'!$AI$8:$AI$57,0)))</f>
        <v/>
      </c>
      <c r="E38" s="25" t="str">
        <f>IF($H38="","",INDEX('3. AI Fit Diagnostic'!$W$8:$W$57,MATCH($H38,'3. AI Fit Diagnostic'!$AI$8:$AI$57,0)))</f>
        <v/>
      </c>
      <c r="F38" s="38" t="str">
        <f>IF($H38="","",INDEX('3. AI Fit Diagnostic'!$Z$8:$Z$57,MATCH($H38,'3. AI Fit Diagnostic'!$AI$8:$AI$57,0)))</f>
        <v/>
      </c>
      <c r="G38" s="43" t="str">
        <f>IF($H38="","",INDEX('3. AI Fit Diagnostic'!$AE$8:$AE$57,MATCH($H38,'3. AI Fit Diagnostic'!$AI$8:$AI$57,0)))</f>
        <v/>
      </c>
      <c r="H38" t="str">
        <f>IF(IFERROR(SMALL('3. AI Fit Diagnostic'!$AI$8:$AI$57,COUNTIF('3. AI Fit Diagnostic'!$AI$8:$AI$57,"&lt;"&amp;200)+10),"")="","",IF(IFERROR(SMALL('3. AI Fit Diagnostic'!$AI$8:$AI$57,COUNTIF('3. AI Fit Diagnostic'!$AI$8:$AI$57,"&lt;"&amp;200)+10),"")&lt;300,IFERROR(SMALL('3. AI Fit Diagnostic'!$AI$8:$AI$57,COUNTIF('3. AI Fit Diagnostic'!$AI$8:$AI$57,"&lt;"&amp;200)+10),""),""))</f>
        <v/>
      </c>
    </row>
    <row r="39" ht="26" customHeight="1">
      <c r="A39" s="42" t="str">
        <f>IF($H39="","",INDEX('3. AI Fit Diagnostic'!$AC$8:$AC$57,MATCH($H39,'3. AI Fit Diagnostic'!$AI$8:$AI$57,0)))</f>
        <v/>
      </c>
      <c r="B39" s="26" t="str">
        <f>IF($H39="","",INDEX('3. AI Fit Diagnostic'!$AJ$8:$AJ$57,MATCH($H39,'3. AI Fit Diagnostic'!$AI$8:$AI$57,0)))</f>
        <v/>
      </c>
      <c r="C39" s="25" t="str">
        <f>IF($H39="","",INDEX('3. AI Fit Diagnostic'!$P$8:$P$57,MATCH($H39,'3. AI Fit Diagnostic'!$AI$8:$AI$57,0)))</f>
        <v/>
      </c>
      <c r="D39" s="25" t="str">
        <f>IF($H39="","",INDEX('3. AI Fit Diagnostic'!$R$8:$R$57,MATCH($H39,'3. AI Fit Diagnostic'!$AI$8:$AI$57,0)))</f>
        <v/>
      </c>
      <c r="E39" s="25" t="str">
        <f>IF($H39="","",INDEX('3. AI Fit Diagnostic'!$W$8:$W$57,MATCH($H39,'3. AI Fit Diagnostic'!$AI$8:$AI$57,0)))</f>
        <v/>
      </c>
      <c r="F39" s="38" t="str">
        <f>IF($H39="","",INDEX('3. AI Fit Diagnostic'!$Z$8:$Z$57,MATCH($H39,'3. AI Fit Diagnostic'!$AI$8:$AI$57,0)))</f>
        <v/>
      </c>
      <c r="G39" s="43" t="str">
        <f>IF($H39="","",INDEX('3. AI Fit Diagnostic'!$AE$8:$AE$57,MATCH($H39,'3. AI Fit Diagnostic'!$AI$8:$AI$57,0)))</f>
        <v/>
      </c>
      <c r="H39" t="str">
        <f>IF(IFERROR(SMALL('3. AI Fit Diagnostic'!$AI$8:$AI$57,COUNTIF('3. AI Fit Diagnostic'!$AI$8:$AI$57,"&lt;"&amp;200)+11),"")="","",IF(IFERROR(SMALL('3. AI Fit Diagnostic'!$AI$8:$AI$57,COUNTIF('3. AI Fit Diagnostic'!$AI$8:$AI$57,"&lt;"&amp;200)+11),"")&lt;300,IFERROR(SMALL('3. AI Fit Diagnostic'!$AI$8:$AI$57,COUNTIF('3. AI Fit Diagnostic'!$AI$8:$AI$57,"&lt;"&amp;200)+11),""),""))</f>
        <v/>
      </c>
    </row>
    <row r="40" ht="26" customHeight="1">
      <c r="A40" s="42" t="str">
        <f>IF($H40="","",INDEX('3. AI Fit Diagnostic'!$AC$8:$AC$57,MATCH($H40,'3. AI Fit Diagnostic'!$AI$8:$AI$57,0)))</f>
        <v/>
      </c>
      <c r="B40" s="26" t="str">
        <f>IF($H40="","",INDEX('3. AI Fit Diagnostic'!$AJ$8:$AJ$57,MATCH($H40,'3. AI Fit Diagnostic'!$AI$8:$AI$57,0)))</f>
        <v/>
      </c>
      <c r="C40" s="25" t="str">
        <f>IF($H40="","",INDEX('3. AI Fit Diagnostic'!$P$8:$P$57,MATCH($H40,'3. AI Fit Diagnostic'!$AI$8:$AI$57,0)))</f>
        <v/>
      </c>
      <c r="D40" s="25" t="str">
        <f>IF($H40="","",INDEX('3. AI Fit Diagnostic'!$R$8:$R$57,MATCH($H40,'3. AI Fit Diagnostic'!$AI$8:$AI$57,0)))</f>
        <v/>
      </c>
      <c r="E40" s="25" t="str">
        <f>IF($H40="","",INDEX('3. AI Fit Diagnostic'!$W$8:$W$57,MATCH($H40,'3. AI Fit Diagnostic'!$AI$8:$AI$57,0)))</f>
        <v/>
      </c>
      <c r="F40" s="38" t="str">
        <f>IF($H40="","",INDEX('3. AI Fit Diagnostic'!$Z$8:$Z$57,MATCH($H40,'3. AI Fit Diagnostic'!$AI$8:$AI$57,0)))</f>
        <v/>
      </c>
      <c r="G40" s="43" t="str">
        <f>IF($H40="","",INDEX('3. AI Fit Diagnostic'!$AE$8:$AE$57,MATCH($H40,'3. AI Fit Diagnostic'!$AI$8:$AI$57,0)))</f>
        <v/>
      </c>
      <c r="H40" t="str">
        <f>IF(IFERROR(SMALL('3. AI Fit Diagnostic'!$AI$8:$AI$57,COUNTIF('3. AI Fit Diagnostic'!$AI$8:$AI$57,"&lt;"&amp;200)+12),"")="","",IF(IFERROR(SMALL('3. AI Fit Diagnostic'!$AI$8:$AI$57,COUNTIF('3. AI Fit Diagnostic'!$AI$8:$AI$57,"&lt;"&amp;200)+12),"")&lt;300,IFERROR(SMALL('3. AI Fit Diagnostic'!$AI$8:$AI$57,COUNTIF('3. AI Fit Diagnostic'!$AI$8:$AI$57,"&lt;"&amp;200)+12),""),""))</f>
        <v/>
      </c>
    </row>
    <row r="42" ht="22" customHeight="1">
      <c r="A42" s="64" t="inlineStr">
        <is>
          <t>H3 - Later (12-24 months)</t>
        </is>
      </c>
    </row>
    <row r="43">
      <c r="A43" s="63" t="inlineStr">
        <is>
          <t>Rank</t>
        </is>
      </c>
      <c r="B43" s="63" t="inlineStr">
        <is>
          <t>Process / use case</t>
        </is>
      </c>
      <c r="C43" s="63" t="inlineStr">
        <is>
          <t>Function</t>
        </is>
      </c>
      <c r="D43" s="63" t="inlineStr">
        <is>
          <t>Solution family</t>
        </is>
      </c>
      <c r="E43" s="63" t="inlineStr">
        <is>
          <t>Verdict</t>
        </is>
      </c>
      <c r="F43" s="63" t="inlineStr">
        <is>
          <t>Risk tier</t>
        </is>
      </c>
      <c r="G43" s="63" t="inlineStr">
        <is>
          <t>Hours / yr</t>
        </is>
      </c>
    </row>
    <row r="44" ht="26" customHeight="1">
      <c r="A44" s="42">
        <f>IF($H44="","",INDEX('3. AI Fit Diagnostic'!$AC$8:$AC$57,MATCH($H44,'3. AI Fit Diagnostic'!$AI$8:$AI$57,0)))</f>
        <v>19</v>
      </c>
      <c r="B44" s="26" t="str">
        <f>IF($H44="","",INDEX('3. AI Fit Diagnostic'!$AJ$8:$AJ$57,MATCH($H44,'3. AI Fit Diagnostic'!$AI$8:$AI$57,0)))</f>
        <v>Customer churn prediction</v>
      </c>
      <c r="C44" s="25" t="str">
        <f>IF($H44="","",INDEX('3. AI Fit Diagnostic'!$P$8:$P$57,MATCH($H44,'3. AI Fit Diagnostic'!$AI$8:$AI$57,0)))</f>
        <v>Sales &amp; marketing</v>
      </c>
      <c r="D44" s="25" t="str">
        <f>IF($H44="","",INDEX('3. AI Fit Diagnostic'!$R$8:$R$57,MATCH($H44,'3. AI Fit Diagnostic'!$AI$8:$AI$57,0)))</f>
        <v>Predictive analytics / machine learning</v>
      </c>
      <c r="E44" s="25" t="str">
        <f>IF($H44="","",INDEX('3. AI Fit Diagnostic'!$W$8:$W$57,MATCH($H44,'3. AI Fit Diagnostic'!$AI$8:$AI$57,0)))</f>
        <v>AI later - close data gap first</v>
      </c>
      <c r="F44" s="38" t="str">
        <f>IF($H44="","",INDEX('3. AI Fit Diagnostic'!$Z$8:$Z$57,MATCH($H44,'3. AI Fit Diagnostic'!$AI$8:$AI$57,0)))</f>
        <v>Medium</v>
      </c>
      <c r="G44" s="43">
        <f>IF($H44="","",INDEX('3. AI Fit Diagnostic'!$AE$8:$AE$57,MATCH($H44,'3. AI Fit Diagnostic'!$AI$8:$AI$57,0)))</f>
        <v>480</v>
      </c>
      <c r="H44">
        <f>IF(IFERROR(SMALL('3. AI Fit Diagnostic'!$AI$8:$AI$57,COUNTIF('3. AI Fit Diagnostic'!$AI$8:$AI$57,"&lt;"&amp;300)+1),"")="","",IF(IFERROR(SMALL('3. AI Fit Diagnostic'!$AI$8:$AI$57,COUNTIF('3. AI Fit Diagnostic'!$AI$8:$AI$57,"&lt;"&amp;300)+1),"")&lt;400,IFERROR(SMALL('3. AI Fit Diagnostic'!$AI$8:$AI$57,COUNTIF('3. AI Fit Diagnostic'!$AI$8:$AI$57,"&lt;"&amp;300)+1),""),""))</f>
        <v>319</v>
      </c>
    </row>
    <row r="45" ht="26" customHeight="1">
      <c r="A45" s="42" t="str">
        <f>IF($H45="","",INDEX('3. AI Fit Diagnostic'!$AC$8:$AC$57,MATCH($H45,'3. AI Fit Diagnostic'!$AI$8:$AI$57,0)))</f>
        <v/>
      </c>
      <c r="B45" s="26" t="str">
        <f>IF($H45="","",INDEX('3. AI Fit Diagnostic'!$AJ$8:$AJ$57,MATCH($H45,'3. AI Fit Diagnostic'!$AI$8:$AI$57,0)))</f>
        <v/>
      </c>
      <c r="C45" s="25" t="str">
        <f>IF($H45="","",INDEX('3. AI Fit Diagnostic'!$P$8:$P$57,MATCH($H45,'3. AI Fit Diagnostic'!$AI$8:$AI$57,0)))</f>
        <v/>
      </c>
      <c r="D45" s="25" t="str">
        <f>IF($H45="","",INDEX('3. AI Fit Diagnostic'!$R$8:$R$57,MATCH($H45,'3. AI Fit Diagnostic'!$AI$8:$AI$57,0)))</f>
        <v/>
      </c>
      <c r="E45" s="25" t="str">
        <f>IF($H45="","",INDEX('3. AI Fit Diagnostic'!$W$8:$W$57,MATCH($H45,'3. AI Fit Diagnostic'!$AI$8:$AI$57,0)))</f>
        <v/>
      </c>
      <c r="F45" s="38" t="str">
        <f>IF($H45="","",INDEX('3. AI Fit Diagnostic'!$Z$8:$Z$57,MATCH($H45,'3. AI Fit Diagnostic'!$AI$8:$AI$57,0)))</f>
        <v/>
      </c>
      <c r="G45" s="43" t="str">
        <f>IF($H45="","",INDEX('3. AI Fit Diagnostic'!$AE$8:$AE$57,MATCH($H45,'3. AI Fit Diagnostic'!$AI$8:$AI$57,0)))</f>
        <v/>
      </c>
      <c r="H45" t="str">
        <f>IF(IFERROR(SMALL('3. AI Fit Diagnostic'!$AI$8:$AI$57,COUNTIF('3. AI Fit Diagnostic'!$AI$8:$AI$57,"&lt;"&amp;300)+2),"")="","",IF(IFERROR(SMALL('3. AI Fit Diagnostic'!$AI$8:$AI$57,COUNTIF('3. AI Fit Diagnostic'!$AI$8:$AI$57,"&lt;"&amp;300)+2),"")&lt;400,IFERROR(SMALL('3. AI Fit Diagnostic'!$AI$8:$AI$57,COUNTIF('3. AI Fit Diagnostic'!$AI$8:$AI$57,"&lt;"&amp;300)+2),""),""))</f>
        <v/>
      </c>
    </row>
    <row r="46" ht="26" customHeight="1">
      <c r="A46" s="42" t="str">
        <f>IF($H46="","",INDEX('3. AI Fit Diagnostic'!$AC$8:$AC$57,MATCH($H46,'3. AI Fit Diagnostic'!$AI$8:$AI$57,0)))</f>
        <v/>
      </c>
      <c r="B46" s="26" t="str">
        <f>IF($H46="","",INDEX('3. AI Fit Diagnostic'!$AJ$8:$AJ$57,MATCH($H46,'3. AI Fit Diagnostic'!$AI$8:$AI$57,0)))</f>
        <v/>
      </c>
      <c r="C46" s="25" t="str">
        <f>IF($H46="","",INDEX('3. AI Fit Diagnostic'!$P$8:$P$57,MATCH($H46,'3. AI Fit Diagnostic'!$AI$8:$AI$57,0)))</f>
        <v/>
      </c>
      <c r="D46" s="25" t="str">
        <f>IF($H46="","",INDEX('3. AI Fit Diagnostic'!$R$8:$R$57,MATCH($H46,'3. AI Fit Diagnostic'!$AI$8:$AI$57,0)))</f>
        <v/>
      </c>
      <c r="E46" s="25" t="str">
        <f>IF($H46="","",INDEX('3. AI Fit Diagnostic'!$W$8:$W$57,MATCH($H46,'3. AI Fit Diagnostic'!$AI$8:$AI$57,0)))</f>
        <v/>
      </c>
      <c r="F46" s="38" t="str">
        <f>IF($H46="","",INDEX('3. AI Fit Diagnostic'!$Z$8:$Z$57,MATCH($H46,'3. AI Fit Diagnostic'!$AI$8:$AI$57,0)))</f>
        <v/>
      </c>
      <c r="G46" s="43" t="str">
        <f>IF($H46="","",INDEX('3. AI Fit Diagnostic'!$AE$8:$AE$57,MATCH($H46,'3. AI Fit Diagnostic'!$AI$8:$AI$57,0)))</f>
        <v/>
      </c>
      <c r="H46" t="str">
        <f>IF(IFERROR(SMALL('3. AI Fit Diagnostic'!$AI$8:$AI$57,COUNTIF('3. AI Fit Diagnostic'!$AI$8:$AI$57,"&lt;"&amp;300)+3),"")="","",IF(IFERROR(SMALL('3. AI Fit Diagnostic'!$AI$8:$AI$57,COUNTIF('3. AI Fit Diagnostic'!$AI$8:$AI$57,"&lt;"&amp;300)+3),"")&lt;400,IFERROR(SMALL('3. AI Fit Diagnostic'!$AI$8:$AI$57,COUNTIF('3. AI Fit Diagnostic'!$AI$8:$AI$57,"&lt;"&amp;300)+3),""),""))</f>
        <v/>
      </c>
    </row>
    <row r="47" ht="26" customHeight="1">
      <c r="A47" s="42" t="str">
        <f>IF($H47="","",INDEX('3. AI Fit Diagnostic'!$AC$8:$AC$57,MATCH($H47,'3. AI Fit Diagnostic'!$AI$8:$AI$57,0)))</f>
        <v/>
      </c>
      <c r="B47" s="26" t="str">
        <f>IF($H47="","",INDEX('3. AI Fit Diagnostic'!$AJ$8:$AJ$57,MATCH($H47,'3. AI Fit Diagnostic'!$AI$8:$AI$57,0)))</f>
        <v/>
      </c>
      <c r="C47" s="25" t="str">
        <f>IF($H47="","",INDEX('3. AI Fit Diagnostic'!$P$8:$P$57,MATCH($H47,'3. AI Fit Diagnostic'!$AI$8:$AI$57,0)))</f>
        <v/>
      </c>
      <c r="D47" s="25" t="str">
        <f>IF($H47="","",INDEX('3. AI Fit Diagnostic'!$R$8:$R$57,MATCH($H47,'3. AI Fit Diagnostic'!$AI$8:$AI$57,0)))</f>
        <v/>
      </c>
      <c r="E47" s="25" t="str">
        <f>IF($H47="","",INDEX('3. AI Fit Diagnostic'!$W$8:$W$57,MATCH($H47,'3. AI Fit Diagnostic'!$AI$8:$AI$57,0)))</f>
        <v/>
      </c>
      <c r="F47" s="38" t="str">
        <f>IF($H47="","",INDEX('3. AI Fit Diagnostic'!$Z$8:$Z$57,MATCH($H47,'3. AI Fit Diagnostic'!$AI$8:$AI$57,0)))</f>
        <v/>
      </c>
      <c r="G47" s="43" t="str">
        <f>IF($H47="","",INDEX('3. AI Fit Diagnostic'!$AE$8:$AE$57,MATCH($H47,'3. AI Fit Diagnostic'!$AI$8:$AI$57,0)))</f>
        <v/>
      </c>
      <c r="H47" t="str">
        <f>IF(IFERROR(SMALL('3. AI Fit Diagnostic'!$AI$8:$AI$57,COUNTIF('3. AI Fit Diagnostic'!$AI$8:$AI$57,"&lt;"&amp;300)+4),"")="","",IF(IFERROR(SMALL('3. AI Fit Diagnostic'!$AI$8:$AI$57,COUNTIF('3. AI Fit Diagnostic'!$AI$8:$AI$57,"&lt;"&amp;300)+4),"")&lt;400,IFERROR(SMALL('3. AI Fit Diagnostic'!$AI$8:$AI$57,COUNTIF('3. AI Fit Diagnostic'!$AI$8:$AI$57,"&lt;"&amp;300)+4),""),""))</f>
        <v/>
      </c>
    </row>
    <row r="48" ht="26" customHeight="1">
      <c r="A48" s="42" t="str">
        <f>IF($H48="","",INDEX('3. AI Fit Diagnostic'!$AC$8:$AC$57,MATCH($H48,'3. AI Fit Diagnostic'!$AI$8:$AI$57,0)))</f>
        <v/>
      </c>
      <c r="B48" s="26" t="str">
        <f>IF($H48="","",INDEX('3. AI Fit Diagnostic'!$AJ$8:$AJ$57,MATCH($H48,'3. AI Fit Diagnostic'!$AI$8:$AI$57,0)))</f>
        <v/>
      </c>
      <c r="C48" s="25" t="str">
        <f>IF($H48="","",INDEX('3. AI Fit Diagnostic'!$P$8:$P$57,MATCH($H48,'3. AI Fit Diagnostic'!$AI$8:$AI$57,0)))</f>
        <v/>
      </c>
      <c r="D48" s="25" t="str">
        <f>IF($H48="","",INDEX('3. AI Fit Diagnostic'!$R$8:$R$57,MATCH($H48,'3. AI Fit Diagnostic'!$AI$8:$AI$57,0)))</f>
        <v/>
      </c>
      <c r="E48" s="25" t="str">
        <f>IF($H48="","",INDEX('3. AI Fit Diagnostic'!$W$8:$W$57,MATCH($H48,'3. AI Fit Diagnostic'!$AI$8:$AI$57,0)))</f>
        <v/>
      </c>
      <c r="F48" s="38" t="str">
        <f>IF($H48="","",INDEX('3. AI Fit Diagnostic'!$Z$8:$Z$57,MATCH($H48,'3. AI Fit Diagnostic'!$AI$8:$AI$57,0)))</f>
        <v/>
      </c>
      <c r="G48" s="43" t="str">
        <f>IF($H48="","",INDEX('3. AI Fit Diagnostic'!$AE$8:$AE$57,MATCH($H48,'3. AI Fit Diagnostic'!$AI$8:$AI$57,0)))</f>
        <v/>
      </c>
      <c r="H48" t="str">
        <f>IF(IFERROR(SMALL('3. AI Fit Diagnostic'!$AI$8:$AI$57,COUNTIF('3. AI Fit Diagnostic'!$AI$8:$AI$57,"&lt;"&amp;300)+5),"")="","",IF(IFERROR(SMALL('3. AI Fit Diagnostic'!$AI$8:$AI$57,COUNTIF('3. AI Fit Diagnostic'!$AI$8:$AI$57,"&lt;"&amp;300)+5),"")&lt;400,IFERROR(SMALL('3. AI Fit Diagnostic'!$AI$8:$AI$57,COUNTIF('3. AI Fit Diagnostic'!$AI$8:$AI$57,"&lt;"&amp;300)+5),""),""))</f>
        <v/>
      </c>
    </row>
    <row r="49" ht="26" customHeight="1">
      <c r="A49" s="42" t="str">
        <f>IF($H49="","",INDEX('3. AI Fit Diagnostic'!$AC$8:$AC$57,MATCH($H49,'3. AI Fit Diagnostic'!$AI$8:$AI$57,0)))</f>
        <v/>
      </c>
      <c r="B49" s="26" t="str">
        <f>IF($H49="","",INDEX('3. AI Fit Diagnostic'!$AJ$8:$AJ$57,MATCH($H49,'3. AI Fit Diagnostic'!$AI$8:$AI$57,0)))</f>
        <v/>
      </c>
      <c r="C49" s="25" t="str">
        <f>IF($H49="","",INDEX('3. AI Fit Diagnostic'!$P$8:$P$57,MATCH($H49,'3. AI Fit Diagnostic'!$AI$8:$AI$57,0)))</f>
        <v/>
      </c>
      <c r="D49" s="25" t="str">
        <f>IF($H49="","",INDEX('3. AI Fit Diagnostic'!$R$8:$R$57,MATCH($H49,'3. AI Fit Diagnostic'!$AI$8:$AI$57,0)))</f>
        <v/>
      </c>
      <c r="E49" s="25" t="str">
        <f>IF($H49="","",INDEX('3. AI Fit Diagnostic'!$W$8:$W$57,MATCH($H49,'3. AI Fit Diagnostic'!$AI$8:$AI$57,0)))</f>
        <v/>
      </c>
      <c r="F49" s="38" t="str">
        <f>IF($H49="","",INDEX('3. AI Fit Diagnostic'!$Z$8:$Z$57,MATCH($H49,'3. AI Fit Diagnostic'!$AI$8:$AI$57,0)))</f>
        <v/>
      </c>
      <c r="G49" s="43" t="str">
        <f>IF($H49="","",INDEX('3. AI Fit Diagnostic'!$AE$8:$AE$57,MATCH($H49,'3. AI Fit Diagnostic'!$AI$8:$AI$57,0)))</f>
        <v/>
      </c>
      <c r="H49" t="str">
        <f>IF(IFERROR(SMALL('3. AI Fit Diagnostic'!$AI$8:$AI$57,COUNTIF('3. AI Fit Diagnostic'!$AI$8:$AI$57,"&lt;"&amp;300)+6),"")="","",IF(IFERROR(SMALL('3. AI Fit Diagnostic'!$AI$8:$AI$57,COUNTIF('3. AI Fit Diagnostic'!$AI$8:$AI$57,"&lt;"&amp;300)+6),"")&lt;400,IFERROR(SMALL('3. AI Fit Diagnostic'!$AI$8:$AI$57,COUNTIF('3. AI Fit Diagnostic'!$AI$8:$AI$57,"&lt;"&amp;300)+6),""),""))</f>
        <v/>
      </c>
    </row>
    <row r="50" ht="26" customHeight="1">
      <c r="A50" s="42" t="str">
        <f>IF($H50="","",INDEX('3. AI Fit Diagnostic'!$AC$8:$AC$57,MATCH($H50,'3. AI Fit Diagnostic'!$AI$8:$AI$57,0)))</f>
        <v/>
      </c>
      <c r="B50" s="26" t="str">
        <f>IF($H50="","",INDEX('3. AI Fit Diagnostic'!$AJ$8:$AJ$57,MATCH($H50,'3. AI Fit Diagnostic'!$AI$8:$AI$57,0)))</f>
        <v/>
      </c>
      <c r="C50" s="25" t="str">
        <f>IF($H50="","",INDEX('3. AI Fit Diagnostic'!$P$8:$P$57,MATCH($H50,'3. AI Fit Diagnostic'!$AI$8:$AI$57,0)))</f>
        <v/>
      </c>
      <c r="D50" s="25" t="str">
        <f>IF($H50="","",INDEX('3. AI Fit Diagnostic'!$R$8:$R$57,MATCH($H50,'3. AI Fit Diagnostic'!$AI$8:$AI$57,0)))</f>
        <v/>
      </c>
      <c r="E50" s="25" t="str">
        <f>IF($H50="","",INDEX('3. AI Fit Diagnostic'!$W$8:$W$57,MATCH($H50,'3. AI Fit Diagnostic'!$AI$8:$AI$57,0)))</f>
        <v/>
      </c>
      <c r="F50" s="38" t="str">
        <f>IF($H50="","",INDEX('3. AI Fit Diagnostic'!$Z$8:$Z$57,MATCH($H50,'3. AI Fit Diagnostic'!$AI$8:$AI$57,0)))</f>
        <v/>
      </c>
      <c r="G50" s="43" t="str">
        <f>IF($H50="","",INDEX('3. AI Fit Diagnostic'!$AE$8:$AE$57,MATCH($H50,'3. AI Fit Diagnostic'!$AI$8:$AI$57,0)))</f>
        <v/>
      </c>
      <c r="H50" t="str">
        <f>IF(IFERROR(SMALL('3. AI Fit Diagnostic'!$AI$8:$AI$57,COUNTIF('3. AI Fit Diagnostic'!$AI$8:$AI$57,"&lt;"&amp;300)+7),"")="","",IF(IFERROR(SMALL('3. AI Fit Diagnostic'!$AI$8:$AI$57,COUNTIF('3. AI Fit Diagnostic'!$AI$8:$AI$57,"&lt;"&amp;300)+7),"")&lt;400,IFERROR(SMALL('3. AI Fit Diagnostic'!$AI$8:$AI$57,COUNTIF('3. AI Fit Diagnostic'!$AI$8:$AI$57,"&lt;"&amp;300)+7),""),""))</f>
        <v/>
      </c>
    </row>
    <row r="51" ht="26" customHeight="1">
      <c r="A51" s="42" t="str">
        <f>IF($H51="","",INDEX('3. AI Fit Diagnostic'!$AC$8:$AC$57,MATCH($H51,'3. AI Fit Diagnostic'!$AI$8:$AI$57,0)))</f>
        <v/>
      </c>
      <c r="B51" s="26" t="str">
        <f>IF($H51="","",INDEX('3. AI Fit Diagnostic'!$AJ$8:$AJ$57,MATCH($H51,'3. AI Fit Diagnostic'!$AI$8:$AI$57,0)))</f>
        <v/>
      </c>
      <c r="C51" s="25" t="str">
        <f>IF($H51="","",INDEX('3. AI Fit Diagnostic'!$P$8:$P$57,MATCH($H51,'3. AI Fit Diagnostic'!$AI$8:$AI$57,0)))</f>
        <v/>
      </c>
      <c r="D51" s="25" t="str">
        <f>IF($H51="","",INDEX('3. AI Fit Diagnostic'!$R$8:$R$57,MATCH($H51,'3. AI Fit Diagnostic'!$AI$8:$AI$57,0)))</f>
        <v/>
      </c>
      <c r="E51" s="25" t="str">
        <f>IF($H51="","",INDEX('3. AI Fit Diagnostic'!$W$8:$W$57,MATCH($H51,'3. AI Fit Diagnostic'!$AI$8:$AI$57,0)))</f>
        <v/>
      </c>
      <c r="F51" s="38" t="str">
        <f>IF($H51="","",INDEX('3. AI Fit Diagnostic'!$Z$8:$Z$57,MATCH($H51,'3. AI Fit Diagnostic'!$AI$8:$AI$57,0)))</f>
        <v/>
      </c>
      <c r="G51" s="43" t="str">
        <f>IF($H51="","",INDEX('3. AI Fit Diagnostic'!$AE$8:$AE$57,MATCH($H51,'3. AI Fit Diagnostic'!$AI$8:$AI$57,0)))</f>
        <v/>
      </c>
      <c r="H51" t="str">
        <f>IF(IFERROR(SMALL('3. AI Fit Diagnostic'!$AI$8:$AI$57,COUNTIF('3. AI Fit Diagnostic'!$AI$8:$AI$57,"&lt;"&amp;300)+8),"")="","",IF(IFERROR(SMALL('3. AI Fit Diagnostic'!$AI$8:$AI$57,COUNTIF('3. AI Fit Diagnostic'!$AI$8:$AI$57,"&lt;"&amp;300)+8),"")&lt;400,IFERROR(SMALL('3. AI Fit Diagnostic'!$AI$8:$AI$57,COUNTIF('3. AI Fit Diagnostic'!$AI$8:$AI$57,"&lt;"&amp;300)+8),""),""))</f>
        <v/>
      </c>
    </row>
    <row r="52" ht="26" customHeight="1">
      <c r="A52" s="42" t="str">
        <f>IF($H52="","",INDEX('3. AI Fit Diagnostic'!$AC$8:$AC$57,MATCH($H52,'3. AI Fit Diagnostic'!$AI$8:$AI$57,0)))</f>
        <v/>
      </c>
      <c r="B52" s="26" t="str">
        <f>IF($H52="","",INDEX('3. AI Fit Diagnostic'!$AJ$8:$AJ$57,MATCH($H52,'3. AI Fit Diagnostic'!$AI$8:$AI$57,0)))</f>
        <v/>
      </c>
      <c r="C52" s="25" t="str">
        <f>IF($H52="","",INDEX('3. AI Fit Diagnostic'!$P$8:$P$57,MATCH($H52,'3. AI Fit Diagnostic'!$AI$8:$AI$57,0)))</f>
        <v/>
      </c>
      <c r="D52" s="25" t="str">
        <f>IF($H52="","",INDEX('3. AI Fit Diagnostic'!$R$8:$R$57,MATCH($H52,'3. AI Fit Diagnostic'!$AI$8:$AI$57,0)))</f>
        <v/>
      </c>
      <c r="E52" s="25" t="str">
        <f>IF($H52="","",INDEX('3. AI Fit Diagnostic'!$W$8:$W$57,MATCH($H52,'3. AI Fit Diagnostic'!$AI$8:$AI$57,0)))</f>
        <v/>
      </c>
      <c r="F52" s="38" t="str">
        <f>IF($H52="","",INDEX('3. AI Fit Diagnostic'!$Z$8:$Z$57,MATCH($H52,'3. AI Fit Diagnostic'!$AI$8:$AI$57,0)))</f>
        <v/>
      </c>
      <c r="G52" s="43" t="str">
        <f>IF($H52="","",INDEX('3. AI Fit Diagnostic'!$AE$8:$AE$57,MATCH($H52,'3. AI Fit Diagnostic'!$AI$8:$AI$57,0)))</f>
        <v/>
      </c>
      <c r="H52" t="str">
        <f>IF(IFERROR(SMALL('3. AI Fit Diagnostic'!$AI$8:$AI$57,COUNTIF('3. AI Fit Diagnostic'!$AI$8:$AI$57,"&lt;"&amp;300)+9),"")="","",IF(IFERROR(SMALL('3. AI Fit Diagnostic'!$AI$8:$AI$57,COUNTIF('3. AI Fit Diagnostic'!$AI$8:$AI$57,"&lt;"&amp;300)+9),"")&lt;400,IFERROR(SMALL('3. AI Fit Diagnostic'!$AI$8:$AI$57,COUNTIF('3. AI Fit Diagnostic'!$AI$8:$AI$57,"&lt;"&amp;300)+9),""),""))</f>
        <v/>
      </c>
    </row>
    <row r="53" ht="26" customHeight="1">
      <c r="A53" s="42" t="str">
        <f>IF($H53="","",INDEX('3. AI Fit Diagnostic'!$AC$8:$AC$57,MATCH($H53,'3. AI Fit Diagnostic'!$AI$8:$AI$57,0)))</f>
        <v/>
      </c>
      <c r="B53" s="26" t="str">
        <f>IF($H53="","",INDEX('3. AI Fit Diagnostic'!$AJ$8:$AJ$57,MATCH($H53,'3. AI Fit Diagnostic'!$AI$8:$AI$57,0)))</f>
        <v/>
      </c>
      <c r="C53" s="25" t="str">
        <f>IF($H53="","",INDEX('3. AI Fit Diagnostic'!$P$8:$P$57,MATCH($H53,'3. AI Fit Diagnostic'!$AI$8:$AI$57,0)))</f>
        <v/>
      </c>
      <c r="D53" s="25" t="str">
        <f>IF($H53="","",INDEX('3. AI Fit Diagnostic'!$R$8:$R$57,MATCH($H53,'3. AI Fit Diagnostic'!$AI$8:$AI$57,0)))</f>
        <v/>
      </c>
      <c r="E53" s="25" t="str">
        <f>IF($H53="","",INDEX('3. AI Fit Diagnostic'!$W$8:$W$57,MATCH($H53,'3. AI Fit Diagnostic'!$AI$8:$AI$57,0)))</f>
        <v/>
      </c>
      <c r="F53" s="38" t="str">
        <f>IF($H53="","",INDEX('3. AI Fit Diagnostic'!$Z$8:$Z$57,MATCH($H53,'3. AI Fit Diagnostic'!$AI$8:$AI$57,0)))</f>
        <v/>
      </c>
      <c r="G53" s="43" t="str">
        <f>IF($H53="","",INDEX('3. AI Fit Diagnostic'!$AE$8:$AE$57,MATCH($H53,'3. AI Fit Diagnostic'!$AI$8:$AI$57,0)))</f>
        <v/>
      </c>
      <c r="H53" t="str">
        <f>IF(IFERROR(SMALL('3. AI Fit Diagnostic'!$AI$8:$AI$57,COUNTIF('3. AI Fit Diagnostic'!$AI$8:$AI$57,"&lt;"&amp;300)+10),"")="","",IF(IFERROR(SMALL('3. AI Fit Diagnostic'!$AI$8:$AI$57,COUNTIF('3. AI Fit Diagnostic'!$AI$8:$AI$57,"&lt;"&amp;300)+10),"")&lt;400,IFERROR(SMALL('3. AI Fit Diagnostic'!$AI$8:$AI$57,COUNTIF('3. AI Fit Diagnostic'!$AI$8:$AI$57,"&lt;"&amp;300)+10),""),""))</f>
        <v/>
      </c>
    </row>
    <row r="55" ht="22" customHeight="1">
      <c r="A55" s="65" t="inlineStr">
        <is>
          <t>Backlog / not prioritised</t>
        </is>
      </c>
    </row>
    <row r="56">
      <c r="A56" s="63" t="inlineStr">
        <is>
          <t>Rank</t>
        </is>
      </c>
      <c r="B56" s="63" t="inlineStr">
        <is>
          <t>Process / use case</t>
        </is>
      </c>
      <c r="C56" s="63" t="inlineStr">
        <is>
          <t>Function</t>
        </is>
      </c>
      <c r="D56" s="63" t="inlineStr">
        <is>
          <t>Solution family</t>
        </is>
      </c>
      <c r="E56" s="63" t="inlineStr">
        <is>
          <t>Verdict</t>
        </is>
      </c>
      <c r="F56" s="63" t="inlineStr">
        <is>
          <t>Risk tier</t>
        </is>
      </c>
      <c r="G56" s="63" t="inlineStr">
        <is>
          <t>Hours / yr</t>
        </is>
      </c>
    </row>
    <row r="57" ht="26" customHeight="1">
      <c r="A57" s="42">
        <f>IF($H57="","",INDEX('3. AI Fit Diagnostic'!$AC$8:$AC$57,MATCH($H57,'3. AI Fit Diagnostic'!$AI$8:$AI$57,0)))</f>
        <v>20</v>
      </c>
      <c r="B57" s="26" t="str">
        <f>IF($H57="","",INDEX('3. AI Fit Diagnostic'!$AJ$8:$AJ$57,MATCH($H57,'3. AI Fit Diagnostic'!$AI$8:$AI$57,0)))</f>
        <v>Predictive tax scenario modelling</v>
      </c>
      <c r="C57" s="25" t="str">
        <f>IF($H57="","",INDEX('3. AI Fit Diagnostic'!$P$8:$P$57,MATCH($H57,'3. AI Fit Diagnostic'!$AI$8:$AI$57,0)))</f>
        <v>Core operations &amp; service delivery</v>
      </c>
      <c r="D57" s="25" t="str">
        <f>IF($H57="","",INDEX('3. AI Fit Diagnostic'!$R$8:$R$57,MATCH($H57,'3. AI Fit Diagnostic'!$AI$8:$AI$57,0)))</f>
        <v>Predictive analytics / machine learning</v>
      </c>
      <c r="E57" s="25" t="str">
        <f>IF($H57="","",INDEX('3. AI Fit Diagnostic'!$W$8:$W$57,MATCH($H57,'3. AI Fit Diagnostic'!$AI$8:$AI$57,0)))</f>
        <v>Stretch - partner or later stage</v>
      </c>
      <c r="F57" s="38" t="str">
        <f>IF($H57="","",INDEX('3. AI Fit Diagnostic'!$Z$8:$Z$57,MATCH($H57,'3. AI Fit Diagnostic'!$AI$8:$AI$57,0)))</f>
        <v>Medium</v>
      </c>
      <c r="G57" s="43">
        <f>IF($H57="","",INDEX('3. AI Fit Diagnostic'!$AE$8:$AE$57,MATCH($H57,'3. AI Fit Diagnostic'!$AI$8:$AI$57,0)))</f>
        <v>192</v>
      </c>
      <c r="H57">
        <f>IF(IFERROR(SMALL('3. AI Fit Diagnostic'!$AI$8:$AI$57,COUNTIF('3. AI Fit Diagnostic'!$AI$8:$AI$57,"&lt;"&amp;400)+1),"")="","",IF(IFERROR(SMALL('3. AI Fit Diagnostic'!$AI$8:$AI$57,COUNTIF('3. AI Fit Diagnostic'!$AI$8:$AI$57,"&lt;"&amp;400)+1),"")&lt;500,IFERROR(SMALL('3. AI Fit Diagnostic'!$AI$8:$AI$57,COUNTIF('3. AI Fit Diagnostic'!$AI$8:$AI$57,"&lt;"&amp;400)+1),""),""))</f>
        <v>420</v>
      </c>
    </row>
    <row r="58" ht="26" customHeight="1">
      <c r="A58" s="42">
        <f>IF($H58="","",INDEX('3. AI Fit Diagnostic'!$AC$8:$AC$57,MATCH($H58,'3. AI Fit Diagnostic'!$AI$8:$AI$57,0)))</f>
        <v>21</v>
      </c>
      <c r="B58" s="26" t="str">
        <f>IF($H58="","",INDEX('3. AI Fit Diagnostic'!$AJ$8:$AJ$57,MATCH($H58,'3. AI Fit Diagnostic'!$AI$8:$AI$57,0)))</f>
        <v>CV screening &amp; shortlisting</v>
      </c>
      <c r="C58" s="25" t="str">
        <f>IF($H58="","",INDEX('3. AI Fit Diagnostic'!$P$8:$P$57,MATCH($H58,'3. AI Fit Diagnostic'!$AI$8:$AI$57,0)))</f>
        <v>HR &amp; people</v>
      </c>
      <c r="D58" s="25" t="str">
        <f>IF($H58="","",INDEX('3. AI Fit Diagnostic'!$R$8:$R$57,MATCH($H58,'3. AI Fit Diagnostic'!$AI$8:$AI$57,0)))</f>
        <v>Predictive analytics / machine learning</v>
      </c>
      <c r="E58" s="25" t="str">
        <f>IF($H58="","",INDEX('3. AI Fit Diagnostic'!$W$8:$W$57,MATCH($H58,'3. AI Fit Diagnostic'!$AI$8:$AI$57,0)))</f>
        <v>AI later - close data gap first</v>
      </c>
      <c r="F58" s="38" t="str">
        <f>IF($H58="","",INDEX('3. AI Fit Diagnostic'!$Z$8:$Z$57,MATCH($H58,'3. AI Fit Diagnostic'!$AI$8:$AI$57,0)))</f>
        <v>High</v>
      </c>
      <c r="G58" s="43">
        <f>IF($H58="","",INDEX('3. AI Fit Diagnostic'!$AE$8:$AE$57,MATCH($H58,'3. AI Fit Diagnostic'!$AI$8:$AI$57,0)))</f>
        <v>192</v>
      </c>
      <c r="H58">
        <f>IF(IFERROR(SMALL('3. AI Fit Diagnostic'!$AI$8:$AI$57,COUNTIF('3. AI Fit Diagnostic'!$AI$8:$AI$57,"&lt;"&amp;400)+2),"")="","",IF(IFERROR(SMALL('3. AI Fit Diagnostic'!$AI$8:$AI$57,COUNTIF('3. AI Fit Diagnostic'!$AI$8:$AI$57,"&lt;"&amp;400)+2),"")&lt;500,IFERROR(SMALL('3. AI Fit Diagnostic'!$AI$8:$AI$57,COUNTIF('3. AI Fit Diagnostic'!$AI$8:$AI$57,"&lt;"&amp;400)+2),""),""))</f>
        <v>421</v>
      </c>
    </row>
    <row r="59" ht="26" customHeight="1">
      <c r="A59" s="42" t="str">
        <f>IF($H59="","",INDEX('3. AI Fit Diagnostic'!$AC$8:$AC$57,MATCH($H59,'3. AI Fit Diagnostic'!$AI$8:$AI$57,0)))</f>
        <v/>
      </c>
      <c r="B59" s="26" t="str">
        <f>IF($H59="","",INDEX('3. AI Fit Diagnostic'!$AJ$8:$AJ$57,MATCH($H59,'3. AI Fit Diagnostic'!$AI$8:$AI$57,0)))</f>
        <v/>
      </c>
      <c r="C59" s="25" t="str">
        <f>IF($H59="","",INDEX('3. AI Fit Diagnostic'!$P$8:$P$57,MATCH($H59,'3. AI Fit Diagnostic'!$AI$8:$AI$57,0)))</f>
        <v/>
      </c>
      <c r="D59" s="25" t="str">
        <f>IF($H59="","",INDEX('3. AI Fit Diagnostic'!$R$8:$R$57,MATCH($H59,'3. AI Fit Diagnostic'!$AI$8:$AI$57,0)))</f>
        <v/>
      </c>
      <c r="E59" s="25" t="str">
        <f>IF($H59="","",INDEX('3. AI Fit Diagnostic'!$W$8:$W$57,MATCH($H59,'3. AI Fit Diagnostic'!$AI$8:$AI$57,0)))</f>
        <v/>
      </c>
      <c r="F59" s="38" t="str">
        <f>IF($H59="","",INDEX('3. AI Fit Diagnostic'!$Z$8:$Z$57,MATCH($H59,'3. AI Fit Diagnostic'!$AI$8:$AI$57,0)))</f>
        <v/>
      </c>
      <c r="G59" s="43" t="str">
        <f>IF($H59="","",INDEX('3. AI Fit Diagnostic'!$AE$8:$AE$57,MATCH($H59,'3. AI Fit Diagnostic'!$AI$8:$AI$57,0)))</f>
        <v/>
      </c>
      <c r="H59" t="str">
        <f>IF(IFERROR(SMALL('3. AI Fit Diagnostic'!$AI$8:$AI$57,COUNTIF('3. AI Fit Diagnostic'!$AI$8:$AI$57,"&lt;"&amp;400)+3),"")="","",IF(IFERROR(SMALL('3. AI Fit Diagnostic'!$AI$8:$AI$57,COUNTIF('3. AI Fit Diagnostic'!$AI$8:$AI$57,"&lt;"&amp;400)+3),"")&lt;500,IFERROR(SMALL('3. AI Fit Diagnostic'!$AI$8:$AI$57,COUNTIF('3. AI Fit Diagnostic'!$AI$8:$AI$57,"&lt;"&amp;400)+3),""),""))</f>
        <v/>
      </c>
    </row>
    <row r="60" ht="26" customHeight="1">
      <c r="A60" s="42" t="str">
        <f>IF($H60="","",INDEX('3. AI Fit Diagnostic'!$AC$8:$AC$57,MATCH($H60,'3. AI Fit Diagnostic'!$AI$8:$AI$57,0)))</f>
        <v/>
      </c>
      <c r="B60" s="26" t="str">
        <f>IF($H60="","",INDEX('3. AI Fit Diagnostic'!$AJ$8:$AJ$57,MATCH($H60,'3. AI Fit Diagnostic'!$AI$8:$AI$57,0)))</f>
        <v/>
      </c>
      <c r="C60" s="25" t="str">
        <f>IF($H60="","",INDEX('3. AI Fit Diagnostic'!$P$8:$P$57,MATCH($H60,'3. AI Fit Diagnostic'!$AI$8:$AI$57,0)))</f>
        <v/>
      </c>
      <c r="D60" s="25" t="str">
        <f>IF($H60="","",INDEX('3. AI Fit Diagnostic'!$R$8:$R$57,MATCH($H60,'3. AI Fit Diagnostic'!$AI$8:$AI$57,0)))</f>
        <v/>
      </c>
      <c r="E60" s="25" t="str">
        <f>IF($H60="","",INDEX('3. AI Fit Diagnostic'!$W$8:$W$57,MATCH($H60,'3. AI Fit Diagnostic'!$AI$8:$AI$57,0)))</f>
        <v/>
      </c>
      <c r="F60" s="38" t="str">
        <f>IF($H60="","",INDEX('3. AI Fit Diagnostic'!$Z$8:$Z$57,MATCH($H60,'3. AI Fit Diagnostic'!$AI$8:$AI$57,0)))</f>
        <v/>
      </c>
      <c r="G60" s="43" t="str">
        <f>IF($H60="","",INDEX('3. AI Fit Diagnostic'!$AE$8:$AE$57,MATCH($H60,'3. AI Fit Diagnostic'!$AI$8:$AI$57,0)))</f>
        <v/>
      </c>
      <c r="H60" t="str">
        <f>IF(IFERROR(SMALL('3. AI Fit Diagnostic'!$AI$8:$AI$57,COUNTIF('3. AI Fit Diagnostic'!$AI$8:$AI$57,"&lt;"&amp;400)+4),"")="","",IF(IFERROR(SMALL('3. AI Fit Diagnostic'!$AI$8:$AI$57,COUNTIF('3. AI Fit Diagnostic'!$AI$8:$AI$57,"&lt;"&amp;400)+4),"")&lt;500,IFERROR(SMALL('3. AI Fit Diagnostic'!$AI$8:$AI$57,COUNTIF('3. AI Fit Diagnostic'!$AI$8:$AI$57,"&lt;"&amp;400)+4),""),""))</f>
        <v/>
      </c>
    </row>
    <row r="61" ht="26" customHeight="1">
      <c r="A61" s="42" t="str">
        <f>IF($H61="","",INDEX('3. AI Fit Diagnostic'!$AC$8:$AC$57,MATCH($H61,'3. AI Fit Diagnostic'!$AI$8:$AI$57,0)))</f>
        <v/>
      </c>
      <c r="B61" s="26" t="str">
        <f>IF($H61="","",INDEX('3. AI Fit Diagnostic'!$AJ$8:$AJ$57,MATCH($H61,'3. AI Fit Diagnostic'!$AI$8:$AI$57,0)))</f>
        <v/>
      </c>
      <c r="C61" s="25" t="str">
        <f>IF($H61="","",INDEX('3. AI Fit Diagnostic'!$P$8:$P$57,MATCH($H61,'3. AI Fit Diagnostic'!$AI$8:$AI$57,0)))</f>
        <v/>
      </c>
      <c r="D61" s="25" t="str">
        <f>IF($H61="","",INDEX('3. AI Fit Diagnostic'!$R$8:$R$57,MATCH($H61,'3. AI Fit Diagnostic'!$AI$8:$AI$57,0)))</f>
        <v/>
      </c>
      <c r="E61" s="25" t="str">
        <f>IF($H61="","",INDEX('3. AI Fit Diagnostic'!$W$8:$W$57,MATCH($H61,'3. AI Fit Diagnostic'!$AI$8:$AI$57,0)))</f>
        <v/>
      </c>
      <c r="F61" s="38" t="str">
        <f>IF($H61="","",INDEX('3. AI Fit Diagnostic'!$Z$8:$Z$57,MATCH($H61,'3. AI Fit Diagnostic'!$AI$8:$AI$57,0)))</f>
        <v/>
      </c>
      <c r="G61" s="43" t="str">
        <f>IF($H61="","",INDEX('3. AI Fit Diagnostic'!$AE$8:$AE$57,MATCH($H61,'3. AI Fit Diagnostic'!$AI$8:$AI$57,0)))</f>
        <v/>
      </c>
      <c r="H61" t="str">
        <f>IF(IFERROR(SMALL('3. AI Fit Diagnostic'!$AI$8:$AI$57,COUNTIF('3. AI Fit Diagnostic'!$AI$8:$AI$57,"&lt;"&amp;400)+5),"")="","",IF(IFERROR(SMALL('3. AI Fit Diagnostic'!$AI$8:$AI$57,COUNTIF('3. AI Fit Diagnostic'!$AI$8:$AI$57,"&lt;"&amp;400)+5),"")&lt;500,IFERROR(SMALL('3. AI Fit Diagnostic'!$AI$8:$AI$57,COUNTIF('3. AI Fit Diagnostic'!$AI$8:$AI$57,"&lt;"&amp;400)+5),""),""))</f>
        <v/>
      </c>
    </row>
    <row r="62" ht="26" customHeight="1">
      <c r="A62" s="42" t="str">
        <f>IF($H62="","",INDEX('3. AI Fit Diagnostic'!$AC$8:$AC$57,MATCH($H62,'3. AI Fit Diagnostic'!$AI$8:$AI$57,0)))</f>
        <v/>
      </c>
      <c r="B62" s="26" t="str">
        <f>IF($H62="","",INDEX('3. AI Fit Diagnostic'!$AJ$8:$AJ$57,MATCH($H62,'3. AI Fit Diagnostic'!$AI$8:$AI$57,0)))</f>
        <v/>
      </c>
      <c r="C62" s="25" t="str">
        <f>IF($H62="","",INDEX('3. AI Fit Diagnostic'!$P$8:$P$57,MATCH($H62,'3. AI Fit Diagnostic'!$AI$8:$AI$57,0)))</f>
        <v/>
      </c>
      <c r="D62" s="25" t="str">
        <f>IF($H62="","",INDEX('3. AI Fit Diagnostic'!$R$8:$R$57,MATCH($H62,'3. AI Fit Diagnostic'!$AI$8:$AI$57,0)))</f>
        <v/>
      </c>
      <c r="E62" s="25" t="str">
        <f>IF($H62="","",INDEX('3. AI Fit Diagnostic'!$W$8:$W$57,MATCH($H62,'3. AI Fit Diagnostic'!$AI$8:$AI$57,0)))</f>
        <v/>
      </c>
      <c r="F62" s="38" t="str">
        <f>IF($H62="","",INDEX('3. AI Fit Diagnostic'!$Z$8:$Z$57,MATCH($H62,'3. AI Fit Diagnostic'!$AI$8:$AI$57,0)))</f>
        <v/>
      </c>
      <c r="G62" s="43" t="str">
        <f>IF($H62="","",INDEX('3. AI Fit Diagnostic'!$AE$8:$AE$57,MATCH($H62,'3. AI Fit Diagnostic'!$AI$8:$AI$57,0)))</f>
        <v/>
      </c>
      <c r="H62" t="str">
        <f>IF(IFERROR(SMALL('3. AI Fit Diagnostic'!$AI$8:$AI$57,COUNTIF('3. AI Fit Diagnostic'!$AI$8:$AI$57,"&lt;"&amp;400)+6),"")="","",IF(IFERROR(SMALL('3. AI Fit Diagnostic'!$AI$8:$AI$57,COUNTIF('3. AI Fit Diagnostic'!$AI$8:$AI$57,"&lt;"&amp;400)+6),"")&lt;500,IFERROR(SMALL('3. AI Fit Diagnostic'!$AI$8:$AI$57,COUNTIF('3. AI Fit Diagnostic'!$AI$8:$AI$57,"&lt;"&amp;400)+6),""),""))</f>
        <v/>
      </c>
    </row>
    <row r="63" ht="26" customHeight="1">
      <c r="A63" s="42" t="str">
        <f>IF($H63="","",INDEX('3. AI Fit Diagnostic'!$AC$8:$AC$57,MATCH($H63,'3. AI Fit Diagnostic'!$AI$8:$AI$57,0)))</f>
        <v/>
      </c>
      <c r="B63" s="26" t="str">
        <f>IF($H63="","",INDEX('3. AI Fit Diagnostic'!$AJ$8:$AJ$57,MATCH($H63,'3. AI Fit Diagnostic'!$AI$8:$AI$57,0)))</f>
        <v/>
      </c>
      <c r="C63" s="25" t="str">
        <f>IF($H63="","",INDEX('3. AI Fit Diagnostic'!$P$8:$P$57,MATCH($H63,'3. AI Fit Diagnostic'!$AI$8:$AI$57,0)))</f>
        <v/>
      </c>
      <c r="D63" s="25" t="str">
        <f>IF($H63="","",INDEX('3. AI Fit Diagnostic'!$R$8:$R$57,MATCH($H63,'3. AI Fit Diagnostic'!$AI$8:$AI$57,0)))</f>
        <v/>
      </c>
      <c r="E63" s="25" t="str">
        <f>IF($H63="","",INDEX('3. AI Fit Diagnostic'!$W$8:$W$57,MATCH($H63,'3. AI Fit Diagnostic'!$AI$8:$AI$57,0)))</f>
        <v/>
      </c>
      <c r="F63" s="38" t="str">
        <f>IF($H63="","",INDEX('3. AI Fit Diagnostic'!$Z$8:$Z$57,MATCH($H63,'3. AI Fit Diagnostic'!$AI$8:$AI$57,0)))</f>
        <v/>
      </c>
      <c r="G63" s="43" t="str">
        <f>IF($H63="","",INDEX('3. AI Fit Diagnostic'!$AE$8:$AE$57,MATCH($H63,'3. AI Fit Diagnostic'!$AI$8:$AI$57,0)))</f>
        <v/>
      </c>
      <c r="H63" t="str">
        <f>IF(IFERROR(SMALL('3. AI Fit Diagnostic'!$AI$8:$AI$57,COUNTIF('3. AI Fit Diagnostic'!$AI$8:$AI$57,"&lt;"&amp;400)+7),"")="","",IF(IFERROR(SMALL('3. AI Fit Diagnostic'!$AI$8:$AI$57,COUNTIF('3. AI Fit Diagnostic'!$AI$8:$AI$57,"&lt;"&amp;400)+7),"")&lt;500,IFERROR(SMALL('3. AI Fit Diagnostic'!$AI$8:$AI$57,COUNTIF('3. AI Fit Diagnostic'!$AI$8:$AI$57,"&lt;"&amp;400)+7),""),""))</f>
        <v/>
      </c>
    </row>
    <row r="64" ht="26" customHeight="1">
      <c r="A64" s="42" t="str">
        <f>IF($H64="","",INDEX('3. AI Fit Diagnostic'!$AC$8:$AC$57,MATCH($H64,'3. AI Fit Diagnostic'!$AI$8:$AI$57,0)))</f>
        <v/>
      </c>
      <c r="B64" s="26" t="str">
        <f>IF($H64="","",INDEX('3. AI Fit Diagnostic'!$AJ$8:$AJ$57,MATCH($H64,'3. AI Fit Diagnostic'!$AI$8:$AI$57,0)))</f>
        <v/>
      </c>
      <c r="C64" s="25" t="str">
        <f>IF($H64="","",INDEX('3. AI Fit Diagnostic'!$P$8:$P$57,MATCH($H64,'3. AI Fit Diagnostic'!$AI$8:$AI$57,0)))</f>
        <v/>
      </c>
      <c r="D64" s="25" t="str">
        <f>IF($H64="","",INDEX('3. AI Fit Diagnostic'!$R$8:$R$57,MATCH($H64,'3. AI Fit Diagnostic'!$AI$8:$AI$57,0)))</f>
        <v/>
      </c>
      <c r="E64" s="25" t="str">
        <f>IF($H64="","",INDEX('3. AI Fit Diagnostic'!$W$8:$W$57,MATCH($H64,'3. AI Fit Diagnostic'!$AI$8:$AI$57,0)))</f>
        <v/>
      </c>
      <c r="F64" s="38" t="str">
        <f>IF($H64="","",INDEX('3. AI Fit Diagnostic'!$Z$8:$Z$57,MATCH($H64,'3. AI Fit Diagnostic'!$AI$8:$AI$57,0)))</f>
        <v/>
      </c>
      <c r="G64" s="43" t="str">
        <f>IF($H64="","",INDEX('3. AI Fit Diagnostic'!$AE$8:$AE$57,MATCH($H64,'3. AI Fit Diagnostic'!$AI$8:$AI$57,0)))</f>
        <v/>
      </c>
      <c r="H64" t="str">
        <f>IF(IFERROR(SMALL('3. AI Fit Diagnostic'!$AI$8:$AI$57,COUNTIF('3. AI Fit Diagnostic'!$AI$8:$AI$57,"&lt;"&amp;400)+8),"")="","",IF(IFERROR(SMALL('3. AI Fit Diagnostic'!$AI$8:$AI$57,COUNTIF('3. AI Fit Diagnostic'!$AI$8:$AI$57,"&lt;"&amp;400)+8),"")&lt;500,IFERROR(SMALL('3. AI Fit Diagnostic'!$AI$8:$AI$57,COUNTIF('3. AI Fit Diagnostic'!$AI$8:$AI$57,"&lt;"&amp;400)+8),""),""))</f>
        <v/>
      </c>
    </row>
    <row r="66" ht="22" customHeight="1">
      <c r="A66" s="66" t="inlineStr">
        <is>
          <t>ENABLING FOUNDATIONS (generated from the diagnostic and position screen)</t>
        </is>
      </c>
    </row>
    <row r="67" ht="32" customHeight="1">
      <c r="A67" s="6" t="inlineStr"/>
      <c r="B67" s="4" t="inlineStr">
        <is>
          <t>Governance (always)</t>
        </is>
      </c>
      <c r="C67" s="25" t="str">
        <f>"Before H1 go-live: AI acceptable-use policy, AI register and approved-tools list; tier-based use-case risk assessment (GT AI Risk Assessment Framework). "&amp;COUNTIF('3. AI Fit Diagnostic'!$Z$8:$Z$57,"High")&amp;" High-risk and "&amp;COUNTIF('3. AI Fit Diagnostic'!$Z$8:$Z$57,"Medium")&amp;" Medium-risk items need documented assessments."</f>
        <v>Before H1 go-live: AI acceptable-use policy, AI register and approved-tools list; tier-based use-case risk assessment (GT AI Risk Assessment Framework). 3 High-risk and 8 Medium-risk items need documented assessments.</v>
      </c>
      <c r="D67" s="15" t="n"/>
      <c r="E67" s="15" t="n"/>
      <c r="F67" s="15" t="n"/>
      <c r="G67" s="15" t="n"/>
    </row>
    <row r="68" ht="32" customHeight="1">
      <c r="A68" s="6" t="inlineStr"/>
      <c r="B68" s="4" t="inlineStr">
        <is>
          <t>Data foundations</t>
        </is>
      </c>
      <c r="C68" s="25" t="str">
        <f>IF(COUNTIF('3. AI Fit Diagnostic'!$W$8:$W$57,"AI later - close data gap first")=0,"No processes are blocked by data gaps.",COUNTIF('3. AI Fit Diagnostic'!$W$8:$W$57,"AI later - close data gap first")&amp;" process(es) are blocked by data gaps: assign data owners, digitise inputs and start recording outcomes now so they can move to AI in H3.")</f>
        <v>2 process(es) are blocked by data gaps: assign data owners, digitise inputs and start recording outcomes now so they can move to AI in H3.</v>
      </c>
      <c r="D68" s="15" t="n"/>
      <c r="E68" s="15" t="n"/>
      <c r="F68" s="15" t="n"/>
      <c r="G68" s="15" t="n"/>
    </row>
    <row r="69" ht="32" customHeight="1">
      <c r="A69" s="6" t="inlineStr"/>
      <c r="B69" s="4" t="inlineStr">
        <is>
          <t>Process redesign</t>
        </is>
      </c>
      <c r="C69" s="25" t="str">
        <f>IF(COUNTIF('3. AI Fit Diagnostic'!$W$8:$W$57,"Redesign / standardise first")=0,"No processes need redesign before automation.",COUNTIF('3. AI Fit Diagnostic'!$W$8:$W$57,"Redesign / standardise first")&amp;" process(es) vary by person or team: standardise and document them first, then re-diagnose.")</f>
        <v>1 process(es) vary by person or team: standardise and document them first, then re-diagnose.</v>
      </c>
      <c r="D69" s="15" t="n"/>
      <c r="E69" s="15" t="n"/>
      <c r="F69" s="15" t="n"/>
      <c r="G69" s="15" t="n"/>
    </row>
    <row r="70" ht="32" customHeight="1">
      <c r="A70" s="6" t="inlineStr"/>
      <c r="B70" s="4" t="inlineStr">
        <is>
          <t>Automation platform</t>
        </is>
      </c>
      <c r="C70" s="25" t="str">
        <f>IF(COUNTIF('3. AI Fit Diagnostic'!$W$8:$W$57,"Automate - AI not needed")=0,"","Automation is enough for "&amp;COUNTIF('3. AI Fit Diagnostic'!$W$8:$W$57,"Automate - AI not needed")&amp;" process(es): select one workflow / RPA / BI platform and automate them as a programme rather than one-offs.")</f>
        <v>Automation is enough for 5 process(es): select one workflow / RPA / BI platform and automate them as a programme rather than one-offs.</v>
      </c>
      <c r="D70" s="15" t="n"/>
      <c r="E70" s="15" t="n"/>
      <c r="F70" s="15" t="n"/>
      <c r="G70" s="15" t="n"/>
    </row>
    <row r="71" ht="32" customHeight="1">
      <c r="A71" s="6" t="inlineStr"/>
      <c r="B71" s="4" t="inlineStr">
        <is>
          <t>Capability &amp; partners</t>
        </is>
      </c>
      <c r="C71" s="25" t="str">
        <f>IF(COUNTIF('3. AI Fit Diagnostic'!$W$8:$W$57,"Stretch - partner or later stage")=0,"All AI opportunities are within the current position.",COUNTIF('3. AI Fit Diagnostic'!$W$8:$W$57,"Stretch - partner or later stage")&amp;" opportunity(ies) exceed the current position: use vendor products or a delivery partner and build skills before scaling.")</f>
        <v>3 opportunity(ies) exceed the current position: use vendor products or a delivery partner and build skills before scaling.</v>
      </c>
      <c r="D71" s="15" t="n"/>
      <c r="E71" s="15" t="n"/>
      <c r="F71" s="15" t="n"/>
      <c r="G71" s="15" t="n"/>
    </row>
    <row r="72" ht="32" customHeight="1">
      <c r="A72" s="6" t="inlineStr"/>
      <c r="B72" s="4" t="inlineStr">
        <is>
          <t>People</t>
        </is>
      </c>
      <c r="C72" s="25" t="str">
        <f>"AI literacy for all users of AI tools and role-based training for process owners (EU AI Act Art. 4-aligned); change management for each roll-out."</f>
        <v>AI literacy for all users of AI tools and role-based training for process owners (EU AI Act Art. 4-aligned); change management for each roll-out.</v>
      </c>
      <c r="D72" s="15" t="n"/>
      <c r="E72" s="15" t="n"/>
      <c r="F72" s="15" t="n"/>
      <c r="G72" s="15" t="n"/>
    </row>
    <row r="73" ht="32" customHeight="1">
      <c r="A73" s="6" t="inlineStr"/>
      <c r="B73" s="4" t="inlineStr">
        <is>
          <t>Readiness check</t>
        </is>
      </c>
      <c r="C73" s="25" t="str">
        <f>"For governance and capability maturity, run the GT AI Readiness &amp; Risk Assessment (AI Ready7-based) alongside this roadmap."</f>
        <v>For governance and capability maturity, run the GT AI Readiness &amp; Risk Assessment (AI Ready7-based) alongside this roadmap.</v>
      </c>
      <c r="D73" s="15" t="n"/>
      <c r="E73" s="15" t="n"/>
      <c r="F73" s="15" t="n"/>
      <c r="G73" s="15" t="n"/>
    </row>
  </sheetData>
  <mergeCells count="14">
    <mergeCell ref="A66:G66"/>
    <mergeCell ref="C68:G68"/>
    <mergeCell ref="C73:G73"/>
    <mergeCell ref="A1:G1"/>
    <mergeCell ref="C67:G67"/>
    <mergeCell ref="A27:G27"/>
    <mergeCell ref="C72:G72"/>
    <mergeCell ref="A55:G55"/>
    <mergeCell ref="A4:G4"/>
    <mergeCell ref="C71:G71"/>
    <mergeCell ref="A2:G2"/>
    <mergeCell ref="C69:G69"/>
    <mergeCell ref="C70:G70"/>
    <mergeCell ref="A42:G42"/>
  </mergeCells>
  <conditionalFormatting sqref="E6:E25">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F6:F25">
    <cfRule type="cellIs" priority="6" operator="equal" dxfId="1">
      <formula>"Low"</formula>
    </cfRule>
    <cfRule type="cellIs" priority="7" operator="equal" dxfId="2">
      <formula>"Medium"</formula>
    </cfRule>
    <cfRule type="cellIs" priority="8" operator="equal" dxfId="3">
      <formula>"High"</formula>
    </cfRule>
  </conditionalFormatting>
  <conditionalFormatting sqref="E29:E40">
    <cfRule type="cellIs" priority="9" operator="equal" dxfId="4">
      <formula>"AI fit now"</formula>
    </cfRule>
    <cfRule type="cellIs" priority="10" operator="equal" dxfId="5">
      <formula>"Automate - AI not needed"</formula>
    </cfRule>
    <cfRule type="cellIs" priority="11" operator="equal" dxfId="2">
      <formula>"AI later - close data gap first"</formula>
    </cfRule>
    <cfRule type="cellIs" priority="12" operator="equal" dxfId="3">
      <formula>"Stretch - partner or later stage"</formula>
    </cfRule>
    <cfRule type="cellIs" priority="13" operator="equal" dxfId="6">
      <formula>"Redesign / standardise first"</formula>
    </cfRule>
  </conditionalFormatting>
  <conditionalFormatting sqref="F29:F40">
    <cfRule type="cellIs" priority="14" operator="equal" dxfId="1">
      <formula>"Low"</formula>
    </cfRule>
    <cfRule type="cellIs" priority="15" operator="equal" dxfId="2">
      <formula>"Medium"</formula>
    </cfRule>
    <cfRule type="cellIs" priority="16" operator="equal" dxfId="3">
      <formula>"High"</formula>
    </cfRule>
  </conditionalFormatting>
  <conditionalFormatting sqref="E44:E53">
    <cfRule type="cellIs" priority="17" operator="equal" dxfId="4">
      <formula>"AI fit now"</formula>
    </cfRule>
    <cfRule type="cellIs" priority="18" operator="equal" dxfId="5">
      <formula>"Automate - AI not needed"</formula>
    </cfRule>
    <cfRule type="cellIs" priority="19" operator="equal" dxfId="2">
      <formula>"AI later - close data gap first"</formula>
    </cfRule>
    <cfRule type="cellIs" priority="20" operator="equal" dxfId="3">
      <formula>"Stretch - partner or later stage"</formula>
    </cfRule>
    <cfRule type="cellIs" priority="21" operator="equal" dxfId="6">
      <formula>"Redesign / standardise first"</formula>
    </cfRule>
  </conditionalFormatting>
  <conditionalFormatting sqref="F44:F53">
    <cfRule type="cellIs" priority="22" operator="equal" dxfId="1">
      <formula>"Low"</formula>
    </cfRule>
    <cfRule type="cellIs" priority="23" operator="equal" dxfId="2">
      <formula>"Medium"</formula>
    </cfRule>
    <cfRule type="cellIs" priority="24" operator="equal" dxfId="3">
      <formula>"High"</formula>
    </cfRule>
  </conditionalFormatting>
  <conditionalFormatting sqref="E57:E64">
    <cfRule type="cellIs" priority="25" operator="equal" dxfId="4">
      <formula>"AI fit now"</formula>
    </cfRule>
    <cfRule type="cellIs" priority="26" operator="equal" dxfId="5">
      <formula>"Automate - AI not needed"</formula>
    </cfRule>
    <cfRule type="cellIs" priority="27" operator="equal" dxfId="2">
      <formula>"AI later - close data gap first"</formula>
    </cfRule>
    <cfRule type="cellIs" priority="28" operator="equal" dxfId="3">
      <formula>"Stretch - partner or later stage"</formula>
    </cfRule>
    <cfRule type="cellIs" priority="29" operator="equal" dxfId="6">
      <formula>"Redesign / standardise first"</formula>
    </cfRule>
  </conditionalFormatting>
  <conditionalFormatting sqref="F57:F64">
    <cfRule type="cellIs" priority="30" operator="equal" dxfId="1">
      <formula>"Low"</formula>
    </cfRule>
    <cfRule type="cellIs" priority="31" operator="equal" dxfId="2">
      <formula>"Medium"</formula>
    </cfRule>
    <cfRule type="cellIs" priority="32" operator="equal" dxfId="3">
      <formula>"High"</formula>
    </cfRule>
  </conditionalFormatting>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31"/>
  <sheetViews>
    <sheetView showGridLines="0" workbookViewId="0">
      <selection activeCell="A1" sqref="A1"/>
    </sheetView>
  </sheetViews>
  <sheetFormatPr baseColWidth="8" defaultRowHeight="15"/>
  <cols>
    <col width="28" customWidth="1" min="1" max="1"/>
    <col width="46" customWidth="1" min="2" max="2"/>
    <col width="28" customWidth="1" min="3" max="3"/>
    <col width="46" customWidth="1" min="4" max="4"/>
  </cols>
  <sheetData>
    <row r="1" ht="32" customHeight="1">
      <c r="A1" s="1" t="inlineStr">
        <is>
          <t>6. AI Use-Case Canvas</t>
        </is>
      </c>
    </row>
    <row r="2" ht="32" customHeight="1">
      <c r="A2" s="2" t="inlineStr">
        <is>
          <t>Select an opportunity number from the AI Fit Diagnostic (yellow cell). Content comes from the diagnostic and the GT AI Use-Case Library; complete the yellow fields with the owner.</t>
        </is>
      </c>
    </row>
    <row r="4">
      <c r="A4" s="4" t="inlineStr">
        <is>
          <t>Opportunity # (from sheet 3)</t>
        </is>
      </c>
      <c r="B4" s="67" t="n">
        <v>1</v>
      </c>
      <c r="C4" s="4" t="inlineStr">
        <is>
          <t>Priority rank</t>
        </is>
      </c>
      <c r="D4" s="68">
        <f>IFERROR(IF(INDEX('3. AI Fit Diagnostic'!$AC$8:$AC$57,MATCH($B$4,'3. AI Fit Diagnostic'!$A$8:$A$57,0))="","",INDEX('3. AI Fit Diagnostic'!$AC$8:$AC$57,MATCH($B$4,'3. AI Fit Diagnostic'!$A$8:$A$57,0))),"")</f>
        <v>15</v>
      </c>
    </row>
    <row r="6" ht="22" customHeight="1">
      <c r="A6" s="3" t="inlineStr">
        <is>
          <t>1. THE OPPORTUNITY</t>
        </is>
      </c>
    </row>
    <row r="7" ht="34" customHeight="1">
      <c r="A7" s="4" t="inlineStr">
        <is>
          <t>Process / use case</t>
        </is>
      </c>
      <c r="B7" s="69" t="str">
        <f>IFERROR(IF(INDEX('3. AI Fit Diagnostic'!$AJ$8:$AJ$57,MATCH($B$4,'3. AI Fit Diagnostic'!$A$8:$A$57,0))="","",INDEX('3. AI Fit Diagnostic'!$AJ$8:$AJ$57,MATCH($B$4,'3. AI Fit Diagnostic'!$A$8:$A$57,0))),"")</f>
        <v>Audit - journal-entry testing (full population)</v>
      </c>
      <c r="C7" s="4" t="inlineStr">
        <is>
          <t>Library ID / sector</t>
        </is>
      </c>
      <c r="D7" s="69" t="str">
        <f>IFERROR(INDEX('3. AI Fit Diagnostic'!$O$8:$O$57,MATCH($B$4,'3. AI Fit Diagnostic'!$A$8:$A$57,0))&amp;IF(INDEX('3. AI Fit Diagnostic'!$O$8:$O$57,MATCH($B$4,'3. AI Fit Diagnostic'!$A$8:$A$57,0))="Custom",""," - "&amp;INDEX('2. Use-Case Library'!$B$5:$B$244,MATCH(INDEX('3. AI Fit Diagnostic'!$O$8:$O$57,MATCH($B$4,'3. AI Fit Diagnostic'!$A$8:$A$57,0)),'2. Use-Case Library'!$A$5:$A$244,0))),"")</f>
        <v>PRO-01 - Professional services</v>
      </c>
    </row>
    <row r="8" ht="34" customHeight="1">
      <c r="A8" s="4" t="inlineStr">
        <is>
          <t>Typical pain point</t>
        </is>
      </c>
      <c r="B8" s="69" t="str">
        <f>IFERROR(IF(INDEX('3. AI Fit Diagnostic'!$O$8:$O$57,MATCH($B$4,'3. AI Fit Diagnostic'!$A$8:$A$57,0))="Custom","-",INDEX('2. Use-Case Library'!$E$5:$E$244,MATCH(INDEX('3. AI Fit Diagnostic'!$O$8:$O$57,MATCH($B$4,'3. AI Fit Diagnostic'!$A$8:$A$57,0)),'2. Use-Case Library'!$A$5:$A$244,0))),"")</f>
        <v>Sample-based testing of large ledgers</v>
      </c>
      <c r="C8" s="4" t="inlineStr">
        <is>
          <t>Function</t>
        </is>
      </c>
      <c r="D8" s="69" t="str">
        <f>IFERROR(IF(INDEX('3. AI Fit Diagnostic'!$P$8:$P$57,MATCH($B$4,'3. AI Fit Diagnostic'!$A$8:$A$57,0))="","",INDEX('3. AI Fit Diagnostic'!$P$8:$P$57,MATCH($B$4,'3. AI Fit Diagnostic'!$A$8:$A$57,0))),"")</f>
        <v>Core operations &amp; service delivery</v>
      </c>
    </row>
    <row r="9" ht="34" customHeight="1">
      <c r="A9" s="4" t="inlineStr">
        <is>
          <t>Client-specific note</t>
        </is>
      </c>
      <c r="B9" s="69" t="str">
        <f>IFERROR(IF(INDEX('3. AI Fit Diagnostic'!$C$8:$C$57,MATCH($B$4,'3. AI Fit Diagnostic'!$A$8:$A$57,0))="","",INDEX('3. AI Fit Diagnostic'!$C$8:$C$57,MATCH($B$4,'3. AI Fit Diagnostic'!$A$8:$A$57,0))),"")</f>
        <v/>
      </c>
      <c r="C9" s="4" t="inlineStr">
        <is>
          <t>Nature of the task</t>
        </is>
      </c>
      <c r="D9" s="69" t="str">
        <f>IFERROR(IF(INDEX('3. AI Fit Diagnostic'!$Q$8:$Q$57,MATCH($B$4,'3. AI Fit Diagnostic'!$A$8:$A$57,0))="","",INDEX('3. AI Fit Diagnostic'!$Q$8:$Q$57,MATCH($B$4,'3. AI Fit Diagnostic'!$A$8:$A$57,0))),"")</f>
        <v>Forecast, score, classify or detect anomalies from historical data</v>
      </c>
    </row>
    <row r="10" ht="34" customHeight="1">
      <c r="A10" s="4" t="inlineStr">
        <is>
          <t>Volume</t>
        </is>
      </c>
      <c r="B10" s="69" t="str">
        <f>IFERROR(IF(INDEX('3. AI Fit Diagnostic'!$F$8:$F$57,MATCH($B$4,'3. AI Fit Diagnostic'!$A$8:$A$57,0))="","",INDEX('3. AI Fit Diagnostic'!$F$8:$F$57,MATCH($B$4,'3. AI Fit Diagnostic'!$A$8:$A$57,0))),"")</f>
        <v>High (more than 1,000 a month)</v>
      </c>
      <c r="C10" s="4" t="inlineStr">
        <is>
          <t>Effort today (hrs / month)</t>
        </is>
      </c>
      <c r="D10" s="69">
        <f>IFERROR(IF(INDEX('3. AI Fit Diagnostic'!$G$8:$G$57,MATCH($B$4,'3. AI Fit Diagnostic'!$A$8:$A$57,0))="","",INDEX('3. AI Fit Diagnostic'!$G$8:$G$57,MATCH($B$4,'3. AI Fit Diagnostic'!$A$8:$A$57,0))),"")</f>
        <v>300</v>
      </c>
    </row>
    <row r="11" ht="22" customHeight="1">
      <c r="A11" s="3" t="inlineStr">
        <is>
          <t>2. THE FIT AND GT RECOMMENDATION</t>
        </is>
      </c>
    </row>
    <row r="12" ht="30" customHeight="1">
      <c r="A12" s="4" t="inlineStr">
        <is>
          <t>VERDICT</t>
        </is>
      </c>
      <c r="B12" s="70" t="str">
        <f>IFERROR(IF(INDEX('3. AI Fit Diagnostic'!$W$8:$W$57,MATCH($B$4,'3. AI Fit Diagnostic'!$A$8:$A$57,0))="","",INDEX('3. AI Fit Diagnostic'!$W$8:$W$57,MATCH($B$4,'3. AI Fit Diagnostic'!$A$8:$A$57,0))),"")</f>
        <v>Stretch - partner or later stage</v>
      </c>
      <c r="C12" s="4" t="inlineStr">
        <is>
          <t>Solution family</t>
        </is>
      </c>
      <c r="D12" s="69" t="str">
        <f>IFERROR(IF(INDEX('3. AI Fit Diagnostic'!$R$8:$R$57,MATCH($B$4,'3. AI Fit Diagnostic'!$A$8:$A$57,0))="","",INDEX('3. AI Fit Diagnostic'!$R$8:$R$57,MATCH($B$4,'3. AI Fit Diagnostic'!$A$8:$A$57,0))),"")</f>
        <v>Predictive analytics / machine learning</v>
      </c>
    </row>
    <row r="13" ht="30" customHeight="1">
      <c r="A13" s="4" t="inlineStr">
        <is>
          <t>Data gate</t>
        </is>
      </c>
      <c r="B13" s="69" t="str">
        <f>IFERROR(IF(INDEX('3. AI Fit Diagnostic'!$U$8:$U$57,MATCH($B$4,'3. AI Fit Diagnostic'!$A$8:$A$57,0))="","",INDEX('3. AI Fit Diagnostic'!$U$8:$U$57,MATCH($B$4,'3. AI Fit Diagnostic'!$A$8:$A$57,0))),"")</f>
        <v>Data ready</v>
      </c>
      <c r="C13" s="4" t="inlineStr">
        <is>
          <t>Organisational fit</t>
        </is>
      </c>
      <c r="D13" s="69" t="str">
        <f>IFERROR(IF(INDEX('3. AI Fit Diagnostic'!$V$8:$V$57,MATCH($B$4,'3. AI Fit Diagnostic'!$A$8:$A$57,0))="","",INDEX('3. AI Fit Diagnostic'!$V$8:$V$57,MATCH($B$4,'3. AI Fit Diagnostic'!$A$8:$A$57,0))),"")</f>
        <v>Beyond current position</v>
      </c>
    </row>
    <row r="14" ht="30" customHeight="1">
      <c r="A14" s="4" t="inlineStr">
        <is>
          <t>Value / Feasibility</t>
        </is>
      </c>
      <c r="B14" s="69" t="str">
        <f>IFERROR(TEXT(INDEX('3. AI Fit Diagnostic'!$X$8:$X$57,MATCH($B$4,'3. AI Fit Diagnostic'!$A$8:$A$57,0)),"0.00")&amp;" / "&amp;TEXT(INDEX('3. AI Fit Diagnostic'!$Y$8:$Y$57,MATCH($B$4,'3. AI Fit Diagnostic'!$A$8:$A$57,0)),"0.00")&amp;"  ("&amp;INDEX('3. AI Fit Diagnostic'!$AA$8:$AA$57,MATCH($B$4,'3. AI Fit Diagnostic'!$A$8:$A$57,0))&amp;")","")</f>
        <v>4.75 / 2.90  (Strategic bet)</v>
      </c>
      <c r="C14" s="4" t="inlineStr">
        <is>
          <t>Horizon</t>
        </is>
      </c>
      <c r="D14" s="69" t="str">
        <f>IFERROR(IF(INDEX('3. AI Fit Diagnostic'!$AD$8:$AD$57,MATCH($B$4,'3. AI Fit Diagnostic'!$A$8:$A$57,0))="","",INDEX('3. AI Fit Diagnostic'!$AD$8:$AD$57,MATCH($B$4,'3. AI Fit Diagnostic'!$A$8:$A$57,0))),"")</f>
        <v>H2 - Next (6-12 months)</v>
      </c>
    </row>
    <row r="15" ht="58" customHeight="1">
      <c r="A15" s="4" t="inlineStr">
        <is>
          <t>GT recommendation</t>
        </is>
      </c>
      <c r="B15" s="70" t="str">
        <f>IFERROR(IF(INDEX('3. AI Fit Diagnostic'!$AF$8:$AF$57,MATCH($B$4,'3. AI Fit Diagnostic'!$A$8:$A$57,0))="","",INDEX('3. AI Fit Diagnostic'!$AF$8:$AF$57,MATCH($B$4,'3. AI Fit Diagnostic'!$A$8:$A$57,0))),"")</f>
        <v>Full-population JE analytics with rules and ML anomaly scoring; auditor investigates and concludes.</v>
      </c>
      <c r="C15" s="15" t="n"/>
      <c r="D15" s="15" t="n"/>
    </row>
    <row r="16" ht="30" customHeight="1">
      <c r="A16" s="4" t="inlineStr">
        <is>
          <t>Data needed</t>
        </is>
      </c>
      <c r="B16" s="69" t="str">
        <f>IFERROR(IF(INDEX('3. AI Fit Diagnostic'!$O$8:$O$57,MATCH($B$4,'3. AI Fit Diagnostic'!$A$8:$A$57,0))="Custom","-",INDEX('2. Use-Case Library'!$I$5:$I$244,MATCH(INDEX('3. AI Fit Diagnostic'!$O$8:$O$57,MATCH($B$4,'3. AI Fit Diagnostic'!$A$8:$A$57,0)),'2. Use-Case Library'!$A$5:$A$244,0))),"")</f>
        <v>Client GL / JE extracts</v>
      </c>
      <c r="C16" s="15" t="n"/>
      <c r="D16" s="15" t="n"/>
    </row>
    <row r="17" ht="30" customHeight="1">
      <c r="A17" s="4" t="inlineStr">
        <is>
          <t>Typical solutions</t>
        </is>
      </c>
      <c r="B17" s="69" t="str">
        <f>IFERROR(INDEX(Lists!$G$2:$G$11,MATCH(INDEX('3. AI Fit Diagnostic'!$R$8:$R$57,MATCH($B$4,'3. AI Fit Diagnostic'!$A$8:$A$57,0)),Lists!$B$2:$B$11,0)),"")</f>
        <v>Azure ML / Databricks / SageMaker, vendor ML modules (fraud, demand, churn), AutoML</v>
      </c>
      <c r="C17" s="15" t="n"/>
      <c r="D17" s="15" t="n"/>
    </row>
    <row r="18" ht="44" customHeight="1">
      <c r="A18" s="4" t="inlineStr">
        <is>
          <t>Design notes</t>
        </is>
      </c>
      <c r="B18" s="69" t="str">
        <f>IFERROR(INDEX(Lists!$I$2:$I$11,MATCH(INDEX('3. AI Fit Diagnostic'!$R$8:$R$57,MATCH($B$4,'3. AI Fit Diagnostic'!$A$8:$A$57,0)),Lists!$B$2:$B$11,0)),"")</f>
        <v>Needs history (D2) and ideally recorded outcomes (D6). Scoring of individuals (credit, hiring, insurance) is high-risk: impact assessment and bias testing.</v>
      </c>
      <c r="C18" s="15" t="n"/>
      <c r="D18" s="15" t="n"/>
    </row>
    <row r="19" ht="30" customHeight="1">
      <c r="A19" s="4" t="inlineStr">
        <is>
          <t>What this verdict means</t>
        </is>
      </c>
      <c r="B19" s="69" t="str">
        <f>IFERROR(INDEX(Lists!$AS$2:$AS$6,MATCH(B12,Lists!$AR$2:$AR$6,0)),"")</f>
        <v>AI fits and the data exists, but the solution is more complex than the organisation can build or run today.</v>
      </c>
      <c r="C19" s="15" t="n"/>
      <c r="D19" s="15" t="n"/>
    </row>
    <row r="20" ht="22" customHeight="1">
      <c r="A20" s="3" t="inlineStr">
        <is>
          <t>3. RISK, REGULATION &amp; MINIMUM CONTROLS</t>
        </is>
      </c>
    </row>
    <row r="21">
      <c r="A21" s="4" t="inlineStr">
        <is>
          <t>Inherent risk tier</t>
        </is>
      </c>
      <c r="B21" s="57" t="str">
        <f>IFERROR(IF(INDEX('3. AI Fit Diagnostic'!$Z$8:$Z$57,MATCH($B$4,'3. AI Fit Diagnostic'!$A$8:$A$57,0))="","",INDEX('3. AI Fit Diagnostic'!$Z$8:$Z$57,MATCH($B$4,'3. AI Fit Diagnostic'!$A$8:$A$57,0))),"")</f>
        <v>High</v>
      </c>
      <c r="C21" s="4" t="inlineStr">
        <is>
          <t>Library minimum tier</t>
        </is>
      </c>
      <c r="D21" s="21" t="str">
        <f>IFERROR(IF(INDEX('3. AI Fit Diagnostic'!$O$8:$O$57,MATCH($B$4,'3. AI Fit Diagnostic'!$A$8:$A$57,0))="Custom","-",INDEX('2. Use-Case Library'!$L$5:$L$244,MATCH(INDEX('3. AI Fit Diagnostic'!$O$8:$O$57,MATCH($B$4,'3. AI Fit Diagnostic'!$A$8:$A$57,0)),'2. Use-Case Library'!$A$5:$A$244,0))),"")</f>
        <v>Medium</v>
      </c>
    </row>
    <row r="22" ht="44" customHeight="1">
      <c r="A22" s="4" t="inlineStr">
        <is>
          <t>Regulatory &amp; risk notes</t>
        </is>
      </c>
      <c r="B22" s="69" t="str">
        <f>IFERROR(IF(INDEX('3. AI Fit Diagnostic'!$AG$8:$AG$57,MATCH($B$4,'3. AI Fit Diagnostic'!$A$8:$A$57,0))="","",INDEX('3. AI Fit Diagnostic'!$AG$8:$AG$57,MATCH($B$4,'3. AI Fit Diagnostic'!$A$8:$A$57,0))),"")</f>
        <v>ISA 240 / 330; documentation in working papers; client-data confidentiality.</v>
      </c>
      <c r="C22" s="15" t="n"/>
      <c r="D22" s="15" t="n"/>
    </row>
    <row r="23" ht="66" customHeight="1">
      <c r="A23" s="4" t="inlineStr">
        <is>
          <t>Minimum controls before go-live</t>
        </is>
      </c>
      <c r="B23" s="69" t="str">
        <f>IFERROR(INDEX(Lists!$AP$2:$AP$4,MATCH(B21,Lists!$AO$2:$AO$4,0)),"")</f>
        <v>As Medium, plus: AI system impact assessment (ISO/IEC 42005) and DPIA; bias, robustness and security testing (incl. AI red teaming); human-in-the-loop for decisions about individuals; EU AI Act / CBB obligations checked; executive / AI committee approval; GT AI RCM v2.1 controls applied.</v>
      </c>
      <c r="C23" s="15" t="n"/>
      <c r="D23" s="15" t="n"/>
    </row>
    <row r="24" ht="22" customHeight="1">
      <c r="A24" s="3" t="inlineStr">
        <is>
          <t>4. MEASURING SUCCESS</t>
        </is>
      </c>
    </row>
    <row r="25" ht="30" customHeight="1">
      <c r="A25" s="4" t="inlineStr">
        <is>
          <t>KPIs</t>
        </is>
      </c>
      <c r="B25" s="69" t="str">
        <f>IFERROR(IF(INDEX('3. AI Fit Diagnostic'!$O$8:$O$57,MATCH($B$4,'3. AI Fit Diagnostic'!$A$8:$A$57,0))="Custom",INDEX(Lists!$H$2:$H$11,MATCH(INDEX('3. AI Fit Diagnostic'!$R$8:$R$57,MATCH($B$4,'3. AI Fit Diagnostic'!$A$8:$A$57,0)),Lists!$B$2:$B$11,0)),INDEX('2. Use-Case Library'!$J$5:$J$244,MATCH(INDEX('3. AI Fit Diagnostic'!$O$8:$O$57,MATCH($B$4,'3. AI Fit Diagnostic'!$A$8:$A$57,0)),'2. Use-Case Library'!$A$5:$A$244,0))),"")</f>
        <v>Coverage; exceptions investigated; audit hours</v>
      </c>
      <c r="C25" s="15" t="n"/>
      <c r="D25" s="15" t="n"/>
    </row>
    <row r="26">
      <c r="A26" s="4" t="inlineStr">
        <is>
          <t>Indicative hours released / yr</t>
        </is>
      </c>
      <c r="B26" s="49">
        <f>IFERROR(IF(INDEX('3. AI Fit Diagnostic'!$AE$8:$AE$57,MATCH($B$4,'3. AI Fit Diagnostic'!$A$8:$A$57,0))="","",INDEX('3. AI Fit Diagnostic'!$AE$8:$AE$57,MATCH($B$4,'3. AI Fit Diagnostic'!$A$8:$A$57,0))),"")</f>
        <v>720</v>
      </c>
      <c r="C26" s="4" t="inlineStr">
        <is>
          <t>Target / success criterion</t>
        </is>
      </c>
      <c r="D26" s="7" t="inlineStr"/>
    </row>
    <row r="27" ht="22" customHeight="1">
      <c r="A27" s="3" t="inlineStr">
        <is>
          <t>5. NEXT STEP &amp; OWNERSHIP</t>
        </is>
      </c>
    </row>
    <row r="28" ht="34" customHeight="1">
      <c r="A28" s="4" t="inlineStr">
        <is>
          <t>Recommended next step</t>
        </is>
      </c>
      <c r="B28" s="69" t="str">
        <f>IFERROR(INDEX(Lists!$AT$2:$AT$6,MATCH(B12,Lists!$AR$2:$AR$6,0)),"")</f>
        <v>Use a vendor product or delivery partner, or run a time-boxed pilot; build capability before scaling.</v>
      </c>
      <c r="C28" s="15" t="n"/>
      <c r="D28" s="15" t="n"/>
    </row>
    <row r="29">
      <c r="A29" s="4" t="inlineStr">
        <is>
          <t>Business owner</t>
        </is>
      </c>
      <c r="B29" s="7" t="inlineStr"/>
      <c r="C29" s="4" t="inlineStr">
        <is>
          <t>Executive sponsor</t>
        </is>
      </c>
      <c r="D29" s="7" t="inlineStr"/>
    </row>
    <row r="30">
      <c r="A30" s="4" t="inlineStr">
        <is>
          <t>Budget / effort estimate</t>
        </is>
      </c>
      <c r="B30" s="7" t="inlineStr"/>
      <c r="C30" s="4" t="inlineStr">
        <is>
          <t>Decision date</t>
        </is>
      </c>
      <c r="D30" s="7" t="inlineStr"/>
    </row>
    <row r="31">
      <c r="A31" s="4" t="inlineStr">
        <is>
          <t>Decision</t>
        </is>
      </c>
      <c r="B31" s="7" t="inlineStr"/>
      <c r="C31" s="8" t="n"/>
      <c r="D31" s="8" t="n"/>
    </row>
  </sheetData>
  <mergeCells count="17">
    <mergeCell ref="A1:D1"/>
    <mergeCell ref="B28:D28"/>
    <mergeCell ref="B19:D19"/>
    <mergeCell ref="A27:D27"/>
    <mergeCell ref="A6:D6"/>
    <mergeCell ref="B31:D31"/>
    <mergeCell ref="B23:D23"/>
    <mergeCell ref="B22:D22"/>
    <mergeCell ref="A20:D20"/>
    <mergeCell ref="B17:D17"/>
    <mergeCell ref="B18:D18"/>
    <mergeCell ref="A24:D24"/>
    <mergeCell ref="A2:D2"/>
    <mergeCell ref="A11:D11"/>
    <mergeCell ref="B15:D15"/>
    <mergeCell ref="B25:D25"/>
    <mergeCell ref="B16:D16"/>
  </mergeCells>
  <conditionalFormatting sqref="B12">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B21">
    <cfRule type="cellIs" priority="6" operator="equal" dxfId="1">
      <formula>"Low"</formula>
    </cfRule>
    <cfRule type="cellIs" priority="7" operator="equal" dxfId="2">
      <formula>"Medium"</formula>
    </cfRule>
    <cfRule type="cellIs" priority="8" operator="equal" dxfId="3">
      <formula>"High"</formula>
    </cfRule>
  </conditionalFormatting>
  <dataValidations count="2">
    <dataValidation sqref="B4" showDropDown="0" showInputMessage="0" showErrorMessage="1" allowBlank="1" type="list">
      <formula1>=Lists!$AX$2:$AX$51</formula1>
    </dataValidation>
    <dataValidation sqref="B31" showDropDown="0" showInputMessage="0" showErrorMessage="1" allowBlank="1" type="list">
      <formula1>"Proceed to pilot,Proceed to automation,Fix foundations first,Defer,Reject"</formula1>
    </dataValidation>
  </dataValidations>
  <printOptions gridLines="0"/>
  <pageMargins left="0.5" right="0.5" top="0.75" bottom="0.75" header="0.25" footer="0.25"/>
  <pageSetup orientation="portrait" paperSize="9" fitToHeight="1" fitToWidth="1"/>
  <headerFooter>
    <oddHeader/>
    <oddFooter>&amp;L&amp;8 GT AI Opportunity Discovery Toolkit&amp;R&amp;8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22"/>
  <sheetViews>
    <sheetView showGridLines="0" workbookViewId="0">
      <selection activeCell="A1" sqref="A1"/>
    </sheetView>
  </sheetViews>
  <sheetFormatPr baseColWidth="8" defaultRowHeight="15"/>
  <cols>
    <col width="26" customWidth="1" min="1" max="1"/>
    <col width="22" customWidth="1" min="2" max="2"/>
    <col width="13" customWidth="1" min="3" max="3"/>
    <col width="44" customWidth="1" min="4" max="4"/>
    <col width="52" customWidth="1" min="5" max="5"/>
    <col width="10" customWidth="1" min="6" max="6"/>
    <col width="10" customWidth="1" min="7" max="7"/>
  </cols>
  <sheetData>
    <row r="1" ht="32" customHeight="1">
      <c r="A1" s="1" t="inlineStr">
        <is>
          <t>7. Sector Profiles</t>
        </is>
      </c>
    </row>
    <row r="2" ht="32" customHeight="1">
      <c r="A2" s="2" t="inlineStr">
        <is>
          <t>Value at stake, automation &amp; AI potential, where value sits and the regulators / rules that shape AI use - by sector. Library entries are counted live from the GT AI Use-Case Library.</t>
        </is>
      </c>
    </row>
    <row r="4">
      <c r="A4" s="22" t="inlineStr">
        <is>
          <t>Sector</t>
        </is>
      </c>
      <c r="B4" s="22" t="inlineStr">
        <is>
          <t>Value at stake by 2030 (GDP uplift)</t>
        </is>
      </c>
      <c r="C4" s="22" t="inlineStr">
        <is>
          <t>Automation &amp; AI potential</t>
        </is>
      </c>
      <c r="D4" s="22" t="inlineStr">
        <is>
          <t>Where the value is (typical value pools)</t>
        </is>
      </c>
      <c r="E4" s="22" t="inlineStr">
        <is>
          <t>Regulators &amp; key rules</t>
        </is>
      </c>
      <c r="F4" s="22" t="inlineStr">
        <is>
          <t>Library entries</t>
        </is>
      </c>
      <c r="G4" s="22" t="inlineStr">
        <is>
          <t>High-risk entries</t>
        </is>
      </c>
    </row>
    <row r="5" ht="58" customHeight="1">
      <c r="A5" s="71" t="inlineStr">
        <is>
          <t>Banking &amp; payments</t>
        </is>
      </c>
      <c r="B5" s="61" t="inlineStr">
        <is>
          <t>$2.1T  |  10.0%</t>
        </is>
      </c>
      <c r="C5" s="61" t="inlineStr">
        <is>
          <t>Very high</t>
        </is>
      </c>
      <c r="D5" s="61" t="inlineStr">
        <is>
          <t>Onboarding &amp; KYC, financial-crime alert triage, fraud, credit, customer service, regulatory reporting</t>
        </is>
      </c>
      <c r="E5" s="61" t="inlineStr">
        <is>
          <t>CBB Rulebook (e.g., FC financial crime, OM operational risk, BC business conduct); PDPL; FATF; EU AI Act Annex III 5(b) credit scoring; model risk (SR 11-7 principles)</t>
        </is>
      </c>
      <c r="F5" s="21">
        <f>COUNTIF('2. Use-Case Library'!$B$5:$B$244,A5)</f>
        <v>23</v>
      </c>
      <c r="G5" s="21">
        <f>COUNTIFS('2. Use-Case Library'!$B$5:$B$244,A5,'2. Use-Case Library'!$L$5:$L$244,"High")</f>
        <v>1</v>
      </c>
    </row>
    <row r="6" ht="58" customHeight="1">
      <c r="A6" s="71" t="inlineStr">
        <is>
          <t>Insurance</t>
        </is>
      </c>
      <c r="B6" s="61" t="inlineStr">
        <is>
          <t>$2.1T  |  10.0% (financial services)</t>
        </is>
      </c>
      <c r="C6" s="61" t="inlineStr">
        <is>
          <t>Very high</t>
        </is>
      </c>
      <c r="D6" s="61" t="inlineStr">
        <is>
          <t>Claims intake &amp; settlement, claims fraud, underwriting intake, policy servicing</t>
        </is>
      </c>
      <c r="E6" s="61" t="inlineStr">
        <is>
          <t>CBB Rulebook (insurance); PDPL (health data sensitive); EU AI Act Annex III 5(c) life &amp; health pricing</t>
        </is>
      </c>
      <c r="F6" s="21">
        <f>COUNTIF('2. Use-Case Library'!$B$5:$B$244,A6)</f>
        <v>17</v>
      </c>
      <c r="G6" s="21">
        <f>COUNTIFS('2. Use-Case Library'!$B$5:$B$244,A6,'2. Use-Case Library'!$L$5:$L$244,"High")</f>
        <v>1</v>
      </c>
    </row>
    <row r="7" ht="58" customHeight="1">
      <c r="A7" s="71" t="inlineStr">
        <is>
          <t>Capital markets &amp; wealth</t>
        </is>
      </c>
      <c r="B7" s="61" t="inlineStr">
        <is>
          <t>$2.1T  |  10.0% (financial services)</t>
        </is>
      </c>
      <c r="C7" s="61" t="inlineStr">
        <is>
          <t>High</t>
        </is>
      </c>
      <c r="D7" s="61" t="inlineStr">
        <is>
          <t>Reconciliations, surveillance, research, client reporting</t>
        </is>
      </c>
      <c r="E7" s="61" t="inlineStr">
        <is>
          <t>CBB capital-market rules; market-abuse rules; FATF</t>
        </is>
      </c>
      <c r="F7" s="21">
        <f>COUNTIF('2. Use-Case Library'!$B$5:$B$244,A7)</f>
        <v>8</v>
      </c>
      <c r="G7" s="21">
        <f>COUNTIFS('2. Use-Case Library'!$B$5:$B$244,A7,'2. Use-Case Library'!$L$5:$L$244,"High")</f>
        <v>0</v>
      </c>
    </row>
    <row r="8" ht="58" customHeight="1">
      <c r="A8" s="71" t="inlineStr">
        <is>
          <t>Healthcare</t>
        </is>
      </c>
      <c r="B8" s="61" t="inlineStr">
        <is>
          <t>$5.1T  |  20.7%</t>
        </is>
      </c>
      <c r="C8" s="61" t="inlineStr">
        <is>
          <t>Very high</t>
        </is>
      </c>
      <c r="D8" s="61" t="inlineStr">
        <is>
          <t>Revenue cycle, scheduling, documentation, coding, imaging and early warning (regulated)</t>
        </is>
      </c>
      <c r="E8" s="61" t="inlineStr">
        <is>
          <t>NHRA (facility, professional and medical-device rules); PDPL (health data sensitive); EU MDR / AI Act Annex I for medical-device AI; Annex III 5(d) triage</t>
        </is>
      </c>
      <c r="F8" s="21">
        <f>COUNTIF('2. Use-Case Library'!$B$5:$B$244,A8)</f>
        <v>20</v>
      </c>
      <c r="G8" s="21">
        <f>COUNTIFS('2. Use-Case Library'!$B$5:$B$244,A8,'2. Use-Case Library'!$L$5:$L$244,"High")</f>
        <v>2</v>
      </c>
    </row>
    <row r="9" ht="58" customHeight="1">
      <c r="A9" s="71" t="inlineStr">
        <is>
          <t>Telecommunications</t>
        </is>
      </c>
      <c r="B9" s="61" t="inlineStr">
        <is>
          <t>$305B  |  12.4% (technology, communications &amp; entertainment)</t>
        </is>
      </c>
      <c r="C9" s="61" t="inlineStr">
        <is>
          <t>Very high</t>
        </is>
      </c>
      <c r="D9" s="61" t="inlineStr">
        <is>
          <t>Network operations (AIOps), churn, care automation, fraud, revenue assurance</t>
        </is>
      </c>
      <c r="E9" s="61" t="inlineStr">
        <is>
          <t>TRA (consumer protection, QoS, licensing); PDPL; critical-infrastructure resilience</t>
        </is>
      </c>
      <c r="F9" s="21">
        <f>COUNTIF('2. Use-Case Library'!$B$5:$B$244,A9)</f>
        <v>17</v>
      </c>
      <c r="G9" s="21">
        <f>COUNTIFS('2. Use-Case Library'!$B$5:$B$244,A9,'2. Use-Case Library'!$L$5:$L$244,"High")</f>
        <v>0</v>
      </c>
    </row>
    <row r="10" ht="58" customHeight="1">
      <c r="A10" s="71" t="inlineStr">
        <is>
          <t>Government &amp; public sector</t>
        </is>
      </c>
      <c r="B10" s="61" t="inlineStr">
        <is>
          <t>Not sized separately in the 2030 analysis - value from faster citizen services, application processing and translation (iGA AI Policy 2025)</t>
        </is>
      </c>
      <c r="C10" s="61" t="inlineStr">
        <is>
          <t>High</t>
        </is>
      </c>
      <c r="D10" s="61" t="inlineStr">
        <is>
          <t>Citizen services, application processing, translation, records, inspections</t>
        </is>
      </c>
      <c r="E10" s="61" t="inlineStr">
        <is>
          <t>iGA General Policy for the Use of AI (2025); PDPL; EU AI Act Annex III 5(a) public assistance; transparency and appeal rights</t>
        </is>
      </c>
      <c r="F10" s="21">
        <f>COUNTIF('2. Use-Case Library'!$B$5:$B$244,A10)</f>
        <v>15</v>
      </c>
      <c r="G10" s="21">
        <f>COUNTIFS('2. Use-Case Library'!$B$5:$B$244,A10,'2. Use-Case Library'!$L$5:$L$244,"High")</f>
        <v>2</v>
      </c>
    </row>
    <row r="11" ht="58" customHeight="1">
      <c r="A11" s="71" t="inlineStr">
        <is>
          <t>Retail &amp; e-commerce</t>
        </is>
      </c>
      <c r="B11" s="61" t="inlineStr">
        <is>
          <t>$2.0T  |  14.8%</t>
        </is>
      </c>
      <c r="C11" s="61" t="inlineStr">
        <is>
          <t>High</t>
        </is>
      </c>
      <c r="D11" s="61" t="inlineStr">
        <is>
          <t>Demand forecasting, pricing, personalisation, content, service</t>
        </is>
      </c>
      <c r="E11" s="61" t="inlineStr">
        <is>
          <t>PDPL (consent, profiling); consumer-protection rules</t>
        </is>
      </c>
      <c r="F11" s="21">
        <f>COUNTIF('2. Use-Case Library'!$B$5:$B$244,A11)</f>
        <v>11</v>
      </c>
      <c r="G11" s="21">
        <f>COUNTIFS('2. Use-Case Library'!$B$5:$B$244,A11,'2. Use-Case Library'!$L$5:$L$244,"High")</f>
        <v>0</v>
      </c>
    </row>
    <row r="12" ht="58" customHeight="1">
      <c r="A12" s="71" t="inlineStr">
        <is>
          <t>Hospitality &amp; tourism</t>
        </is>
      </c>
      <c r="B12" s="61" t="inlineStr">
        <is>
          <t>$2.0T  |  14.8% (retail &amp; consumer)</t>
        </is>
      </c>
      <c r="C12" s="61" t="inlineStr">
        <is>
          <t>High</t>
        </is>
      </c>
      <c r="D12" s="61" t="inlineStr">
        <is>
          <t>Revenue management, guest messaging, reputation, F&amp;B waste</t>
        </is>
      </c>
      <c r="E12" s="61" t="inlineStr">
        <is>
          <t>PDPL (guest data); tourism licensing rules</t>
        </is>
      </c>
      <c r="F12" s="21">
        <f>COUNTIF('2. Use-Case Library'!$B$5:$B$244,A12)</f>
        <v>10</v>
      </c>
      <c r="G12" s="21">
        <f>COUNTIFS('2. Use-Case Library'!$B$5:$B$244,A12,'2. Use-Case Library'!$L$5:$L$244,"High")</f>
        <v>0</v>
      </c>
    </row>
    <row r="13" ht="58" customHeight="1">
      <c r="A13" s="71" t="inlineStr">
        <is>
          <t>Manufacturing &amp; industrial</t>
        </is>
      </c>
      <c r="B13" s="61" t="inlineStr">
        <is>
          <t>$4.0T  |  11.9%</t>
        </is>
      </c>
      <c r="C13" s="61" t="inlineStr">
        <is>
          <t>High</t>
        </is>
      </c>
      <c r="D13" s="61" t="inlineStr">
        <is>
          <t>Predictive maintenance, quality inspection, scheduling, energy</t>
        </is>
      </c>
      <c r="E13" s="61" t="inlineStr">
        <is>
          <t>OT security (IEC 62443); ISO 45001 / 55000 / 50001</t>
        </is>
      </c>
      <c r="F13" s="21">
        <f>COUNTIF('2. Use-Case Library'!$B$5:$B$244,A13)</f>
        <v>11</v>
      </c>
      <c r="G13" s="21">
        <f>COUNTIFS('2. Use-Case Library'!$B$5:$B$244,A13,'2. Use-Case Library'!$L$5:$L$244,"High")</f>
        <v>0</v>
      </c>
    </row>
    <row r="14" ht="58" customHeight="1">
      <c r="A14" s="71" t="inlineStr">
        <is>
          <t>Oil, gas, energy &amp; utilities</t>
        </is>
      </c>
      <c r="B14" s="61" t="inlineStr">
        <is>
          <t>$1.7T  |  12.0%</t>
        </is>
      </c>
      <c r="C14" s="61" t="inlineStr">
        <is>
          <t>High</t>
        </is>
      </c>
      <c r="D14" s="61" t="inlineStr">
        <is>
          <t>Asset integrity, inspection, load forecasting, leak detection, ESG reporting</t>
        </is>
      </c>
      <c r="E14" s="61" t="inlineStr">
        <is>
          <t>Critical infrastructure; process safety; EU AI Act Annex III (2) critical-infrastructure safety components</t>
        </is>
      </c>
      <c r="F14" s="21">
        <f>COUNTIF('2. Use-Case Library'!$B$5:$B$244,A14)</f>
        <v>10</v>
      </c>
      <c r="G14" s="21">
        <f>COUNTIFS('2. Use-Case Library'!$B$5:$B$244,A14,'2. Use-Case Library'!$L$5:$L$244,"High")</f>
        <v>0</v>
      </c>
    </row>
    <row r="15" ht="58" customHeight="1">
      <c r="A15" s="71" t="inlineStr">
        <is>
          <t>Logistics, aviation &amp; transport</t>
        </is>
      </c>
      <c r="B15" s="61" t="inlineStr">
        <is>
          <t>$569B  |  10.3%</t>
        </is>
      </c>
      <c r="C15" s="61" t="inlineStr">
        <is>
          <t>High</t>
        </is>
      </c>
      <c r="D15" s="61" t="inlineStr">
        <is>
          <t>Routing, warehouse optimisation, customs documents, fleet maintenance</t>
        </is>
      </c>
      <c r="E15" s="61" t="inlineStr">
        <is>
          <t>Customs rules; driver-monitoring privacy; aviation safety rules</t>
        </is>
      </c>
      <c r="F15" s="21">
        <f>COUNTIF('2. Use-Case Library'!$B$5:$B$244,A15)</f>
        <v>9</v>
      </c>
      <c r="G15" s="21">
        <f>COUNTIFS('2. Use-Case Library'!$B$5:$B$244,A15,'2. Use-Case Library'!$L$5:$L$244,"High")</f>
        <v>0</v>
      </c>
    </row>
    <row r="16" ht="58" customHeight="1">
      <c r="A16" s="71" t="inlineStr">
        <is>
          <t>Real estate &amp; construction</t>
        </is>
      </c>
      <c r="B16" s="61" t="inlineStr">
        <is>
          <t>Not sized separately in the 2030 analysis - value from lease administration, tenant service and construction productivity</t>
        </is>
      </c>
      <c r="C16" s="61" t="inlineStr">
        <is>
          <t>Medium</t>
        </is>
      </c>
      <c r="D16" s="61" t="inlineStr">
        <is>
          <t>Lease abstraction, tenant service, rent collection, progress monitoring</t>
        </is>
      </c>
      <c r="E16" s="61" t="inlineStr">
        <is>
          <t>RERA; PDPL; site-safety rules</t>
        </is>
      </c>
      <c r="F16" s="21">
        <f>COUNTIF('2. Use-Case Library'!$B$5:$B$244,A16)</f>
        <v>7</v>
      </c>
      <c r="G16" s="21">
        <f>COUNTIFS('2. Use-Case Library'!$B$5:$B$244,A16,'2. Use-Case Library'!$L$5:$L$244,"High")</f>
        <v>0</v>
      </c>
    </row>
    <row r="17" ht="58" customHeight="1">
      <c r="A17" s="71" t="inlineStr">
        <is>
          <t>Education</t>
        </is>
      </c>
      <c r="B17" s="61" t="inlineStr">
        <is>
          <t>Not sized separately in the 2030 analysis - value from student services, content development and timetabling</t>
        </is>
      </c>
      <c r="C17" s="61" t="inlineStr">
        <is>
          <t>Medium</t>
        </is>
      </c>
      <c r="D17" s="61" t="inlineStr">
        <is>
          <t>Student service, content, timetabling - assessment and admissions are high-risk</t>
        </is>
      </c>
      <c r="E17" s="61" t="inlineStr">
        <is>
          <t>BQA; PDPL (minors); EU AI Act Annex III (3) education</t>
        </is>
      </c>
      <c r="F17" s="21">
        <f>COUNTIF('2. Use-Case Library'!$B$5:$B$244,A17)</f>
        <v>7</v>
      </c>
      <c r="G17" s="21">
        <f>COUNTIFS('2. Use-Case Library'!$B$5:$B$244,A17,'2. Use-Case Library'!$L$5:$L$244,"High")</f>
        <v>2</v>
      </c>
    </row>
    <row r="18" ht="58" customHeight="1">
      <c r="A18" s="71" t="inlineStr">
        <is>
          <t>Professional services</t>
        </is>
      </c>
      <c r="B18" s="61" t="inlineStr">
        <is>
          <t>Not sized separately in the 2030 analysis - value from audit, tax and advisory delivery (e.g., full-population auditing, predictive tax modelling, DD review)</t>
        </is>
      </c>
      <c r="C18" s="61" t="inlineStr">
        <is>
          <t>High</t>
        </is>
      </c>
      <c r="D18" s="61" t="inlineStr">
        <is>
          <t>Audit analytics, drafting, tax research, DD review, practice operations</t>
        </is>
      </c>
      <c r="E18" s="61" t="inlineStr">
        <is>
          <t>ISQM 1; IESBA Code; ISAs; client confidentiality; PDPL</t>
        </is>
      </c>
      <c r="F18" s="21">
        <f>COUNTIF('2. Use-Case Library'!$B$5:$B$244,A18)</f>
        <v>15</v>
      </c>
      <c r="G18" s="21">
        <f>COUNTIFS('2. Use-Case Library'!$B$5:$B$244,A18,'2. Use-Case Library'!$L$5:$L$244,"High")</f>
        <v>0</v>
      </c>
    </row>
    <row r="19" ht="30" customHeight="1">
      <c r="A19" s="4" t="inlineStr">
        <is>
          <t>Cross-industry</t>
        </is>
      </c>
      <c r="B19" s="61" t="inlineStr">
        <is>
          <t>Finance, HR, customer service, marketing, procurement, risk &amp; compliance, IT, facilities, management and knowledge processes common to all sectors.</t>
        </is>
      </c>
      <c r="C19" s="15" t="n"/>
      <c r="D19" s="15" t="n"/>
      <c r="E19" s="15" t="n"/>
      <c r="F19" s="21">
        <f>COUNTIF('2. Use-Case Library'!$B$5:$B$244,"Cross-industry")</f>
        <v>60</v>
      </c>
      <c r="G19" s="21">
        <f>COUNTIFS('2. Use-Case Library'!$B$5:$B$244,"Cross-industry",'2. Use-Case Library'!$L$5:$L$244,"High")</f>
        <v>1</v>
      </c>
    </row>
    <row r="20">
      <c r="A20" s="27" t="inlineStr">
        <is>
          <t>Total</t>
        </is>
      </c>
      <c r="B20" s="72" t="inlineStr"/>
      <c r="C20" s="18" t="n"/>
      <c r="D20" s="18" t="n"/>
      <c r="E20" s="18" t="n"/>
      <c r="F20" s="29">
        <f>SUM(F5:F19)</f>
        <v>240</v>
      </c>
      <c r="G20" s="29">
        <f>SUM(G5:G19)</f>
        <v>9</v>
      </c>
    </row>
    <row r="22" ht="40" customHeight="1">
      <c r="A22" s="62" t="inlineStr">
        <is>
          <t>Source (value at stake, GDP uplift by 2030): QuantumBlack &amp; PwC analysis (Predictions for 2030); insurance and capital markets share the financial-services figure; hospitality shares retail &amp; consumer. Sectors not sized separately in that analysis are described qualitatively. Potential is GT's qualitative assessment of automation and AI opportunity density in the library.</t>
        </is>
      </c>
      <c r="B22" s="15" t="n"/>
      <c r="C22" s="15" t="n"/>
      <c r="D22" s="15" t="n"/>
      <c r="E22" s="15" t="n"/>
      <c r="F22" s="15" t="n"/>
      <c r="G22" s="15" t="n"/>
    </row>
  </sheetData>
  <mergeCells count="5">
    <mergeCell ref="A1:G1"/>
    <mergeCell ref="A22:G22"/>
    <mergeCell ref="A2:G2"/>
    <mergeCell ref="B19:E19"/>
    <mergeCell ref="B20:E20"/>
  </mergeCells>
  <printOptions gridLines="0"/>
  <pageMargins left="0.5" right="0.5" top="0.75" bottom="0.75" header="0.25" footer="0.25"/>
  <pageSetup orientation="landscape" paperSize="9" fitToHeight="0" fitToWidth="1"/>
  <headerFooter>
    <oddHeader/>
    <oddFooter>&amp;L&amp;8 GT AI Opportunity Discovery Toolkit&amp;R&amp;8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76"/>
  <sheetViews>
    <sheetView showGridLines="0" workbookViewId="0">
      <selection activeCell="A1" sqref="A1"/>
    </sheetView>
  </sheetViews>
  <sheetFormatPr baseColWidth="8" defaultRowHeight="15"/>
  <cols>
    <col width="40" customWidth="1" min="1" max="1"/>
    <col width="30" customWidth="1" min="2" max="2"/>
    <col width="8" customWidth="1" min="3" max="3"/>
    <col width="9" customWidth="1" min="4" max="4"/>
    <col width="14" customWidth="1" min="5" max="5"/>
    <col width="60" customWidth="1" min="6" max="6"/>
  </cols>
  <sheetData>
    <row r="1" ht="32" customHeight="1">
      <c r="A1" s="1" t="inlineStr">
        <is>
          <t>Reference - solution families, archetypes, verdicts, functions and standards</t>
        </is>
      </c>
    </row>
    <row r="2" ht="32" customHeight="1">
      <c r="A2" s="2" t="inlineStr">
        <is>
          <t>The logic behind the toolkit, for facilitators and for the client's appendix.</t>
        </is>
      </c>
    </row>
    <row r="4" ht="22" customHeight="1">
      <c r="A4" s="3" t="inlineStr">
        <is>
          <t>SOLUTION FAMILIES (task nature -&gt; solution)</t>
        </is>
      </c>
    </row>
    <row r="5">
      <c r="A5" s="9" t="inlineStr">
        <is>
          <t>Nature of the task</t>
        </is>
      </c>
      <c r="B5" s="9" t="inlineStr">
        <is>
          <t>Solution family</t>
        </is>
      </c>
      <c r="C5" s="9" t="inlineStr">
        <is>
          <t>Level</t>
        </is>
      </c>
      <c r="D5" s="9" t="inlineStr">
        <is>
          <t>AI?</t>
        </is>
      </c>
      <c r="E5" s="9" t="inlineStr">
        <is>
          <t>Min. data</t>
        </is>
      </c>
      <c r="F5" s="9" t="inlineStr">
        <is>
          <t>Typical solutions / design notes</t>
        </is>
      </c>
    </row>
    <row r="6" ht="52" customHeight="1">
      <c r="A6" s="5" t="inlineStr">
        <is>
          <t>Move or re-key data between systems following fixed rules</t>
        </is>
      </c>
      <c r="B6" s="73" t="inlineStr">
        <is>
          <t>Workflow automation / RPA</t>
        </is>
      </c>
      <c r="C6" s="21" t="inlineStr">
        <is>
          <t>2</t>
        </is>
      </c>
      <c r="D6" s="21" t="inlineStr">
        <is>
          <t>No</t>
        </is>
      </c>
      <c r="E6" s="58" t="inlineStr">
        <is>
          <t>Partial or paper-based</t>
        </is>
      </c>
      <c r="F6" s="25" t="inlineStr">
        <is>
          <t>Power Automate, UiPath, Zapier / Make, ERP workflow.  Rules are stable and documented - AI adds little. Automate first.</t>
        </is>
      </c>
    </row>
    <row r="7" ht="52" customHeight="1">
      <c r="A7" s="5" t="inlineStr">
        <is>
          <t>Check or approve items against fixed criteria (rules, thresholds, checklists)</t>
        </is>
      </c>
      <c r="B7" s="73" t="inlineStr">
        <is>
          <t>Rules engine / workflow automation</t>
        </is>
      </c>
      <c r="C7" s="21" t="inlineStr">
        <is>
          <t>2</t>
        </is>
      </c>
      <c r="D7" s="21" t="inlineStr">
        <is>
          <t>No</t>
        </is>
      </c>
      <c r="E7" s="58" t="inlineStr">
        <is>
          <t>Partial or paper-based</t>
        </is>
      </c>
      <c r="F7" s="25" t="inlineStr">
        <is>
          <t>Business-rules engines, ERP / core-system workflow, low-code apps.  Encode the criteria; route exceptions to people. Use AI only for the unstructured part, if any.</t>
        </is>
      </c>
    </row>
    <row r="8" ht="52" customHeight="1">
      <c r="A8" s="5" t="inlineStr">
        <is>
          <t>Produce reports, dashboards or reconciliations from existing data</t>
        </is>
      </c>
      <c r="B8" s="73" t="inlineStr">
        <is>
          <t>BI, dashboards &amp; reconciliation automation</t>
        </is>
      </c>
      <c r="C8" s="21" t="inlineStr">
        <is>
          <t>2</t>
        </is>
      </c>
      <c r="D8" s="21" t="inlineStr">
        <is>
          <t>No</t>
        </is>
      </c>
      <c r="E8" s="58" t="inlineStr">
        <is>
          <t>Digital history available</t>
        </is>
      </c>
      <c r="F8" s="25" t="inlineStr">
        <is>
          <t>Power BI, Tableau, Excel automation, reconciliation tools.  Usually a data-modelling problem, not an AI problem. GenAI 'ask your data' can be layered on later.</t>
        </is>
      </c>
    </row>
    <row r="9" ht="52" customHeight="1">
      <c r="A9" s="5" t="inlineStr">
        <is>
          <t>Extract information from documents, forms or emails</t>
        </is>
      </c>
      <c r="B9" s="73" t="inlineStr">
        <is>
          <t>Intelligent document processing (IDP)</t>
        </is>
      </c>
      <c r="C9" s="21" t="inlineStr">
        <is>
          <t>3</t>
        </is>
      </c>
      <c r="D9" s="21" t="inlineStr">
        <is>
          <t>Light</t>
        </is>
      </c>
      <c r="E9" s="58" t="inlineStr">
        <is>
          <t>Partial or paper-based</t>
        </is>
      </c>
      <c r="F9" s="25" t="inlineStr">
        <is>
          <t>Azure AI Document Intelligence, AWS Textract, ABBYY, Rossum; OCR + validation rules.  Needs digital or scanned documents and a validation step. Arabic / bilingual accuracy to be tested.</t>
        </is>
      </c>
    </row>
    <row r="10" ht="52" customHeight="1">
      <c r="A10" s="5" t="inlineStr">
        <is>
          <t>Draft, summarise, translate or review text</t>
        </is>
      </c>
      <c r="B10" s="73" t="inlineStr">
        <is>
          <t>Generative AI assistant (off-the-shelf)</t>
        </is>
      </c>
      <c r="C10" s="21" t="inlineStr">
        <is>
          <t>3</t>
        </is>
      </c>
      <c r="D10" s="21" t="inlineStr">
        <is>
          <t>Yes</t>
        </is>
      </c>
      <c r="E10" s="58" t="inlineStr">
        <is>
          <t>None - not captured</t>
        </is>
      </c>
      <c r="F10" s="25" t="inlineStr">
        <is>
          <t>Microsoft 365 Copilot, ChatGPT Enterprise, Gemini for Workspace, Claude for Enterprise.  No own data needed, but needs acceptable-use policy, approved enterprise tools and human review (accuracy, confidentiality).</t>
        </is>
      </c>
    </row>
    <row r="11" ht="52" customHeight="1">
      <c r="A11" s="5" t="inlineStr">
        <is>
          <t>Answer questions from internal knowledge, policies or past work</t>
        </is>
      </c>
      <c r="B11" s="73" t="inlineStr">
        <is>
          <t>GenAI knowledge assistant (RAG on own content)</t>
        </is>
      </c>
      <c r="C11" s="21" t="inlineStr">
        <is>
          <t>4</t>
        </is>
      </c>
      <c r="D11" s="21" t="inlineStr">
        <is>
          <t>Yes</t>
        </is>
      </c>
      <c r="E11" s="58" t="inlineStr">
        <is>
          <t>Partial or paper-based</t>
        </is>
      </c>
      <c r="F11" s="25" t="inlineStr">
        <is>
          <t>Copilot Studio, Azure AI Search + LLM, Glean, vendor knowledge bots.  Quality depends on organised, current, access-controlled content (D4). Test for hallucination and data leakage.</t>
        </is>
      </c>
    </row>
    <row r="12" ht="52" customHeight="1">
      <c r="A12" s="5" t="inlineStr">
        <is>
          <t>Converse with customers, citizens or staff (chat, voice, WhatsApp)</t>
        </is>
      </c>
      <c r="B12" s="73" t="inlineStr">
        <is>
          <t>Conversational AI / virtual agent</t>
        </is>
      </c>
      <c r="C12" s="21" t="inlineStr">
        <is>
          <t>4</t>
        </is>
      </c>
      <c r="D12" s="21" t="inlineStr">
        <is>
          <t>Yes</t>
        </is>
      </c>
      <c r="E12" s="58" t="inlineStr">
        <is>
          <t>Partial or paper-based</t>
        </is>
      </c>
      <c r="F12" s="25" t="inlineStr">
        <is>
          <t>Copilot Studio, Dialogflow CX, Amazon Lex, contact-centre AI platforms.  Transparency to users (EU AI Act Art. 50); clear hand-off to humans; bilingual Arabic / English design.</t>
        </is>
      </c>
    </row>
    <row r="13" ht="52" customHeight="1">
      <c r="A13" s="5" t="inlineStr">
        <is>
          <t>Recognise or inspect images, video or speech</t>
        </is>
      </c>
      <c r="B13" s="73" t="inlineStr">
        <is>
          <t>Computer vision / speech AI</t>
        </is>
      </c>
      <c r="C13" s="21" t="inlineStr">
        <is>
          <t>4</t>
        </is>
      </c>
      <c r="D13" s="21" t="inlineStr">
        <is>
          <t>Yes</t>
        </is>
      </c>
      <c r="E13" s="58" t="inlineStr">
        <is>
          <t>Partial or paper-based</t>
        </is>
      </c>
      <c r="F13" s="25" t="inlineStr">
        <is>
          <t>Packaged vision / speech services, industry inspection products.  Biometric and surveillance uses can be prohibited or high-risk (EU AI Act Art. 5 / Annex III; PDPL sensitive data).</t>
        </is>
      </c>
    </row>
    <row r="14" ht="52" customHeight="1">
      <c r="A14" s="5" t="inlineStr">
        <is>
          <t>Forecast, score, classify or detect anomalies from historical data</t>
        </is>
      </c>
      <c r="B14" s="73" t="inlineStr">
        <is>
          <t>Predictive analytics / machine learning</t>
        </is>
      </c>
      <c r="C14" s="21" t="inlineStr">
        <is>
          <t>5</t>
        </is>
      </c>
      <c r="D14" s="21" t="inlineStr">
        <is>
          <t>Yes</t>
        </is>
      </c>
      <c r="E14" s="58" t="inlineStr">
        <is>
          <t>Digital history available</t>
        </is>
      </c>
      <c r="F14" s="25" t="inlineStr">
        <is>
          <t>Azure ML / Databricks / SageMaker, vendor ML modules (fraud, demand, churn), AutoML.  Needs history (D2) and ideally recorded outcomes (D6). Scoring of individuals (credit, hiring, insurance) is high-risk: impact assessment and bias testing.</t>
        </is>
      </c>
    </row>
    <row r="15" ht="52" customHeight="1">
      <c r="A15" s="5" t="inlineStr">
        <is>
          <t>Coordinate multi-step work across systems that needs judgement</t>
        </is>
      </c>
      <c r="B15" s="73" t="inlineStr">
        <is>
          <t>Agentic AI (supervised agents)</t>
        </is>
      </c>
      <c r="C15" s="21" t="inlineStr">
        <is>
          <t>5</t>
        </is>
      </c>
      <c r="D15" s="21" t="inlineStr">
        <is>
          <t>Yes</t>
        </is>
      </c>
      <c r="E15" s="58" t="inlineStr">
        <is>
          <t>Digital history available</t>
        </is>
      </c>
      <c r="F15" s="25" t="inlineStr">
        <is>
          <t>Copilot Studio agents, Azure AI Foundry Agent Service, Amazon Bedrock Agents, LangGraph.  Least agency and least privilege, human approval for high-impact actions, tool allow-lists, logging (ISACA Securing AI Agents 2026; OWASP LLM06 Excessive Agency).</t>
        </is>
      </c>
    </row>
    <row r="17" ht="22" customHeight="1">
      <c r="A17" s="3" t="inlineStr">
        <is>
          <t>SOLUTION LEVELS</t>
        </is>
      </c>
    </row>
    <row r="18">
      <c r="A18" s="4" t="inlineStr">
        <is>
          <t>Level 1</t>
        </is>
      </c>
      <c r="B18" s="69" t="inlineStr">
        <is>
          <t>Digitise / redesign</t>
        </is>
      </c>
      <c r="C18" s="15" t="n"/>
      <c r="D18" s="15" t="n"/>
      <c r="E18" s="15" t="n"/>
      <c r="F18" s="15" t="n"/>
    </row>
    <row r="19">
      <c r="A19" s="4" t="inlineStr">
        <is>
          <t>Level 2</t>
        </is>
      </c>
      <c r="B19" s="69" t="inlineStr">
        <is>
          <t>Automate (no AI)</t>
        </is>
      </c>
      <c r="C19" s="15" t="n"/>
      <c r="D19" s="15" t="n"/>
      <c r="E19" s="15" t="n"/>
      <c r="F19" s="15" t="n"/>
    </row>
    <row r="20">
      <c r="A20" s="4" t="inlineStr">
        <is>
          <t>Level 3</t>
        </is>
      </c>
      <c r="B20" s="69" t="inlineStr">
        <is>
          <t>Off-the-shelf / embedded AI</t>
        </is>
      </c>
      <c r="C20" s="15" t="n"/>
      <c r="D20" s="15" t="n"/>
      <c r="E20" s="15" t="n"/>
      <c r="F20" s="15" t="n"/>
    </row>
    <row r="21">
      <c r="A21" s="4" t="inlineStr">
        <is>
          <t>Level 4</t>
        </is>
      </c>
      <c r="B21" s="69" t="inlineStr">
        <is>
          <t>Configured AI on own data</t>
        </is>
      </c>
      <c r="C21" s="15" t="n"/>
      <c r="D21" s="15" t="n"/>
      <c r="E21" s="15" t="n"/>
      <c r="F21" s="15" t="n"/>
    </row>
    <row r="22">
      <c r="A22" s="4" t="inlineStr">
        <is>
          <t>Level 5</t>
        </is>
      </c>
      <c r="B22" s="69" t="inlineStr">
        <is>
          <t>Custom AI / agentic AI</t>
        </is>
      </c>
      <c r="C22" s="15" t="n"/>
      <c r="D22" s="15" t="n"/>
      <c r="E22" s="15" t="n"/>
      <c r="F22" s="15" t="n"/>
    </row>
    <row r="24" ht="22" customHeight="1">
      <c r="A24" s="3" t="inlineStr">
        <is>
          <t>AI POSITION ARCHETYPES</t>
        </is>
      </c>
    </row>
    <row r="25" ht="58" customHeight="1">
      <c r="A25" s="74" t="inlineStr">
        <is>
          <t>A. Automation is enough - for now</t>
        </is>
      </c>
      <c r="B25" s="21" t="inlineStr">
        <is>
          <t>Ceiling: level 3</t>
        </is>
      </c>
      <c r="C25" s="25" t="inlineStr">
        <is>
          <t>Digitise and automate first; use AI that is already built into everyday tools. Data and scale do not yet justify building AI. Most value comes from digitising paper steps, workflow / RPA automation, dashboards and safe use of off-the-shelf AI (e.g., AI features in Microsoft 365, accounting or CRM software) under an acceptable-use policy.</t>
        </is>
      </c>
      <c r="D25" s="15" t="n"/>
      <c r="E25" s="15" t="n"/>
      <c r="F25" s="15" t="n"/>
    </row>
    <row r="26" ht="58" customHeight="1">
      <c r="A26" s="74" t="inlineStr">
        <is>
          <t>B. Data foundations first</t>
        </is>
      </c>
      <c r="B26" s="21" t="inlineStr">
        <is>
          <t>Ceiling: level 3</t>
        </is>
      </c>
      <c r="C26" s="25" t="inlineStr">
        <is>
          <t>Scale is there but the data is not: fix data foundations while automating and adopting off-the-shelf AI. Volumes make AI attractive, but processes and data are not yet digital, joined-up or reliable enough. Prioritise data ownership, integration and capturing outcomes; automate high-volume steps; adopt packaged AI. Configured and custom AI become viable once the data gaps close.</t>
        </is>
      </c>
      <c r="D26" s="15" t="n"/>
      <c r="E26" s="15" t="n"/>
      <c r="F26" s="15" t="n"/>
    </row>
    <row r="27" ht="58" customHeight="1">
      <c r="A27" s="74" t="inlineStr">
        <is>
          <t>C. Buy and configure AI</t>
        </is>
      </c>
      <c r="B27" s="21" t="inlineStr">
        <is>
          <t>Ceiling: level 4</t>
        </is>
      </c>
      <c r="C27" s="25" t="inlineStr">
        <is>
          <t>Good data, limited scale / capacity: adopt and configure proven AI products rather than build. The data supports AI, but in-house capacity and scale favour buying. Configure AI products on your own data (knowledge assistants, intelligent document processing, conversational AI, vendor ML modules). Custom models and autonomous agents only through partners and pilots.</t>
        </is>
      </c>
      <c r="D27" s="15" t="n"/>
      <c r="E27" s="15" t="n"/>
      <c r="F27" s="15" t="n"/>
    </row>
    <row r="28" ht="58" customHeight="1">
      <c r="A28" s="74" t="inlineStr">
        <is>
          <t>D. Build and scale AI</t>
        </is>
      </c>
      <c r="B28" s="21" t="inlineStr">
        <is>
          <t>Ceiling: level 5</t>
        </is>
      </c>
      <c r="C28" s="25" t="inlineStr">
        <is>
          <t>Data and scale support custom AI: build a portfolio, including advanced analytics and governed agentic AI. The organisation can sustain a portfolio of AI use cases, including custom machine-learning models, retrieval-augmented assistants and agentic workflows - provided governance, MLOps and AI security scale with it.</t>
        </is>
      </c>
      <c r="D28" s="15" t="n"/>
      <c r="E28" s="15" t="n"/>
      <c r="F28" s="15" t="n"/>
    </row>
    <row r="30" ht="22" customHeight="1">
      <c r="A30" s="3" t="inlineStr">
        <is>
          <t>VERDICTS</t>
        </is>
      </c>
    </row>
    <row r="31" ht="40" customHeight="1">
      <c r="A31" s="47" t="inlineStr">
        <is>
          <t>AI fit now</t>
        </is>
      </c>
      <c r="B31" s="25" t="inlineStr">
        <is>
          <t>AI is the right tool, the data exists and it is within the organisation's current position.  Next step: Shape the use case (canvas), run the GT AI risk assessment for its tier, select a tool and pilot within 3 months with KPIs.</t>
        </is>
      </c>
      <c r="C31" s="15" t="n"/>
      <c r="D31" s="15" t="n"/>
      <c r="E31" s="15" t="n"/>
      <c r="F31" s="15" t="n"/>
    </row>
    <row r="32" ht="40" customHeight="1">
      <c r="A32" s="50" t="inlineStr">
        <is>
          <t>Automate - AI not needed</t>
        </is>
      </c>
      <c r="B32" s="25" t="inlineStr">
        <is>
          <t>The work follows fixed rules or is a data / reporting problem; automation or BI delivers the value with less risk and cost.  Next step: Map the process, automate with workflow / RPA / BI and measure cycle-time savings. Revisit AI later for the exceptions.</t>
        </is>
      </c>
      <c r="C32" s="15" t="n"/>
      <c r="D32" s="15" t="n"/>
      <c r="E32" s="15" t="n"/>
      <c r="F32" s="15" t="n"/>
    </row>
    <row r="33" ht="40" customHeight="1">
      <c r="A33" s="51" t="inlineStr">
        <is>
          <t>AI later - close data gap first</t>
        </is>
      </c>
      <c r="B33" s="25" t="inlineStr">
        <is>
          <t>AI would fit, but the data it needs is not captured, digital or labelled yet.  Next step: Start capturing digital history and outcomes, assign a data owner and fix quality; re-diagnose in 6-12 months.</t>
        </is>
      </c>
      <c r="C33" s="15" t="n"/>
      <c r="D33" s="15" t="n"/>
      <c r="E33" s="15" t="n"/>
      <c r="F33" s="15" t="n"/>
    </row>
    <row r="34" ht="40" customHeight="1">
      <c r="A34" s="52" t="inlineStr">
        <is>
          <t>Stretch - partner or later stage</t>
        </is>
      </c>
      <c r="B34" s="25" t="inlineStr">
        <is>
          <t>AI fits and the data exists, but the solution is more complex than the organisation can build or run today.  Next step: Use a vendor product or delivery partner, or run a time-boxed pilot; build capability before scaling.</t>
        </is>
      </c>
      <c r="C34" s="15" t="n"/>
      <c r="D34" s="15" t="n"/>
      <c r="E34" s="15" t="n"/>
      <c r="F34" s="15" t="n"/>
    </row>
    <row r="35" ht="40" customHeight="1">
      <c r="A35" s="53" t="inlineStr">
        <is>
          <t>Redesign / standardise first</t>
        </is>
      </c>
      <c r="B35" s="25" t="inlineStr">
        <is>
          <t>The process varies by person or team; automating or adding AI would scale inconsistency.  Next step: Standardise and document the process (and digitise steps); then re-diagnose - it often becomes an automation quick win.</t>
        </is>
      </c>
      <c r="C35" s="15" t="n"/>
      <c r="D35" s="15" t="n"/>
      <c r="E35" s="15" t="n"/>
      <c r="F35" s="15" t="n"/>
    </row>
    <row r="37" ht="22" customHeight="1">
      <c r="A37" s="3" t="inlineStr">
        <is>
          <t>MINIMUM CONTROLS BY RISK TIER</t>
        </is>
      </c>
    </row>
    <row r="38" ht="44" customHeight="1">
      <c r="A38" s="75" t="inlineStr">
        <is>
          <t>Low</t>
        </is>
      </c>
      <c r="B38" s="25" t="inlineStr">
        <is>
          <t>Approved tool on the AI register; acceptable-use policy; user guidance; spot-check outputs; vendor terms checked (no training on your data).</t>
        </is>
      </c>
      <c r="C38" s="15" t="n"/>
      <c r="D38" s="15" t="n"/>
      <c r="E38" s="15" t="n"/>
      <c r="F38" s="15" t="n"/>
    </row>
    <row r="39" ht="44" customHeight="1">
      <c r="A39" s="51" t="inlineStr">
        <is>
          <t>Medium</t>
        </is>
      </c>
      <c r="B39" s="25" t="inlineStr">
        <is>
          <t>As Low, plus: documented use-case risk assessment (GT AI Risk Assessment Framework, NSW AIAF-aligned); named owner; human review of outputs; PDPL check where personal data is used; testing before go-live; monitoring KPIs / KRIs.</t>
        </is>
      </c>
      <c r="C39" s="15" t="n"/>
      <c r="D39" s="15" t="n"/>
      <c r="E39" s="15" t="n"/>
      <c r="F39" s="15" t="n"/>
    </row>
    <row r="40" ht="44" customHeight="1">
      <c r="A40" s="52" t="inlineStr">
        <is>
          <t>High</t>
        </is>
      </c>
      <c r="B40" s="25" t="inlineStr">
        <is>
          <t>As Medium, plus: AI system impact assessment (ISO/IEC 42005) and DPIA; bias, robustness and security testing (incl. AI red teaming); human-in-the-loop for decisions about individuals; EU AI Act / CBB obligations checked; executive / AI committee approval; GT AI RCM v2.1 controls applied.</t>
        </is>
      </c>
      <c r="C40" s="15" t="n"/>
      <c r="D40" s="15" t="n"/>
      <c r="E40" s="15" t="n"/>
      <c r="F40" s="15" t="n"/>
    </row>
    <row r="42" ht="22" customHeight="1">
      <c r="A42" s="3" t="inlineStr">
        <is>
          <t>FUNCTION TAXONOMY (APQC Process Classification Framework, cross-industry)</t>
        </is>
      </c>
    </row>
    <row r="43">
      <c r="A43" s="4" t="inlineStr">
        <is>
          <t>Core operations &amp; service delivery</t>
        </is>
      </c>
      <c r="B43" s="69" t="inlineStr">
        <is>
          <t>APQC 2.0 / 4.0 / 5.0</t>
        </is>
      </c>
      <c r="C43" s="15" t="n"/>
      <c r="D43" s="15" t="n"/>
      <c r="E43" s="15" t="n"/>
      <c r="F43" s="69" t="str">
        <f>COUNTIF('2. Use-Case Library'!$C$5:$C$244,A43)&amp;" library entries"</f>
        <v>72 library entries</v>
      </c>
    </row>
    <row r="44">
      <c r="A44" s="4" t="inlineStr">
        <is>
          <t>Customer service</t>
        </is>
      </c>
      <c r="B44" s="69" t="inlineStr">
        <is>
          <t>APQC 6.0</t>
        </is>
      </c>
      <c r="C44" s="15" t="n"/>
      <c r="D44" s="15" t="n"/>
      <c r="E44" s="15" t="n"/>
      <c r="F44" s="69" t="str">
        <f>COUNTIF('2. Use-Case Library'!$C$5:$C$244,A44)&amp;" library entries"</f>
        <v>28 library entries</v>
      </c>
    </row>
    <row r="45">
      <c r="A45" s="4" t="inlineStr">
        <is>
          <t>Sales &amp; marketing</t>
        </is>
      </c>
      <c r="B45" s="69" t="inlineStr">
        <is>
          <t>APQC 3.0</t>
        </is>
      </c>
      <c r="C45" s="15" t="n"/>
      <c r="D45" s="15" t="n"/>
      <c r="E45" s="15" t="n"/>
      <c r="F45" s="69" t="str">
        <f>COUNTIF('2. Use-Case Library'!$C$5:$C$244,A45)&amp;" library entries"</f>
        <v>22 library entries</v>
      </c>
    </row>
    <row r="46">
      <c r="A46" s="4" t="inlineStr">
        <is>
          <t>Finance &amp; accounting</t>
        </is>
      </c>
      <c r="B46" s="69" t="inlineStr">
        <is>
          <t>APQC 9.0</t>
        </is>
      </c>
      <c r="C46" s="15" t="n"/>
      <c r="D46" s="15" t="n"/>
      <c r="E46" s="15" t="n"/>
      <c r="F46" s="69" t="str">
        <f>COUNTIF('2. Use-Case Library'!$C$5:$C$244,A46)&amp;" library entries"</f>
        <v>28 library entries</v>
      </c>
    </row>
    <row r="47">
      <c r="A47" s="4" t="inlineStr">
        <is>
          <t>HR &amp; people</t>
        </is>
      </c>
      <c r="B47" s="69" t="inlineStr">
        <is>
          <t>APQC 7.0</t>
        </is>
      </c>
      <c r="C47" s="15" t="n"/>
      <c r="D47" s="15" t="n"/>
      <c r="E47" s="15" t="n"/>
      <c r="F47" s="69" t="str">
        <f>COUNTIF('2. Use-Case Library'!$C$5:$C$244,A47)&amp;" library entries"</f>
        <v>11 library entries</v>
      </c>
    </row>
    <row r="48">
      <c r="A48" s="4" t="inlineStr">
        <is>
          <t>Procurement &amp; supply chain</t>
        </is>
      </c>
      <c r="B48" s="69" t="inlineStr">
        <is>
          <t>APQC 4.0 / 12.0</t>
        </is>
      </c>
      <c r="C48" s="15" t="n"/>
      <c r="D48" s="15" t="n"/>
      <c r="E48" s="15" t="n"/>
      <c r="F48" s="69" t="str">
        <f>COUNTIF('2. Use-Case Library'!$C$5:$C$244,A48)&amp;" library entries"</f>
        <v>14 library entries</v>
      </c>
    </row>
    <row r="49">
      <c r="A49" s="4" t="inlineStr">
        <is>
          <t>Risk, compliance &amp; legal</t>
        </is>
      </c>
      <c r="B49" s="69" t="inlineStr">
        <is>
          <t>APQC 11.0</t>
        </is>
      </c>
      <c r="C49" s="15" t="n"/>
      <c r="D49" s="15" t="n"/>
      <c r="E49" s="15" t="n"/>
      <c r="F49" s="69" t="str">
        <f>COUNTIF('2. Use-Case Library'!$C$5:$C$244,A49)&amp;" library entries"</f>
        <v>31 library entries</v>
      </c>
    </row>
    <row r="50">
      <c r="A50" s="4" t="inlineStr">
        <is>
          <t>IT &amp; cybersecurity</t>
        </is>
      </c>
      <c r="B50" s="69" t="inlineStr">
        <is>
          <t>APQC 8.0</t>
        </is>
      </c>
      <c r="C50" s="15" t="n"/>
      <c r="D50" s="15" t="n"/>
      <c r="E50" s="15" t="n"/>
      <c r="F50" s="69" t="str">
        <f>COUNTIF('2. Use-Case Library'!$C$5:$C$244,A50)&amp;" library entries"</f>
        <v>7 library entries</v>
      </c>
    </row>
    <row r="51">
      <c r="A51" s="4" t="inlineStr">
        <is>
          <t>Assets, facilities &amp; maintenance</t>
        </is>
      </c>
      <c r="B51" s="69" t="inlineStr">
        <is>
          <t>APQC 10.0</t>
        </is>
      </c>
      <c r="C51" s="15" t="n"/>
      <c r="D51" s="15" t="n"/>
      <c r="E51" s="15" t="n"/>
      <c r="F51" s="69" t="str">
        <f>COUNTIF('2. Use-Case Library'!$C$5:$C$244,A51)&amp;" library entries"</f>
        <v>11 library entries</v>
      </c>
    </row>
    <row r="52">
      <c r="A52" s="4" t="inlineStr">
        <is>
          <t>Strategy, management &amp; reporting</t>
        </is>
      </c>
      <c r="B52" s="69" t="inlineStr">
        <is>
          <t>APQC 1.0 / 13.0</t>
        </is>
      </c>
      <c r="C52" s="15" t="n"/>
      <c r="D52" s="15" t="n"/>
      <c r="E52" s="15" t="n"/>
      <c r="F52" s="69" t="str">
        <f>COUNTIF('2. Use-Case Library'!$C$5:$C$244,A52)&amp;" library entries"</f>
        <v>6 library entries</v>
      </c>
    </row>
    <row r="53">
      <c r="A53" s="4" t="inlineStr">
        <is>
          <t>Knowledge &amp; collaboration</t>
        </is>
      </c>
      <c r="B53" s="69" t="inlineStr">
        <is>
          <t>APQC 13.0</t>
        </is>
      </c>
      <c r="C53" s="15" t="n"/>
      <c r="D53" s="15" t="n"/>
      <c r="E53" s="15" t="n"/>
      <c r="F53" s="69" t="str">
        <f>COUNTIF('2. Use-Case Library'!$C$5:$C$244,A53)&amp;" library entries"</f>
        <v>10 library entries</v>
      </c>
    </row>
    <row r="55" ht="22" customHeight="1">
      <c r="A55" s="3" t="inlineStr">
        <is>
          <t>STANDARDS AND FRAMEWORKS BEHIND EACH STEP</t>
        </is>
      </c>
    </row>
    <row r="56">
      <c r="A56" s="9" t="inlineStr">
        <is>
          <t>Standard / framework</t>
        </is>
      </c>
      <c r="B56" s="46" t="n"/>
      <c r="C56" s="9" t="inlineStr">
        <is>
          <t>Step</t>
        </is>
      </c>
      <c r="D56" s="45" t="n"/>
      <c r="E56" s="46" t="n"/>
      <c r="F56" s="9" t="inlineStr">
        <is>
          <t>How it is used</t>
        </is>
      </c>
    </row>
    <row r="57" ht="40" customHeight="1">
      <c r="A57" s="26" t="inlineStr">
        <is>
          <t>OECD Framework for the Classification of AI Systems (2022)</t>
        </is>
      </c>
      <c r="B57" s="15" t="n"/>
      <c r="C57" s="38" t="inlineStr">
        <is>
          <t>1 Position</t>
        </is>
      </c>
      <c r="D57" s="15" t="n"/>
      <c r="E57" s="15" t="n"/>
      <c r="F57" s="25" t="inlineStr">
        <is>
          <t>Economic Context and Data &amp; Input dimensions shape the position screen: scale, sector, data provenance, structure and availability.</t>
        </is>
      </c>
    </row>
    <row r="58" ht="40" customHeight="1">
      <c r="A58" s="26" t="inlineStr">
        <is>
          <t>ISO/IEC 42001:2023 cl. 4.1 - 4.2</t>
        </is>
      </c>
      <c r="B58" s="15" t="n"/>
      <c r="C58" s="38" t="inlineStr">
        <is>
          <t>1 Position</t>
        </is>
      </c>
      <c r="D58" s="15" t="n"/>
      <c r="E58" s="15" t="n"/>
      <c r="F58" s="25" t="inlineStr">
        <is>
          <t>Understanding the organisation, its context and interested parties before deciding where AI is used.</t>
        </is>
      </c>
    </row>
    <row r="59" ht="40" customHeight="1">
      <c r="A59" s="26" t="inlineStr">
        <is>
          <t>NIST AI RMF 1.0 - MAP 1.3, 1.4, 1.6</t>
        </is>
      </c>
      <c r="B59" s="15" t="n"/>
      <c r="C59" s="38" t="inlineStr">
        <is>
          <t>1 Position</t>
        </is>
      </c>
      <c r="D59" s="15" t="n"/>
      <c r="E59" s="15" t="n"/>
      <c r="F59" s="25" t="inlineStr">
        <is>
          <t>Organisational mission, business value and system requirements established before AI is selected.</t>
        </is>
      </c>
    </row>
    <row r="60" ht="40" customHeight="1">
      <c r="A60" s="26" t="inlineStr">
        <is>
          <t>APQC Process Classification Framework (cross-industry)</t>
        </is>
      </c>
      <c r="B60" s="15" t="n"/>
      <c r="C60" s="38" t="inlineStr">
        <is>
          <t>2 Discover</t>
        </is>
      </c>
      <c r="D60" s="15" t="n"/>
      <c r="E60" s="15" t="n"/>
      <c r="F60" s="25" t="inlineStr">
        <is>
          <t>Function taxonomy of the 240-entry GT AI Use-Case Library (11 functions mapped to APQC level-1 categories).</t>
        </is>
      </c>
    </row>
    <row r="61" ht="40" customHeight="1">
      <c r="A61" s="26" t="inlineStr">
        <is>
          <t>Sector regulation (CBB Rulebook, NHRA, TRA, iGA AI Policy, PDPL)</t>
        </is>
      </c>
      <c r="B61" s="15" t="n"/>
      <c r="C61" s="38" t="inlineStr">
        <is>
          <t>2 Discover</t>
        </is>
      </c>
      <c r="D61" s="15" t="n"/>
      <c r="E61" s="15" t="n"/>
      <c r="F61" s="25" t="inlineStr">
        <is>
          <t>Sector entries of the library carry the relevant Bahrain regulator and rule references and a minimum risk tier.</t>
        </is>
      </c>
    </row>
    <row r="62" ht="40" customHeight="1">
      <c r="A62" s="26" t="inlineStr">
        <is>
          <t>NIST AI RMF 1.0 - MAP 1.1</t>
        </is>
      </c>
      <c r="B62" s="15" t="n"/>
      <c r="C62" s="38" t="inlineStr">
        <is>
          <t>2 Discover</t>
        </is>
      </c>
      <c r="D62" s="15" t="n"/>
      <c r="E62" s="15" t="n"/>
      <c r="F62" s="25" t="inlineStr">
        <is>
          <t>Intended purpose, context of use and users documented for each candidate process.</t>
        </is>
      </c>
    </row>
    <row r="63" ht="40" customHeight="1">
      <c r="A63" s="26" t="inlineStr">
        <is>
          <t>ISO/IEC 22989:2022 and ISO/IEC 23053:2022</t>
        </is>
      </c>
      <c r="B63" s="15" t="n"/>
      <c r="C63" s="38" t="inlineStr">
        <is>
          <t>3 Diagnose</t>
        </is>
      </c>
      <c r="D63" s="15" t="n"/>
      <c r="E63" s="15" t="n"/>
      <c r="F63" s="25" t="inlineStr">
        <is>
          <t>AI concepts, tasks and ML system components - basis for the task-nature to solution-family mapping.</t>
        </is>
      </c>
    </row>
    <row r="64" ht="40" customHeight="1">
      <c r="A64" s="26" t="inlineStr">
        <is>
          <t>OECD AI classification - AI Model and Task &amp; Output dimensions</t>
        </is>
      </c>
      <c r="B64" s="15" t="n"/>
      <c r="C64" s="38" t="inlineStr">
        <is>
          <t>3 Diagnose</t>
        </is>
      </c>
      <c r="D64" s="15" t="n"/>
      <c r="E64" s="15" t="n"/>
      <c r="F64" s="25" t="inlineStr">
        <is>
          <t>Distinguishes recognition, detection, forecasting, personalisation, goal-driven optimisation and generation tasks.</t>
        </is>
      </c>
    </row>
    <row r="65" ht="40" customHeight="1">
      <c r="A65" s="26" t="inlineStr">
        <is>
          <t>ISO/IEC 5259 series (2024-2025) and ISO/IEC 8183:2023</t>
        </is>
      </c>
      <c r="B65" s="15" t="n"/>
      <c r="C65" s="38" t="inlineStr">
        <is>
          <t>3 Diagnose</t>
        </is>
      </c>
      <c r="D65" s="15" t="n"/>
      <c r="E65" s="15" t="n"/>
      <c r="F65" s="25" t="inlineStr">
        <is>
          <t>Data quality and data life cycle for analytics and ML - basis for the per-process data gate.</t>
        </is>
      </c>
    </row>
    <row r="66" ht="40" customHeight="1">
      <c r="A66" s="26" t="inlineStr">
        <is>
          <t>ISO/IEC 42001:2023 Annex A.7 (Data for AI systems)</t>
        </is>
      </c>
      <c r="B66" s="15" t="n"/>
      <c r="C66" s="38" t="inlineStr">
        <is>
          <t>3 Diagnose</t>
        </is>
      </c>
      <c r="D66" s="15" t="n"/>
      <c r="E66" s="15" t="n"/>
      <c r="F66" s="25" t="inlineStr">
        <is>
          <t>Data acquisition, quality, provenance and preparation expected before AI is deployed.</t>
        </is>
      </c>
    </row>
    <row r="67" ht="40" customHeight="1">
      <c r="A67" s="26" t="inlineStr">
        <is>
          <t>NSW AI Assessment Framework (AIAF)</t>
        </is>
      </c>
      <c r="B67" s="15" t="n"/>
      <c r="C67" s="38" t="inlineStr">
        <is>
          <t>3 Diagnose</t>
        </is>
      </c>
      <c r="D67" s="15" t="n"/>
      <c r="E67" s="15" t="n"/>
      <c r="F67" s="25" t="inlineStr">
        <is>
          <t>Inherent-risk questions (impact on people, autonomy, data sensitivity) behind the risk tier.</t>
        </is>
      </c>
    </row>
    <row r="68" ht="40" customHeight="1">
      <c r="A68" s="26" t="inlineStr">
        <is>
          <t>EU AI Act (Reg. 2024/1689) Art. 5, 6, 50 and Annex III</t>
        </is>
      </c>
      <c r="B68" s="15" t="n"/>
      <c r="C68" s="38" t="inlineStr">
        <is>
          <t>3 Diagnose</t>
        </is>
      </c>
      <c r="D68" s="15" t="n"/>
      <c r="E68" s="15" t="n"/>
      <c r="F68" s="25" t="inlineStr">
        <is>
          <t>Library minimum risk tiers: high-risk uses (credit scoring, life &amp; health insurance pricing, employment, education, public assistance, emergency triage) are floored at High; prohibited practices and transparency duties noted.</t>
        </is>
      </c>
    </row>
    <row r="69" ht="40" customHeight="1">
      <c r="A69" s="26" t="inlineStr">
        <is>
          <t>Bahrain PDPL (Law No. 30 of 2018)</t>
        </is>
      </c>
      <c r="B69" s="15" t="n"/>
      <c r="C69" s="38" t="inlineStr">
        <is>
          <t>3 Diagnose</t>
        </is>
      </c>
      <c r="D69" s="15" t="n"/>
      <c r="E69" s="15" t="n"/>
      <c r="F69" s="25" t="inlineStr">
        <is>
          <t>Personal and sensitive data flag; lawful basis and DPIA expectations for higher-risk processing.</t>
        </is>
      </c>
    </row>
    <row r="70" ht="40" customHeight="1">
      <c r="A70" s="26" t="inlineStr">
        <is>
          <t>ISACA - Cybersecurity Recommendations for Securing AI Agents (2026); OWASP Top 10 for LLM Applications (2025)</t>
        </is>
      </c>
      <c r="B70" s="15" t="n"/>
      <c r="C70" s="38" t="inlineStr">
        <is>
          <t>3 Diagnose</t>
        </is>
      </c>
      <c r="D70" s="15" t="n"/>
      <c r="E70" s="15" t="n"/>
      <c r="F70" s="25" t="inlineStr">
        <is>
          <t>Autonomy rating and agentic guardrails: least agency, human approval for high-impact actions, excessive-agency risk.</t>
        </is>
      </c>
    </row>
    <row r="71" ht="40" customHeight="1">
      <c r="A71" s="26" t="inlineStr">
        <is>
          <t>NIST AI RMF 1.0 - MAP 3.1, 3.2</t>
        </is>
      </c>
      <c r="B71" s="15" t="n"/>
      <c r="C71" s="38" t="inlineStr">
        <is>
          <t>4 Prioritise</t>
        </is>
      </c>
      <c r="D71" s="15" t="n"/>
      <c r="E71" s="15" t="n"/>
      <c r="F71" s="25" t="inlineStr">
        <is>
          <t>Expected benefits and costs (incl. of errors) weighed per use case.</t>
        </is>
      </c>
    </row>
    <row r="72" ht="40" customHeight="1">
      <c r="A72" s="26" t="inlineStr">
        <is>
          <t>ISO/IEC 42001:2023 cl. 6.2</t>
        </is>
      </c>
      <c r="B72" s="15" t="n"/>
      <c r="C72" s="38" t="inlineStr">
        <is>
          <t>4 Prioritise</t>
        </is>
      </c>
      <c r="D72" s="15" t="n"/>
      <c r="E72" s="15" t="n"/>
      <c r="F72" s="25" t="inlineStr">
        <is>
          <t>AI objectives that are measurable - feed the KPIs on each canvas.</t>
        </is>
      </c>
    </row>
    <row r="73" ht="40" customHeight="1">
      <c r="A73" s="26" t="inlineStr">
        <is>
          <t>ISO/IEC 42005:2025 and ISO/IEC 23894:2023</t>
        </is>
      </c>
      <c r="B73" s="15" t="n"/>
      <c r="C73" s="38" t="inlineStr">
        <is>
          <t>5 Plan</t>
        </is>
      </c>
      <c r="D73" s="15" t="n"/>
      <c r="E73" s="15" t="n"/>
      <c r="F73" s="25" t="inlineStr">
        <is>
          <t>AI system impact assessment and risk management for Medium / High-tier use cases before go-live.</t>
        </is>
      </c>
    </row>
    <row r="74" ht="40" customHeight="1">
      <c r="A74" s="26" t="inlineStr">
        <is>
          <t>ISO/IEC 5338:2023 and ISO/IEC 42001 Annex A.6</t>
        </is>
      </c>
      <c r="B74" s="15" t="n"/>
      <c r="C74" s="38" t="inlineStr">
        <is>
          <t>5 Plan</t>
        </is>
      </c>
      <c r="D74" s="15" t="n"/>
      <c r="E74" s="15" t="n"/>
      <c r="F74" s="25" t="inlineStr">
        <is>
          <t>AI system life cycle from design to retirement for each roadmap item.</t>
        </is>
      </c>
    </row>
    <row r="75" ht="40" customHeight="1">
      <c r="A75" s="26" t="inlineStr">
        <is>
          <t>GT AI Risk Assessment Framework v1.1 and GT AI RCM v2.1</t>
        </is>
      </c>
      <c r="B75" s="15" t="n"/>
      <c r="C75" s="38" t="inlineStr">
        <is>
          <t>5 Plan</t>
        </is>
      </c>
      <c r="D75" s="15" t="n"/>
      <c r="E75" s="15" t="n"/>
      <c r="F75" s="25" t="inlineStr">
        <is>
          <t>Tier-based minimum controls on each use-case canvas; control testing once in production.</t>
        </is>
      </c>
    </row>
    <row r="76" ht="40" customHeight="1">
      <c r="A76" s="26" t="inlineStr">
        <is>
          <t>GT AI Ready7 / GT AI Readiness &amp; Risk Assessment</t>
        </is>
      </c>
      <c r="B76" s="15" t="n"/>
      <c r="C76" s="38" t="inlineStr">
        <is>
          <t>Complementary</t>
        </is>
      </c>
      <c r="D76" s="15" t="n"/>
      <c r="E76" s="15" t="n"/>
      <c r="F76" s="25" t="inlineStr">
        <is>
          <t>Measures governance and capability maturity. Not repeated here - this toolkit asks WHERE AI fits, not HOW READY the organisation is.</t>
        </is>
      </c>
    </row>
  </sheetData>
  <mergeCells count="79">
    <mergeCell ref="A64:B64"/>
    <mergeCell ref="A73:B73"/>
    <mergeCell ref="A70:B70"/>
    <mergeCell ref="A55:F55"/>
    <mergeCell ref="B18:F18"/>
    <mergeCell ref="B45:E45"/>
    <mergeCell ref="C60:E60"/>
    <mergeCell ref="C71:E71"/>
    <mergeCell ref="B47:E47"/>
    <mergeCell ref="A74:B74"/>
    <mergeCell ref="A56:B56"/>
    <mergeCell ref="C57:E57"/>
    <mergeCell ref="B34:F34"/>
    <mergeCell ref="A76:B76"/>
    <mergeCell ref="C26:F26"/>
    <mergeCell ref="A24:F24"/>
    <mergeCell ref="A62:B62"/>
    <mergeCell ref="C74:E74"/>
    <mergeCell ref="B20:F20"/>
    <mergeCell ref="A68:B68"/>
    <mergeCell ref="C27:F27"/>
    <mergeCell ref="B49:E49"/>
    <mergeCell ref="A59:B59"/>
    <mergeCell ref="C75:E75"/>
    <mergeCell ref="B51:E51"/>
    <mergeCell ref="C59:E59"/>
    <mergeCell ref="A61:B61"/>
    <mergeCell ref="C28:F28"/>
    <mergeCell ref="A2:F2"/>
    <mergeCell ref="A42:F42"/>
    <mergeCell ref="B50:E50"/>
    <mergeCell ref="C61:E61"/>
    <mergeCell ref="C70:E70"/>
    <mergeCell ref="A71:B71"/>
    <mergeCell ref="B19:F19"/>
    <mergeCell ref="A30:F30"/>
    <mergeCell ref="B53:E53"/>
    <mergeCell ref="A63:B63"/>
    <mergeCell ref="C73:E73"/>
    <mergeCell ref="C63:E63"/>
    <mergeCell ref="B31:F31"/>
    <mergeCell ref="A69:B69"/>
    <mergeCell ref="B21:F21"/>
    <mergeCell ref="B39:F39"/>
    <mergeCell ref="A65:B65"/>
    <mergeCell ref="A75:B75"/>
    <mergeCell ref="A17:F17"/>
    <mergeCell ref="C67:E67"/>
    <mergeCell ref="C72:E72"/>
    <mergeCell ref="B43:E43"/>
    <mergeCell ref="A57:B57"/>
    <mergeCell ref="B52:E52"/>
    <mergeCell ref="C69:E69"/>
    <mergeCell ref="C62:E62"/>
    <mergeCell ref="A1:F1"/>
    <mergeCell ref="B44:E44"/>
    <mergeCell ref="C64:E64"/>
    <mergeCell ref="A67:B67"/>
    <mergeCell ref="A60:B60"/>
    <mergeCell ref="A37:F37"/>
    <mergeCell ref="C56:E56"/>
    <mergeCell ref="B22:F22"/>
    <mergeCell ref="C76:E76"/>
    <mergeCell ref="A66:B66"/>
    <mergeCell ref="A4:F4"/>
    <mergeCell ref="B46:E46"/>
    <mergeCell ref="C66:E66"/>
    <mergeCell ref="B38:F38"/>
    <mergeCell ref="B48:E48"/>
    <mergeCell ref="C25:F25"/>
    <mergeCell ref="C68:E68"/>
    <mergeCell ref="B40:F40"/>
    <mergeCell ref="C58:E58"/>
    <mergeCell ref="A72:B72"/>
    <mergeCell ref="B33:F33"/>
    <mergeCell ref="B32:F32"/>
    <mergeCell ref="A58:B58"/>
    <mergeCell ref="C65:E65"/>
    <mergeCell ref="B35:F35"/>
  </mergeCells>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BA241"/>
  <sheetViews>
    <sheetView workbookViewId="0">
      <selection activeCell="A1" sqref="A1"/>
    </sheetView>
  </sheetViews>
  <sheetFormatPr baseColWidth="8" defaultRowHeight="15"/>
  <sheetData>
    <row r="1">
      <c r="A1" t="inlineStr">
        <is>
          <t>Task nature</t>
        </is>
      </c>
      <c r="B1" t="inlineStr">
        <is>
          <t>Solution family</t>
        </is>
      </c>
      <c r="C1" t="inlineStr">
        <is>
          <t>Level</t>
        </is>
      </c>
      <c r="D1" t="inlineStr">
        <is>
          <t>AI?</t>
        </is>
      </c>
      <c r="E1" t="inlineStr">
        <is>
          <t>Data req</t>
        </is>
      </c>
      <c r="F1" t="inlineStr">
        <is>
          <t>Potential</t>
        </is>
      </c>
      <c r="G1" t="inlineStr">
        <is>
          <t>Typical solutions</t>
        </is>
      </c>
      <c r="H1" t="inlineStr">
        <is>
          <t>KPIs</t>
        </is>
      </c>
      <c r="I1" t="inlineStr">
        <is>
          <t>Design notes</t>
        </is>
      </c>
      <c r="S1" t="inlineStr">
        <is>
          <t>D1</t>
        </is>
      </c>
      <c r="T1" t="inlineStr">
        <is>
          <t>D2</t>
        </is>
      </c>
      <c r="U1" t="inlineStr">
        <is>
          <t>D3</t>
        </is>
      </c>
      <c r="V1" t="inlineStr">
        <is>
          <t>D4</t>
        </is>
      </c>
      <c r="W1" t="inlineStr">
        <is>
          <t>D5</t>
        </is>
      </c>
      <c r="X1" t="inlineStr">
        <is>
          <t>D6</t>
        </is>
      </c>
      <c r="Y1" t="inlineStr">
        <is>
          <t>S1</t>
        </is>
      </c>
      <c r="Z1" t="inlineStr">
        <is>
          <t>S2</t>
        </is>
      </c>
      <c r="AA1" t="inlineStr">
        <is>
          <t>S3</t>
        </is>
      </c>
      <c r="AB1" t="inlineStr">
        <is>
          <t>S4</t>
        </is>
      </c>
      <c r="AC1" t="inlineStr">
        <is>
          <t>S5</t>
        </is>
      </c>
      <c r="AD1" t="inlineStr">
        <is>
          <t>S6</t>
        </is>
      </c>
    </row>
    <row r="2">
      <c r="A2" t="inlineStr">
        <is>
          <t>Move or re-key data between systems following fixed rules</t>
        </is>
      </c>
      <c r="B2" t="inlineStr">
        <is>
          <t>Workflow automation / RPA</t>
        </is>
      </c>
      <c r="C2" t="n">
        <v>2</v>
      </c>
      <c r="D2" t="inlineStr">
        <is>
          <t>No</t>
        </is>
      </c>
      <c r="E2" t="n">
        <v>1</v>
      </c>
      <c r="F2" t="n">
        <v>0.6</v>
      </c>
      <c r="G2" t="inlineStr">
        <is>
          <t>Power Automate, UiPath, Zapier / Make, ERP workflow</t>
        </is>
      </c>
      <c r="H2" t="inlineStr">
        <is>
          <t>Cycle time; manual touches per case; error rate</t>
        </is>
      </c>
      <c r="I2" t="inlineStr">
        <is>
          <t>Rules are stable and documented - AI adds little. Automate first.</t>
        </is>
      </c>
      <c r="M2" t="inlineStr">
        <is>
          <t>None - not captured</t>
        </is>
      </c>
      <c r="N2" t="n">
        <v>0</v>
      </c>
      <c r="P2" t="inlineStr">
        <is>
          <t>Core operations &amp; service delivery</t>
        </is>
      </c>
      <c r="Q2" t="inlineStr">
        <is>
          <t>Banking &amp; payments</t>
        </is>
      </c>
      <c r="S2" t="inlineStr">
        <is>
          <t>Mostly on paper or manually</t>
        </is>
      </c>
      <c r="T2" t="inlineStr">
        <is>
          <t>Less than 1 year, or scattered across files</t>
        </is>
      </c>
      <c r="U2" t="inlineStr">
        <is>
          <t>No defined owners; frequent errors and duplicates</t>
        </is>
      </c>
      <c r="V2" t="inlineStr">
        <is>
          <t>Paper or personal drives</t>
        </is>
      </c>
      <c r="W2" t="inlineStr">
        <is>
          <t>No - data is re-keyed manually</t>
        </is>
      </c>
      <c r="X2" t="inlineStr">
        <is>
          <t>No</t>
        </is>
      </c>
      <c r="Y2" t="inlineStr">
        <is>
          <t>Fewer than 50</t>
        </is>
      </c>
      <c r="Z2" t="inlineStr">
        <is>
          <t>Fewer than 500</t>
        </is>
      </c>
      <c r="AA2" t="inlineStr">
        <is>
          <t>No IT staff / basic outsourced support</t>
        </is>
      </c>
      <c r="AB2" t="inlineStr">
        <is>
          <t>Below BHD 10,000</t>
        </is>
      </c>
      <c r="AC2" t="inlineStr">
        <is>
          <t>Few - mostly in person</t>
        </is>
      </c>
      <c r="AD2" t="inlineStr">
        <is>
          <t>None at the moment</t>
        </is>
      </c>
      <c r="AG2" t="inlineStr">
        <is>
          <t>A</t>
        </is>
      </c>
      <c r="AH2" t="inlineStr">
        <is>
          <t>Automation is enough - for now</t>
        </is>
      </c>
      <c r="AI2" t="n">
        <v>3</v>
      </c>
      <c r="AJ2" t="inlineStr">
        <is>
          <t>Digitise and automate first; use AI that is already built into everyday tools.</t>
        </is>
      </c>
      <c r="AK2" t="inlineStr">
        <is>
          <t>Data and scale do not yet justify building AI. Most value comes from digitising paper steps, workflow / RPA automation, dashboards and safe use of off-the-shelf AI (e.g., AI features in Microsoft 365, accounting or CRM software) under an acceptable-use policy.</t>
        </is>
      </c>
      <c r="AL2" t="n">
        <v>1</v>
      </c>
      <c r="AM2" t="inlineStr">
        <is>
          <t>Digitise / redesign</t>
        </is>
      </c>
      <c r="AO2" t="inlineStr">
        <is>
          <t>Low</t>
        </is>
      </c>
      <c r="AP2" t="inlineStr">
        <is>
          <t>Approved tool on the AI register; acceptable-use policy; user guidance; spot-check outputs; vendor terms checked (no training on your data).</t>
        </is>
      </c>
      <c r="AR2" t="inlineStr">
        <is>
          <t>AI fit now</t>
        </is>
      </c>
      <c r="AS2" t="inlineStr">
        <is>
          <t>AI is the right tool, the data exists and it is within the organisation's current position.</t>
        </is>
      </c>
      <c r="AT2" t="inlineStr">
        <is>
          <t>Shape the use case (canvas), run the GT AI risk assessment for its tier, select a tool and pilot within 3 months with KPIs.</t>
        </is>
      </c>
      <c r="AV2" t="inlineStr">
        <is>
          <t>H1 - Now (0-6 months)</t>
        </is>
      </c>
      <c r="AX2" t="n">
        <v>1</v>
      </c>
      <c r="BA2" t="str">
        <f>IFERROR(INDEX('2. Use-Case Library'!$M$5:$M$244,MATCH(1,'2. Use-Case Library'!$O$5:$O$244,0)),"")</f>
        <v>XI-01 | Supplier invoice capture &amp; posting</v>
      </c>
    </row>
    <row r="3">
      <c r="A3" t="inlineStr">
        <is>
          <t>Check or approve items against fixed criteria (rules, thresholds, checklists)</t>
        </is>
      </c>
      <c r="B3" t="inlineStr">
        <is>
          <t>Rules engine / workflow automation</t>
        </is>
      </c>
      <c r="C3" t="n">
        <v>2</v>
      </c>
      <c r="D3" t="inlineStr">
        <is>
          <t>No</t>
        </is>
      </c>
      <c r="E3" t="n">
        <v>1</v>
      </c>
      <c r="F3" t="n">
        <v>0.5</v>
      </c>
      <c r="G3" t="inlineStr">
        <is>
          <t>Business-rules engines, ERP / core-system workflow, low-code apps</t>
        </is>
      </c>
      <c r="H3" t="inlineStr">
        <is>
          <t>Turnaround time; exceptions handled; compliance rate</t>
        </is>
      </c>
      <c r="I3" t="inlineStr">
        <is>
          <t>Encode the criteria; route exceptions to people. Use AI only for the unstructured part, if any.</t>
        </is>
      </c>
      <c r="M3" t="inlineStr">
        <is>
          <t>Partial or paper-based</t>
        </is>
      </c>
      <c r="N3" t="n">
        <v>1</v>
      </c>
      <c r="P3" t="inlineStr">
        <is>
          <t>Customer service</t>
        </is>
      </c>
      <c r="Q3" t="inlineStr">
        <is>
          <t>Insurance</t>
        </is>
      </c>
      <c r="S3" t="inlineStr">
        <is>
          <t>Mainly spreadsheets and email</t>
        </is>
      </c>
      <c r="T3" t="inlineStr">
        <is>
          <t>1-2 years, held in different places</t>
        </is>
      </c>
      <c r="U3" t="inlineStr">
        <is>
          <t>Some owners; known quality issues not tracked</t>
        </is>
      </c>
      <c r="V3" t="inlineStr">
        <is>
          <t>Shared drives / email, not organised</t>
        </is>
      </c>
      <c r="W3" t="inlineStr">
        <is>
          <t>Manual exports / imports (e.g., CSV)</t>
        </is>
      </c>
      <c r="X3" t="inlineStr">
        <is>
          <t>Occasionally / informally</t>
        </is>
      </c>
      <c r="Y3" t="inlineStr">
        <is>
          <t>50 - 249</t>
        </is>
      </c>
      <c r="Z3" t="inlineStr">
        <is>
          <t>500 - 5,000</t>
        </is>
      </c>
      <c r="AA3" t="inlineStr">
        <is>
          <t>Small IT team (support and vendor management)</t>
        </is>
      </c>
      <c r="AB3" t="inlineStr">
        <is>
          <t>BHD 10,000 - 50,000</t>
        </is>
      </c>
      <c r="AC3" t="inlineStr">
        <is>
          <t>Moderate</t>
        </is>
      </c>
      <c r="AD3" t="inlineStr">
        <is>
          <t>One project at a time</t>
        </is>
      </c>
      <c r="AG3" t="inlineStr">
        <is>
          <t>B</t>
        </is>
      </c>
      <c r="AH3" t="inlineStr">
        <is>
          <t>Data foundations first</t>
        </is>
      </c>
      <c r="AI3" t="n">
        <v>3</v>
      </c>
      <c r="AJ3" t="inlineStr">
        <is>
          <t>Scale is there but the data is not: fix data foundations while automating and adopting off-the-shelf AI.</t>
        </is>
      </c>
      <c r="AK3" t="inlineStr">
        <is>
          <t>Volumes make AI attractive, but processes and data are not yet digital, joined-up or reliable enough. Prioritise data ownership, integration and capturing outcomes; automate high-volume steps; adopt packaged AI. Configured and custom AI become viable once the data gaps close.</t>
        </is>
      </c>
      <c r="AL3" t="n">
        <v>2</v>
      </c>
      <c r="AM3" t="inlineStr">
        <is>
          <t>Automate (no AI)</t>
        </is>
      </c>
      <c r="AO3" t="inlineStr">
        <is>
          <t>Medium</t>
        </is>
      </c>
      <c r="AP3" t="inlineStr">
        <is>
          <t>As Low, plus: documented use-case risk assessment (GT AI Risk Assessment Framework, NSW AIAF-aligned); named owner; human review of outputs; PDPL check where personal data is used; testing before go-live; monitoring KPIs / KRIs.</t>
        </is>
      </c>
      <c r="AR3" t="inlineStr">
        <is>
          <t>Automate - AI not needed</t>
        </is>
      </c>
      <c r="AS3" t="inlineStr">
        <is>
          <t>The work follows fixed rules or is a data / reporting problem; automation or BI delivers the value with less risk and cost.</t>
        </is>
      </c>
      <c r="AT3" t="inlineStr">
        <is>
          <t>Map the process, automate with workflow / RPA / BI and measure cycle-time savings. Revisit AI later for the exceptions.</t>
        </is>
      </c>
      <c r="AV3" t="inlineStr">
        <is>
          <t>H2 - Next (6-12 months)</t>
        </is>
      </c>
      <c r="AX3" t="n">
        <v>2</v>
      </c>
      <c r="BA3" t="str">
        <f>IFERROR(INDEX('2. Use-Case Library'!$M$5:$M$244,MATCH(2,'2. Use-Case Library'!$O$5:$O$244,0)),"")</f>
        <v>XI-02 | Three-way match &amp; payment approval</v>
      </c>
    </row>
    <row r="4">
      <c r="A4" t="inlineStr">
        <is>
          <t>Produce reports, dashboards or reconciliations from existing data</t>
        </is>
      </c>
      <c r="B4" t="inlineStr">
        <is>
          <t>BI, dashboards &amp; reconciliation automation</t>
        </is>
      </c>
      <c r="C4" t="n">
        <v>2</v>
      </c>
      <c r="D4" t="inlineStr">
        <is>
          <t>No</t>
        </is>
      </c>
      <c r="E4" t="n">
        <v>2</v>
      </c>
      <c r="F4" t="n">
        <v>0.25</v>
      </c>
      <c r="G4" t="inlineStr">
        <is>
          <t>Power BI, Tableau, Excel automation, reconciliation tools</t>
        </is>
      </c>
      <c r="H4" t="inlineStr">
        <is>
          <t>Report preparation time; timeliness; reconciliation breaks</t>
        </is>
      </c>
      <c r="I4" t="inlineStr">
        <is>
          <t>Usually a data-modelling problem, not an AI problem. GenAI 'ask your data' can be layered on later.</t>
        </is>
      </c>
      <c r="M4" t="inlineStr">
        <is>
          <t>Digital history available</t>
        </is>
      </c>
      <c r="N4" t="n">
        <v>2</v>
      </c>
      <c r="P4" t="inlineStr">
        <is>
          <t>Sales &amp; marketing</t>
        </is>
      </c>
      <c r="Q4" t="inlineStr">
        <is>
          <t>Capital markets &amp; wealth</t>
        </is>
      </c>
      <c r="S4" t="inlineStr">
        <is>
          <t>Core systems (e.g., ERP, CRM, core banking) for the main processes</t>
        </is>
      </c>
      <c r="T4" t="inlineStr">
        <is>
          <t>3+ years in core systems</t>
        </is>
      </c>
      <c r="U4" t="inlineStr">
        <is>
          <t>Owners for key data; quality checked periodically</t>
        </is>
      </c>
      <c r="V4" t="inlineStr">
        <is>
          <t>A document-management system or SharePoint with structure</t>
        </is>
      </c>
      <c r="W4" t="inlineStr">
        <is>
          <t>Some APIs or integrations between key systems</t>
        </is>
      </c>
      <c r="X4" t="inlineStr">
        <is>
          <t>For some key processes</t>
        </is>
      </c>
      <c r="Y4" t="inlineStr">
        <is>
          <t>250 - 999</t>
        </is>
      </c>
      <c r="Z4" t="inlineStr">
        <is>
          <t>5,000 - 50,000</t>
        </is>
      </c>
      <c r="AA4" t="inlineStr">
        <is>
          <t>IT team with integration / development skills</t>
        </is>
      </c>
      <c r="AB4" t="inlineStr">
        <is>
          <t>BHD 50,000 - 250,000</t>
        </is>
      </c>
      <c r="AC4" t="inlineStr">
        <is>
          <t>High - most interactions are digital</t>
        </is>
      </c>
      <c r="AD4" t="inlineStr">
        <is>
          <t>Several projects in parallel</t>
        </is>
      </c>
      <c r="AG4" t="inlineStr">
        <is>
          <t>C</t>
        </is>
      </c>
      <c r="AH4" t="inlineStr">
        <is>
          <t>Buy and configure AI</t>
        </is>
      </c>
      <c r="AI4" t="n">
        <v>4</v>
      </c>
      <c r="AJ4" t="inlineStr">
        <is>
          <t>Good data, limited scale / capacity: adopt and configure proven AI products rather than build.</t>
        </is>
      </c>
      <c r="AK4" t="inlineStr">
        <is>
          <t>The data supports AI, but in-house capacity and scale favour buying. Configure AI products on your own data (knowledge assistants, intelligent document processing, conversational AI, vendor ML modules). Custom models and autonomous agents only through partners and pilots.</t>
        </is>
      </c>
      <c r="AL4" t="n">
        <v>3</v>
      </c>
      <c r="AM4" t="inlineStr">
        <is>
          <t>Off-the-shelf / embedded AI</t>
        </is>
      </c>
      <c r="AO4" t="inlineStr">
        <is>
          <t>High</t>
        </is>
      </c>
      <c r="AP4" t="inlineStr">
        <is>
          <t>As Medium, plus: AI system impact assessment (ISO/IEC 42005) and DPIA; bias, robustness and security testing (incl. AI red teaming); human-in-the-loop for decisions about individuals; EU AI Act / CBB obligations checked; executive / AI committee approval; GT AI RCM v2.1 controls applied.</t>
        </is>
      </c>
      <c r="AR4" t="inlineStr">
        <is>
          <t>AI later - close data gap first</t>
        </is>
      </c>
      <c r="AS4" t="inlineStr">
        <is>
          <t>AI would fit, but the data it needs is not captured, digital or labelled yet.</t>
        </is>
      </c>
      <c r="AT4" t="inlineStr">
        <is>
          <t>Start capturing digital history and outcomes, assign a data owner and fix quality; re-diagnose in 6-12 months.</t>
        </is>
      </c>
      <c r="AV4" t="inlineStr">
        <is>
          <t>H3 - Later (12-24 months)</t>
        </is>
      </c>
      <c r="AX4" t="n">
        <v>3</v>
      </c>
      <c r="BA4" t="str">
        <f>IFERROR(INDEX('2. Use-Case Library'!$M$5:$M$244,MATCH(3,'2. Use-Case Library'!$O$5:$O$244,0)),"")</f>
        <v>XI-03 | Bank reconciliations</v>
      </c>
    </row>
    <row r="5">
      <c r="A5" t="inlineStr">
        <is>
          <t>Extract information from documents, forms or emails</t>
        </is>
      </c>
      <c r="B5" t="inlineStr">
        <is>
          <t>Intelligent document processing (IDP)</t>
        </is>
      </c>
      <c r="C5" t="n">
        <v>3</v>
      </c>
      <c r="D5" t="inlineStr">
        <is>
          <t>Light</t>
        </is>
      </c>
      <c r="E5" t="n">
        <v>1</v>
      </c>
      <c r="F5" t="n">
        <v>0.5</v>
      </c>
      <c r="G5" t="inlineStr">
        <is>
          <t>Azure AI Document Intelligence, AWS Textract, ABBYY, Rossum; OCR + validation rules</t>
        </is>
      </c>
      <c r="H5" t="inlineStr">
        <is>
          <t>Straight-through processing rate; extraction accuracy; cost per document</t>
        </is>
      </c>
      <c r="I5" t="inlineStr">
        <is>
          <t>Needs digital or scanned documents and a validation step. Arabic / bilingual accuracy to be tested.</t>
        </is>
      </c>
      <c r="M5" t="inlineStr">
        <is>
          <t>Digital history with recorded outcomes</t>
        </is>
      </c>
      <c r="N5" t="n">
        <v>3</v>
      </c>
      <c r="P5" t="inlineStr">
        <is>
          <t>Finance &amp; accounting</t>
        </is>
      </c>
      <c r="Q5" t="inlineStr">
        <is>
          <t>Healthcare</t>
        </is>
      </c>
      <c r="S5" t="inlineStr">
        <is>
          <t>Integrated systems end-to-end with little manual re-keying</t>
        </is>
      </c>
      <c r="T5" t="inlineStr">
        <is>
          <t>3+ years consolidated in a data warehouse / data platform</t>
        </is>
      </c>
      <c r="U5" t="inlineStr">
        <is>
          <t>Governed data with owners, definitions and quality metrics</t>
        </is>
      </c>
      <c r="V5" t="inlineStr">
        <is>
          <t>Well-organised repository with metadata and access control</t>
        </is>
      </c>
      <c r="W5" t="inlineStr">
        <is>
          <t>Integration platform / APIs and a central data layer</t>
        </is>
      </c>
      <c r="X5" t="inlineStr">
        <is>
          <t>Systematically for most key processes</t>
        </is>
      </c>
      <c r="Y5" t="inlineStr">
        <is>
          <t>1,000 or more</t>
        </is>
      </c>
      <c r="Z5" t="inlineStr">
        <is>
          <t>More than 50,000</t>
        </is>
      </c>
      <c r="AA5" t="inlineStr">
        <is>
          <t>IT plus a data / analytics team</t>
        </is>
      </c>
      <c r="AB5" t="inlineStr">
        <is>
          <t>Above BHD 250,000</t>
        </is>
      </c>
      <c r="AC5" t="inlineStr">
        <is>
          <t>Very high - omnichannel at scale</t>
        </is>
      </c>
      <c r="AD5" t="inlineStr">
        <is>
          <t>Dedicated transformation / innovation team</t>
        </is>
      </c>
      <c r="AG5" t="inlineStr">
        <is>
          <t>D</t>
        </is>
      </c>
      <c r="AH5" t="inlineStr">
        <is>
          <t>Build and scale AI</t>
        </is>
      </c>
      <c r="AI5" t="n">
        <v>5</v>
      </c>
      <c r="AJ5" t="inlineStr">
        <is>
          <t>Data and scale support custom AI: build a portfolio, including advanced analytics and governed agentic AI.</t>
        </is>
      </c>
      <c r="AK5" t="inlineStr">
        <is>
          <t>The organisation can sustain a portfolio of AI use cases, including custom machine-learning models, retrieval-augmented assistants and agentic workflows - provided governance, MLOps and AI security scale with it.</t>
        </is>
      </c>
      <c r="AL5" t="n">
        <v>4</v>
      </c>
      <c r="AM5" t="inlineStr">
        <is>
          <t>Configured AI on own data</t>
        </is>
      </c>
      <c r="AR5" t="inlineStr">
        <is>
          <t>Stretch - partner or later stage</t>
        </is>
      </c>
      <c r="AS5" t="inlineStr">
        <is>
          <t>AI fits and the data exists, but the solution is more complex than the organisation can build or run today.</t>
        </is>
      </c>
      <c r="AT5" t="inlineStr">
        <is>
          <t>Use a vendor product or delivery partner, or run a time-boxed pilot; build capability before scaling.</t>
        </is>
      </c>
      <c r="AV5" t="inlineStr">
        <is>
          <t>Backlog / not prioritised</t>
        </is>
      </c>
      <c r="AX5" t="n">
        <v>4</v>
      </c>
      <c r="BA5" t="str">
        <f>IFERROR(INDEX('2. Use-Case Library'!$M$5:$M$244,MATCH(4,'2. Use-Case Library'!$O$5:$O$244,0)),"")</f>
        <v>XI-04 | Intercompany reconciliation &amp; eliminations</v>
      </c>
    </row>
    <row r="6">
      <c r="A6" t="inlineStr">
        <is>
          <t>Draft, summarise, translate or review text</t>
        </is>
      </c>
      <c r="B6" t="inlineStr">
        <is>
          <t>Generative AI assistant (off-the-shelf)</t>
        </is>
      </c>
      <c r="C6" t="n">
        <v>3</v>
      </c>
      <c r="D6" t="inlineStr">
        <is>
          <t>Yes</t>
        </is>
      </c>
      <c r="E6" t="n">
        <v>0</v>
      </c>
      <c r="F6" t="n">
        <v>0.3</v>
      </c>
      <c r="G6" t="inlineStr">
        <is>
          <t>Microsoft 365 Copilot, ChatGPT Enterprise, Gemini for Workspace, Claude for Enterprise</t>
        </is>
      </c>
      <c r="H6" t="inlineStr">
        <is>
          <t>Drafting time; adoption; quality-review findings</t>
        </is>
      </c>
      <c r="I6" t="inlineStr">
        <is>
          <t>No own data needed, but needs acceptable-use policy, approved enterprise tools and human review (accuracy, confidentiality).</t>
        </is>
      </c>
      <c r="P6" t="inlineStr">
        <is>
          <t>HR &amp; people</t>
        </is>
      </c>
      <c r="Q6" t="inlineStr">
        <is>
          <t>Telecommunications</t>
        </is>
      </c>
      <c r="AL6" t="n">
        <v>5</v>
      </c>
      <c r="AM6" t="inlineStr">
        <is>
          <t>Custom AI / agentic AI</t>
        </is>
      </c>
      <c r="AR6" t="inlineStr">
        <is>
          <t>Redesign / standardise first</t>
        </is>
      </c>
      <c r="AS6" t="inlineStr">
        <is>
          <t>The process varies by person or team; automating or adding AI would scale inconsistency.</t>
        </is>
      </c>
      <c r="AT6" t="inlineStr">
        <is>
          <t>Standardise and document the process (and digitise steps); then re-diagnose - it often becomes an automation quick win.</t>
        </is>
      </c>
      <c r="AX6" t="n">
        <v>5</v>
      </c>
      <c r="BA6" t="str">
        <f>IFERROR(INDEX('2. Use-Case Library'!$M$5:$M$244,MATCH(5,'2. Use-Case Library'!$O$5:$O$244,0)),"")</f>
        <v>XI-05 | Month-end close &amp; management packs</v>
      </c>
    </row>
    <row r="7">
      <c r="A7" t="inlineStr">
        <is>
          <t>Answer questions from internal knowledge, policies or past work</t>
        </is>
      </c>
      <c r="B7" t="inlineStr">
        <is>
          <t>GenAI knowledge assistant (RAG on own content)</t>
        </is>
      </c>
      <c r="C7" t="n">
        <v>4</v>
      </c>
      <c r="D7" t="inlineStr">
        <is>
          <t>Yes</t>
        </is>
      </c>
      <c r="E7" t="n">
        <v>1</v>
      </c>
      <c r="F7" t="n">
        <v>0.25</v>
      </c>
      <c r="G7" t="inlineStr">
        <is>
          <t>Copilot Studio, Azure AI Search + LLM, Glean, vendor knowledge bots</t>
        </is>
      </c>
      <c r="H7" t="inlineStr">
        <is>
          <t>Time to answer; deflected queries; answer accuracy</t>
        </is>
      </c>
      <c r="I7" t="inlineStr">
        <is>
          <t>Quality depends on organised, current, access-controlled content (D4). Test for hallucination and data leakage.</t>
        </is>
      </c>
      <c r="P7" t="inlineStr">
        <is>
          <t>Procurement &amp; supply chain</t>
        </is>
      </c>
      <c r="Q7" t="inlineStr">
        <is>
          <t>Government &amp; public sector</t>
        </is>
      </c>
      <c r="AX7" t="n">
        <v>6</v>
      </c>
      <c r="BA7" t="str">
        <f>IFERROR(INDEX('2. Use-Case Library'!$M$5:$M$244,MATCH(6,'2. Use-Case Library'!$O$5:$O$244,0)),"")</f>
        <v>XI-06 | Cash-flow forecasting</v>
      </c>
    </row>
    <row r="8">
      <c r="A8" t="inlineStr">
        <is>
          <t>Converse with customers, citizens or staff (chat, voice, WhatsApp)</t>
        </is>
      </c>
      <c r="B8" t="inlineStr">
        <is>
          <t>Conversational AI / virtual agent</t>
        </is>
      </c>
      <c r="C8" t="n">
        <v>4</v>
      </c>
      <c r="D8" t="inlineStr">
        <is>
          <t>Yes</t>
        </is>
      </c>
      <c r="E8" t="n">
        <v>1</v>
      </c>
      <c r="F8" t="n">
        <v>0.3</v>
      </c>
      <c r="G8" t="inlineStr">
        <is>
          <t>Copilot Studio, Dialogflow CX, Amazon Lex, contact-centre AI platforms</t>
        </is>
      </c>
      <c r="H8" t="inlineStr">
        <is>
          <t>Containment rate; CSAT; average handling time</t>
        </is>
      </c>
      <c r="I8" t="inlineStr">
        <is>
          <t>Transparency to users (EU AI Act Art. 50); clear hand-off to humans; bilingual Arabic / English design.</t>
        </is>
      </c>
      <c r="M8" t="inlineStr">
        <is>
          <t>Low (fewer than 100 a month)</t>
        </is>
      </c>
      <c r="N8" t="n">
        <v>1</v>
      </c>
      <c r="P8" t="inlineStr">
        <is>
          <t>Risk, compliance &amp; legal</t>
        </is>
      </c>
      <c r="Q8" t="inlineStr">
        <is>
          <t>Retail &amp; e-commerce</t>
        </is>
      </c>
      <c r="AX8" t="n">
        <v>7</v>
      </c>
      <c r="BA8" t="str">
        <f>IFERROR(INDEX('2. Use-Case Library'!$M$5:$M$244,MATCH(7,'2. Use-Case Library'!$O$5:$O$244,0)),"")</f>
        <v>XI-07 | Collections &amp; dunning</v>
      </c>
    </row>
    <row r="9">
      <c r="A9" t="inlineStr">
        <is>
          <t>Recognise or inspect images, video or speech</t>
        </is>
      </c>
      <c r="B9" t="inlineStr">
        <is>
          <t>Computer vision / speech AI</t>
        </is>
      </c>
      <c r="C9" t="n">
        <v>4</v>
      </c>
      <c r="D9" t="inlineStr">
        <is>
          <t>Yes</t>
        </is>
      </c>
      <c r="E9" t="n">
        <v>1</v>
      </c>
      <c r="F9" t="n">
        <v>0.4</v>
      </c>
      <c r="G9" t="inlineStr">
        <is>
          <t>Packaged vision / speech services, industry inspection products</t>
        </is>
      </c>
      <c r="H9" t="inlineStr">
        <is>
          <t>Inspection throughput; detection accuracy; false alarms</t>
        </is>
      </c>
      <c r="I9" t="inlineStr">
        <is>
          <t>Biometric and surveillance uses can be prohibited or high-risk (EU AI Act Art. 5 / Annex III; PDPL sensitive data).</t>
        </is>
      </c>
      <c r="M9" t="inlineStr">
        <is>
          <t>Medium (100 - 1,000 a month)</t>
        </is>
      </c>
      <c r="N9" t="n">
        <v>3</v>
      </c>
      <c r="P9" t="inlineStr">
        <is>
          <t>IT &amp; cybersecurity</t>
        </is>
      </c>
      <c r="Q9" t="inlineStr">
        <is>
          <t>Hospitality &amp; tourism</t>
        </is>
      </c>
      <c r="AX9" t="n">
        <v>8</v>
      </c>
      <c r="BA9" t="str">
        <f>IFERROR(INDEX('2. Use-Case Library'!$M$5:$M$244,MATCH(8,'2. Use-Case Library'!$O$5:$O$244,0)),"")</f>
        <v>XI-08 | VAT return preparation</v>
      </c>
    </row>
    <row r="10">
      <c r="A10" t="inlineStr">
        <is>
          <t>Forecast, score, classify or detect anomalies from historical data</t>
        </is>
      </c>
      <c r="B10" t="inlineStr">
        <is>
          <t>Predictive analytics / machine learning</t>
        </is>
      </c>
      <c r="C10" t="n">
        <v>5</v>
      </c>
      <c r="D10" t="inlineStr">
        <is>
          <t>Yes</t>
        </is>
      </c>
      <c r="E10" t="n">
        <v>2</v>
      </c>
      <c r="F10" t="n">
        <v>0.2</v>
      </c>
      <c r="G10" t="inlineStr">
        <is>
          <t>Azure ML / Databricks / SageMaker, vendor ML modules (fraud, demand, churn), AutoML</t>
        </is>
      </c>
      <c r="H10" t="inlineStr">
        <is>
          <t>Forecast accuracy; detection rate; losses avoided</t>
        </is>
      </c>
      <c r="I10" t="inlineStr">
        <is>
          <t>Needs history (D2) and ideally recorded outcomes (D6). Scoring of individuals (credit, hiring, insurance) is high-risk: impact assessment and bias testing.</t>
        </is>
      </c>
      <c r="M10" t="inlineStr">
        <is>
          <t>High (more than 1,000 a month)</t>
        </is>
      </c>
      <c r="N10" t="n">
        <v>5</v>
      </c>
      <c r="P10" t="inlineStr">
        <is>
          <t>Assets, facilities &amp; maintenance</t>
        </is>
      </c>
      <c r="Q10" t="inlineStr">
        <is>
          <t>Manufacturing &amp; industrial</t>
        </is>
      </c>
      <c r="AX10" t="n">
        <v>9</v>
      </c>
      <c r="BA10" t="str">
        <f>IFERROR(INDEX('2. Use-Case Library'!$M$5:$M$244,MATCH(9,'2. Use-Case Library'!$O$5:$O$244,0)),"")</f>
        <v>XI-09 | Expense claims audit</v>
      </c>
    </row>
    <row r="11">
      <c r="A11" t="inlineStr">
        <is>
          <t>Coordinate multi-step work across systems that needs judgement</t>
        </is>
      </c>
      <c r="B11" t="inlineStr">
        <is>
          <t>Agentic AI (supervised agents)</t>
        </is>
      </c>
      <c r="C11" t="n">
        <v>5</v>
      </c>
      <c r="D11" t="inlineStr">
        <is>
          <t>Yes</t>
        </is>
      </c>
      <c r="E11" t="n">
        <v>2</v>
      </c>
      <c r="F11" t="n">
        <v>0.4</v>
      </c>
      <c r="G11" t="inlineStr">
        <is>
          <t>Copilot Studio agents, Azure AI Foundry Agent Service, Amazon Bedrock Agents, LangGraph</t>
        </is>
      </c>
      <c r="H11" t="inlineStr">
        <is>
          <t>Cases completed end-to-end; human interventions; error / rollback rate</t>
        </is>
      </c>
      <c r="I11" t="inlineStr">
        <is>
          <t>Least agency and least privilege, human approval for high-impact actions, tool allow-lists, logging (ISACA Securing AI Agents 2026; OWASP LLM06 Excessive Agency).</t>
        </is>
      </c>
      <c r="P11" t="inlineStr">
        <is>
          <t>Strategy, management &amp; reporting</t>
        </is>
      </c>
      <c r="Q11" t="inlineStr">
        <is>
          <t>Oil, gas, energy &amp; utilities</t>
        </is>
      </c>
      <c r="AX11" t="n">
        <v>10</v>
      </c>
      <c r="BA11" t="str">
        <f>IFERROR(INDEX('2. Use-Case Library'!$M$5:$M$244,MATCH(10,'2. Use-Case Library'!$O$5:$O$244,0)),"")</f>
        <v>XI-10 | Financial statements &amp; disclosure drafting</v>
      </c>
    </row>
    <row r="12">
      <c r="P12" t="inlineStr">
        <is>
          <t>Knowledge &amp; collaboration</t>
        </is>
      </c>
      <c r="Q12" t="inlineStr">
        <is>
          <t>Logistics, aviation &amp; transport</t>
        </is>
      </c>
      <c r="AX12" t="n">
        <v>11</v>
      </c>
      <c r="BA12" t="str">
        <f>IFERROR(INDEX('2. Use-Case Library'!$M$5:$M$244,MATCH(11,'2. Use-Case Library'!$O$5:$O$244,0)),"")</f>
        <v>XI-11 | Budget narratives &amp; variance commentary</v>
      </c>
    </row>
    <row r="13">
      <c r="M13" t="inlineStr">
        <is>
          <t>Yes - documented and consistent</t>
        </is>
      </c>
      <c r="N13" t="n">
        <v>5</v>
      </c>
      <c r="Q13" t="inlineStr">
        <is>
          <t>Real estate &amp; construction</t>
        </is>
      </c>
      <c r="AX13" t="n">
        <v>12</v>
      </c>
      <c r="BA13" t="str">
        <f>IFERROR(INDEX('2. Use-Case Library'!$M$5:$M$244,MATCH(12,'2. Use-Case Library'!$O$5:$O$244,0)),"")</f>
        <v>XI-12 | Fixed-asset register &amp; depreciation</v>
      </c>
    </row>
    <row r="14">
      <c r="M14" t="inlineStr">
        <is>
          <t>Partly - common steps, some variation</t>
        </is>
      </c>
      <c r="N14" t="n">
        <v>3</v>
      </c>
      <c r="Q14" t="inlineStr">
        <is>
          <t>Education</t>
        </is>
      </c>
      <c r="AX14" t="n">
        <v>13</v>
      </c>
      <c r="BA14" t="str">
        <f>IFERROR(INDEX('2. Use-Case Library'!$M$5:$M$244,MATCH(13,'2. Use-Case Library'!$O$5:$O$244,0)),"")</f>
        <v>XI-13 | Payroll input validation</v>
      </c>
    </row>
    <row r="15">
      <c r="M15" t="inlineStr">
        <is>
          <t>No - varies by person / team</t>
        </is>
      </c>
      <c r="N15" t="n">
        <v>1</v>
      </c>
      <c r="Q15" t="inlineStr">
        <is>
          <t>Professional services</t>
        </is>
      </c>
      <c r="AX15" t="n">
        <v>14</v>
      </c>
      <c r="BA15" t="str">
        <f>IFERROR(INDEX('2. Use-Case Library'!$M$5:$M$244,MATCH(14,'2. Use-Case Library'!$O$5:$O$244,0)),"")</f>
        <v>XI-14 | CV screening &amp; shortlisting</v>
      </c>
    </row>
    <row r="16">
      <c r="Q16" t="inlineStr">
        <is>
          <t>Other</t>
        </is>
      </c>
      <c r="AX16" t="n">
        <v>15</v>
      </c>
      <c r="BA16" t="str">
        <f>IFERROR(INDEX('2. Use-Case Library'!$M$5:$M$244,MATCH(15,'2. Use-Case Library'!$O$5:$O$244,0)),"")</f>
        <v>XI-15 | Interview scheduling</v>
      </c>
    </row>
    <row r="17">
      <c r="AX17" t="n">
        <v>16</v>
      </c>
      <c r="BA17" t="str">
        <f>IFERROR(INDEX('2. Use-Case Library'!$M$5:$M$244,MATCH(16,'2. Use-Case Library'!$O$5:$O$244,0)),"")</f>
        <v>XI-16 | Employee HR queries (leave, policies, payslips)</v>
      </c>
    </row>
    <row r="18">
      <c r="M18" t="inlineStr">
        <is>
          <t>Assist - AI suggests, a person does the work</t>
        </is>
      </c>
      <c r="N18" t="n">
        <v>0</v>
      </c>
      <c r="AX18" t="n">
        <v>17</v>
      </c>
      <c r="BA18" t="str">
        <f>IFERROR(INDEX('2. Use-Case Library'!$M$5:$M$244,MATCH(17,'2. Use-Case Library'!$O$5:$O$244,0)),"")</f>
        <v>XI-17 | Onboarding &amp; offboarding</v>
      </c>
    </row>
    <row r="19">
      <c r="M19" t="inlineStr">
        <is>
          <t>Human approves each AI output</t>
        </is>
      </c>
      <c r="N19" t="n">
        <v>1</v>
      </c>
      <c r="AX19" t="n">
        <v>18</v>
      </c>
      <c r="BA19" t="str">
        <f>IFERROR(INDEX('2. Use-Case Library'!$M$5:$M$244,MATCH(18,'2. Use-Case Library'!$O$5:$O$244,0)),"")</f>
        <v>XI-18 | Job descriptions, policies &amp; HR letters</v>
      </c>
    </row>
    <row r="20">
      <c r="M20" t="inlineStr">
        <is>
          <t>Fully automated - no human review</t>
        </is>
      </c>
      <c r="N20" t="n">
        <v>2</v>
      </c>
      <c r="AX20" t="n">
        <v>19</v>
      </c>
      <c r="BA20" t="str">
        <f>IFERROR(INDEX('2. Use-Case Library'!$M$5:$M$244,MATCH(19,'2. Use-Case Library'!$O$5:$O$244,0)),"")</f>
        <v>XI-19 | Learning content &amp; assessments</v>
      </c>
    </row>
    <row r="21">
      <c r="AX21" t="n">
        <v>20</v>
      </c>
      <c r="BA21" t="str">
        <f>IFERROR(INDEX('2. Use-Case Library'!$M$5:$M$244,MATCH(20,'2. Use-Case Library'!$O$5:$O$244,0)),"")</f>
        <v>XI-20 | Attrition risk analytics</v>
      </c>
    </row>
    <row r="22">
      <c r="AX22" t="n">
        <v>21</v>
      </c>
      <c r="BA22" t="str">
        <f>IFERROR(INDEX('2. Use-Case Library'!$M$5:$M$244,MATCH(21,'2. Use-Case Library'!$O$5:$O$244,0)),"")</f>
        <v>XI-21 | Performance-review summarisation</v>
      </c>
    </row>
    <row r="23">
      <c r="M23" t="inlineStr">
        <is>
          <t>Yes</t>
        </is>
      </c>
      <c r="AX23" t="n">
        <v>22</v>
      </c>
      <c r="BA23" t="str">
        <f>IFERROR(INDEX('2. Use-Case Library'!$M$5:$M$244,MATCH(22,'2. Use-Case Library'!$O$5:$O$244,0)),"")</f>
        <v>XI-22 | Customer enquiries (web, app, WhatsApp, phone)</v>
      </c>
    </row>
    <row r="24">
      <c r="M24" t="inlineStr">
        <is>
          <t>No</t>
        </is>
      </c>
      <c r="AX24" t="n">
        <v>23</v>
      </c>
      <c r="BA24" t="str">
        <f>IFERROR(INDEX('2. Use-Case Library'!$M$5:$M$244,MATCH(23,'2. Use-Case Library'!$O$5:$O$244,0)),"")</f>
        <v>XI-23 | Email &amp; ticket triage and suggested replies</v>
      </c>
    </row>
    <row r="25">
      <c r="AX25" t="n">
        <v>24</v>
      </c>
      <c r="BA25" t="str">
        <f>IFERROR(INDEX('2. Use-Case Library'!$M$5:$M$244,MATCH(24,'2. Use-Case Library'!$O$5:$O$244,0)),"")</f>
        <v>XI-24 | Complaint handling &amp; root-cause analysis</v>
      </c>
    </row>
    <row r="26">
      <c r="AX26" t="n">
        <v>25</v>
      </c>
      <c r="BA26" t="str">
        <f>IFERROR(INDEX('2. Use-Case Library'!$M$5:$M$244,MATCH(25,'2. Use-Case Library'!$O$5:$O$244,0)),"")</f>
        <v>XI-25 | Call summarisation &amp; quality assurance</v>
      </c>
    </row>
    <row r="27">
      <c r="AX27" t="n">
        <v>26</v>
      </c>
      <c r="BA27" t="str">
        <f>IFERROR(INDEX('2. Use-Case Library'!$M$5:$M$244,MATCH(26,'2. Use-Case Library'!$O$5:$O$244,0)),"")</f>
        <v>XI-26 | Proposal, quotation &amp; tender responses</v>
      </c>
    </row>
    <row r="28">
      <c r="AX28" t="n">
        <v>27</v>
      </c>
      <c r="BA28" t="str">
        <f>IFERROR(INDEX('2. Use-Case Library'!$M$5:$M$244,MATCH(27,'2. Use-Case Library'!$O$5:$O$244,0)),"")</f>
        <v>XI-27 | Lead scoring &amp; next-best action</v>
      </c>
    </row>
    <row r="29">
      <c r="AX29" t="n">
        <v>28</v>
      </c>
      <c r="BA29" t="str">
        <f>IFERROR(INDEX('2. Use-Case Library'!$M$5:$M$244,MATCH(28,'2. Use-Case Library'!$O$5:$O$244,0)),"")</f>
        <v>XI-28 | Customer churn prediction</v>
      </c>
    </row>
    <row r="30">
      <c r="AX30" t="n">
        <v>29</v>
      </c>
      <c r="BA30" t="str">
        <f>IFERROR(INDEX('2. Use-Case Library'!$M$5:$M$244,MATCH(29,'2. Use-Case Library'!$O$5:$O$244,0)),"")</f>
        <v>XI-29 | Marketing content &amp; campaigns</v>
      </c>
    </row>
    <row r="31">
      <c r="AX31" t="n">
        <v>30</v>
      </c>
      <c r="BA31" t="str">
        <f>IFERROR(INDEX('2. Use-Case Library'!$M$5:$M$244,MATCH(30,'2. Use-Case Library'!$O$5:$O$244,0)),"")</f>
        <v>XI-30 | Arabic / English translation</v>
      </c>
    </row>
    <row r="32">
      <c r="AX32" t="n">
        <v>31</v>
      </c>
      <c r="BA32" t="str">
        <f>IFERROR(INDEX('2. Use-Case Library'!$M$5:$M$244,MATCH(31,'2. Use-Case Library'!$O$5:$O$244,0)),"")</f>
        <v>XI-31 | Social listening &amp; review sentiment</v>
      </c>
    </row>
    <row r="33">
      <c r="AX33" t="n">
        <v>32</v>
      </c>
      <c r="BA33" t="str">
        <f>IFERROR(INDEX('2. Use-Case Library'!$M$5:$M$244,MATCH(32,'2. Use-Case Library'!$O$5:$O$244,0)),"")</f>
        <v>XI-32 | Customer segmentation &amp; personalised offers</v>
      </c>
    </row>
    <row r="34">
      <c r="AX34" t="n">
        <v>33</v>
      </c>
      <c r="BA34" t="str">
        <f>IFERROR(INDEX('2. Use-Case Library'!$M$5:$M$244,MATCH(33,'2. Use-Case Library'!$O$5:$O$244,0)),"")</f>
        <v>XI-33 | Purchase requisition to order</v>
      </c>
    </row>
    <row r="35">
      <c r="AX35" t="n">
        <v>34</v>
      </c>
      <c r="BA35" t="str">
        <f>IFERROR(INDEX('2. Use-Case Library'!$M$5:$M$244,MATCH(34,'2. Use-Case Library'!$O$5:$O$244,0)),"")</f>
        <v>XI-34 | Supplier onboarding &amp; due diligence</v>
      </c>
    </row>
    <row r="36">
      <c r="AX36" t="n">
        <v>35</v>
      </c>
      <c r="BA36" t="str">
        <f>IFERROR(INDEX('2. Use-Case Library'!$M$5:$M$244,MATCH(35,'2. Use-Case Library'!$O$5:$O$244,0)),"")</f>
        <v>XI-35 | Contract review &amp; obligation tracking</v>
      </c>
    </row>
    <row r="37">
      <c r="AX37" t="n">
        <v>36</v>
      </c>
      <c r="BA37" t="str">
        <f>IFERROR(INDEX('2. Use-Case Library'!$M$5:$M$244,MATCH(36,'2. Use-Case Library'!$O$5:$O$244,0)),"")</f>
        <v>XI-36 | Spend analytics &amp; classification</v>
      </c>
    </row>
    <row r="38">
      <c r="AX38" t="n">
        <v>37</v>
      </c>
      <c r="BA38" t="str">
        <f>IFERROR(INDEX('2. Use-Case Library'!$M$5:$M$244,MATCH(37,'2. Use-Case Library'!$O$5:$O$244,0)),"")</f>
        <v>XI-37 | Demand forecasting &amp; inventory planning</v>
      </c>
    </row>
    <row r="39">
      <c r="AX39" t="n">
        <v>38</v>
      </c>
      <c r="BA39" t="str">
        <f>IFERROR(INDEX('2. Use-Case Library'!$M$5:$M$244,MATCH(38,'2. Use-Case Library'!$O$5:$O$244,0)),"")</f>
        <v>XI-38 | Tender evaluation support</v>
      </c>
    </row>
    <row r="40">
      <c r="AX40" t="n">
        <v>39</v>
      </c>
      <c r="BA40" t="str">
        <f>IFERROR(INDEX('2. Use-Case Library'!$M$5:$M$244,MATCH(39,'2. Use-Case Library'!$O$5:$O$244,0)),"")</f>
        <v>XI-39 | Regulatory change monitoring</v>
      </c>
    </row>
    <row r="41">
      <c r="AX41" t="n">
        <v>40</v>
      </c>
      <c r="BA41" t="str">
        <f>IFERROR(INDEX('2. Use-Case Library'!$M$5:$M$244,MATCH(40,'2. Use-Case Library'!$O$5:$O$244,0)),"")</f>
        <v>XI-40 | Policy &amp; procedure Q&amp;A</v>
      </c>
    </row>
    <row r="42">
      <c r="AX42" t="n">
        <v>41</v>
      </c>
      <c r="BA42" t="str">
        <f>IFERROR(INDEX('2. Use-Case Library'!$M$5:$M$244,MATCH(41,'2. Use-Case Library'!$O$5:$O$244,0)),"")</f>
        <v>XI-41 | Internal-audit analytics (full-population testing)</v>
      </c>
    </row>
    <row r="43">
      <c r="AX43" t="n">
        <v>42</v>
      </c>
      <c r="BA43" t="str">
        <f>IFERROR(INDEX('2. Use-Case Library'!$M$5:$M$244,MATCH(42,'2. Use-Case Library'!$O$5:$O$244,0)),"")</f>
        <v>XI-42 | Third-party risk questionnaires &amp; SOC reports</v>
      </c>
    </row>
    <row r="44">
      <c r="AX44" t="n">
        <v>43</v>
      </c>
      <c r="BA44" t="str">
        <f>IFERROR(INDEX('2. Use-Case Library'!$M$5:$M$244,MATCH(43,'2. Use-Case Library'!$O$5:$O$244,0)),"")</f>
        <v>XI-43 | Business continuity plans &amp; BIA</v>
      </c>
    </row>
    <row r="45">
      <c r="AX45" t="n">
        <v>44</v>
      </c>
      <c r="BA45" t="str">
        <f>IFERROR(INDEX('2. Use-Case Library'!$M$5:$M$244,MATCH(44,'2. Use-Case Library'!$O$5:$O$244,0)),"")</f>
        <v>XI-44 | Legal research &amp; precedent search</v>
      </c>
    </row>
    <row r="46">
      <c r="AX46" t="n">
        <v>45</v>
      </c>
      <c r="BA46" t="str">
        <f>IFERROR(INDEX('2. Use-Case Library'!$M$5:$M$244,MATCH(45,'2. Use-Case Library'!$O$5:$O$244,0)),"")</f>
        <v>XI-45 | Board papers &amp; minutes</v>
      </c>
    </row>
    <row r="47">
      <c r="AX47" t="n">
        <v>46</v>
      </c>
      <c r="BA47" t="str">
        <f>IFERROR(INDEX('2. Use-Case Library'!$M$5:$M$244,MATCH(46,'2. Use-Case Library'!$O$5:$O$244,0)),"")</f>
        <v>XI-46 | Data-subject requests (PDPL)</v>
      </c>
    </row>
    <row r="48">
      <c r="AX48" t="n">
        <v>47</v>
      </c>
      <c r="BA48" t="str">
        <f>IFERROR(INDEX('2. Use-Case Library'!$M$5:$M$244,MATCH(47,'2. Use-Case Library'!$O$5:$O$244,0)),"")</f>
        <v>XI-47 | IT service desk</v>
      </c>
    </row>
    <row r="49">
      <c r="AX49" t="n">
        <v>48</v>
      </c>
      <c r="BA49" t="str">
        <f>IFERROR(INDEX('2. Use-Case Library'!$M$5:$M$244,MATCH(48,'2. Use-Case Library'!$O$5:$O$244,0)),"")</f>
        <v>XI-48 | User access reviews</v>
      </c>
    </row>
    <row r="50">
      <c r="AX50" t="n">
        <v>49</v>
      </c>
      <c r="BA50" t="str">
        <f>IFERROR(INDEX('2. Use-Case Library'!$M$5:$M$244,MATCH(49,'2. Use-Case Library'!$O$5:$O$244,0)),"")</f>
        <v>XI-49 | Security alert triage (SOC)</v>
      </c>
    </row>
    <row r="51">
      <c r="AX51" t="n">
        <v>50</v>
      </c>
      <c r="BA51" t="str">
        <f>IFERROR(INDEX('2. Use-Case Library'!$M$5:$M$244,MATCH(50,'2. Use-Case Library'!$O$5:$O$244,0)),"")</f>
        <v>XI-50 | Code assistance &amp; documentation</v>
      </c>
    </row>
    <row r="52">
      <c r="BA52" t="str">
        <f>IFERROR(INDEX('2. Use-Case Library'!$M$5:$M$244,MATCH(51,'2. Use-Case Library'!$O$5:$O$244,0)),"")</f>
        <v>XI-51 | Vulnerability prioritisation</v>
      </c>
    </row>
    <row r="53">
      <c r="BA53" t="str">
        <f>IFERROR(INDEX('2. Use-Case Library'!$M$5:$M$244,MATCH(52,'2. Use-Case Library'!$O$5:$O$244,0)),"")</f>
        <v>XI-52 | IT asset &amp; licence management</v>
      </c>
    </row>
    <row r="54">
      <c r="BA54" t="str">
        <f>IFERROR(INDEX('2. Use-Case Library'!$M$5:$M$244,MATCH(53,'2. Use-Case Library'!$O$5:$O$244,0)),"")</f>
        <v>XI-53 | KPI dashboards</v>
      </c>
    </row>
    <row r="55">
      <c r="BA55" t="str">
        <f>IFERROR(INDEX('2. Use-Case Library'!$M$5:$M$244,MATCH(54,'2. Use-Case Library'!$O$5:$O$244,0)),"")</f>
        <v>XI-54 | Meeting minutes &amp; action tracking</v>
      </c>
    </row>
    <row r="56">
      <c r="BA56" t="str">
        <f>IFERROR(INDEX('2. Use-Case Library'!$M$5:$M$244,MATCH(55,'2. Use-Case Library'!$O$5:$O$244,0)),"")</f>
        <v>XI-55 | Market &amp; competitor research</v>
      </c>
    </row>
    <row r="57">
      <c r="BA57" t="str">
        <f>IFERROR(INDEX('2. Use-Case Library'!$M$5:$M$244,MATCH(56,'2. Use-Case Library'!$O$5:$O$244,0)),"")</f>
        <v>XI-56 | Enterprise knowledge search</v>
      </c>
    </row>
    <row r="58">
      <c r="BA58" t="str">
        <f>IFERROR(INDEX('2. Use-Case Library'!$M$5:$M$244,MATCH(57,'2. Use-Case Library'!$O$5:$O$244,0)),"")</f>
        <v>XI-57 | Email &amp; document drafting</v>
      </c>
    </row>
    <row r="59">
      <c r="BA59" t="str">
        <f>IFERROR(INDEX('2. Use-Case Library'!$M$5:$M$244,MATCH(58,'2. Use-Case Library'!$O$5:$O$244,0)),"")</f>
        <v>XI-58 | Document classification &amp; retention</v>
      </c>
    </row>
    <row r="60">
      <c r="BA60" t="str">
        <f>IFERROR(INDEX('2. Use-Case Library'!$M$5:$M$244,MATCH(59,'2. Use-Case Library'!$O$5:$O$244,0)),"")</f>
        <v>XI-59 | Facilities requests &amp; maintenance tickets</v>
      </c>
    </row>
    <row r="61">
      <c r="BA61" t="str">
        <f>IFERROR(INDEX('2. Use-Case Library'!$M$5:$M$244,MATCH(60,'2. Use-Case Library'!$O$5:$O$244,0)),"")</f>
        <v>XI-60 | Building energy management</v>
      </c>
    </row>
    <row r="62">
      <c r="BA62" t="str">
        <f>IFERROR(INDEX('2. Use-Case Library'!$M$5:$M$244,MATCH(61,'2. Use-Case Library'!$O$5:$O$244,0)),"")</f>
        <v>PRO-01 | Audit - journal-entry testing (full population)</v>
      </c>
    </row>
    <row r="63">
      <c r="BA63" t="str">
        <f>IFERROR(INDEX('2. Use-Case Library'!$M$5:$M$244,MATCH(62,'2. Use-Case Library'!$O$5:$O$244,0)),"")</f>
        <v>PRO-02 | Audit - working papers &amp; memo drafting</v>
      </c>
    </row>
    <row r="64">
      <c r="BA64" t="str">
        <f>IFERROR(INDEX('2. Use-Case Library'!$M$5:$M$244,MATCH(63,'2. Use-Case Library'!$O$5:$O$244,0)),"")</f>
        <v>PRO-03 | Audit - bank &amp; external confirmations</v>
      </c>
    </row>
    <row r="65">
      <c r="BA65" t="str">
        <f>IFERROR(INDEX('2. Use-Case Library'!$M$5:$M$244,MATCH(64,'2. Use-Case Library'!$O$5:$O$244,0)),"")</f>
        <v>PRO-04 | Tax research &amp; technical Q&amp;A</v>
      </c>
    </row>
    <row r="66">
      <c r="BA66" t="str">
        <f>IFERROR(INDEX('2. Use-Case Library'!$M$5:$M$244,MATCH(65,'2. Use-Case Library'!$O$5:$O$244,0)),"")</f>
        <v>PRO-05 | Tax - VAT / tax return data preparation</v>
      </c>
    </row>
    <row r="67">
      <c r="BA67" t="str">
        <f>IFERROR(INDEX('2. Use-Case Library'!$M$5:$M$244,MATCH(66,'2. Use-Case Library'!$O$5:$O$244,0)),"")</f>
        <v>PRO-06 | Predictive tax scenario modelling</v>
      </c>
    </row>
    <row r="68">
      <c r="BA68" t="str">
        <f>IFERROR(INDEX('2. Use-Case Library'!$M$5:$M$244,MATCH(67,'2. Use-Case Library'!$O$5:$O$244,0)),"")</f>
        <v>PRO-07 | Advisory - due-diligence data-room review</v>
      </c>
    </row>
    <row r="69">
      <c r="BA69" t="str">
        <f>IFERROR(INDEX('2. Use-Case Library'!$M$5:$M$244,MATCH(68,'2. Use-Case Library'!$O$5:$O$244,0)),"")</f>
        <v>PRO-08 | Client acceptance &amp; independence checks</v>
      </c>
    </row>
    <row r="70">
      <c r="BA70" t="str">
        <f>IFERROR(INDEX('2. Use-Case Library'!$M$5:$M$244,MATCH(69,'2. Use-Case Library'!$O$5:$O$244,0)),"")</f>
        <v>PRO-09 | Timesheets, WIP &amp; billing</v>
      </c>
    </row>
    <row r="71">
      <c r="BA71" t="str">
        <f>IFERROR(INDEX('2. Use-Case Library'!$M$5:$M$244,MATCH(70,'2. Use-Case Library'!$O$5:$O$244,0)),"")</f>
        <v>PRO-10 | Engagement workflow coordination</v>
      </c>
    </row>
    <row r="72">
      <c r="BA72" t="str">
        <f>IFERROR(INDEX('2. Use-Case Library'!$M$5:$M$244,MATCH(71,'2. Use-Case Library'!$O$5:$O$244,0)),"")</f>
        <v>PRO-11 | Financial statements preparation (GT AI FS tool - in preparation)</v>
      </c>
    </row>
    <row r="73">
      <c r="BA73" t="str">
        <f>IFERROR(INDEX('2. Use-Case Library'!$M$5:$M$244,MATCH(72,'2. Use-Case Library'!$O$5:$O$244,0)),"")</f>
        <v>PRO-12 | Client BCP &amp; business impact analysis (GT AI BCP tool - in preparation)</v>
      </c>
    </row>
    <row r="74">
      <c r="BA74" t="str">
        <f>IFERROR(INDEX('2. Use-Case Library'!$M$5:$M$244,MATCH(73,'2. Use-Case Library'!$O$5:$O$244,0)),"")</f>
        <v>PRO-13 | Assessment &amp; maturity report production</v>
      </c>
    </row>
    <row r="75">
      <c r="BA75" t="str">
        <f>IFERROR(INDEX('2. Use-Case Library'!$M$5:$M$244,MATCH(74,'2. Use-Case Library'!$O$5:$O$244,0)),"")</f>
        <v>PRO-14 | Governance 'tone at the top' analysis</v>
      </c>
    </row>
    <row r="76">
      <c r="BA76" t="str">
        <f>IFERROR(INDEX('2. Use-Case Library'!$M$5:$M$244,MATCH(75,'2. Use-Case Library'!$O$5:$O$244,0)),"")</f>
        <v>PRO-15 | Methodology &amp; knowledge Q&amp;A</v>
      </c>
    </row>
    <row r="77">
      <c r="BA77" t="str">
        <f>IFERROR(INDEX('2. Use-Case Library'!$M$5:$M$244,MATCH(76,'2. Use-Case Library'!$O$5:$O$244,0)),"")</f>
        <v/>
      </c>
    </row>
    <row r="78">
      <c r="BA78" t="str">
        <f>IFERROR(INDEX('2. Use-Case Library'!$M$5:$M$244,MATCH(77,'2. Use-Case Library'!$O$5:$O$244,0)),"")</f>
        <v/>
      </c>
    </row>
    <row r="79">
      <c r="BA79" t="str">
        <f>IFERROR(INDEX('2. Use-Case Library'!$M$5:$M$244,MATCH(78,'2. Use-Case Library'!$O$5:$O$244,0)),"")</f>
        <v/>
      </c>
    </row>
    <row r="80">
      <c r="BA80" t="str">
        <f>IFERROR(INDEX('2. Use-Case Library'!$M$5:$M$244,MATCH(79,'2. Use-Case Library'!$O$5:$O$244,0)),"")</f>
        <v/>
      </c>
    </row>
    <row r="81">
      <c r="BA81" t="str">
        <f>IFERROR(INDEX('2. Use-Case Library'!$M$5:$M$244,MATCH(80,'2. Use-Case Library'!$O$5:$O$244,0)),"")</f>
        <v/>
      </c>
    </row>
    <row r="82">
      <c r="BA82" t="str">
        <f>IFERROR(INDEX('2. Use-Case Library'!$M$5:$M$244,MATCH(81,'2. Use-Case Library'!$O$5:$O$244,0)),"")</f>
        <v/>
      </c>
    </row>
    <row r="83">
      <c r="BA83" t="str">
        <f>IFERROR(INDEX('2. Use-Case Library'!$M$5:$M$244,MATCH(82,'2. Use-Case Library'!$O$5:$O$244,0)),"")</f>
        <v/>
      </c>
    </row>
    <row r="84">
      <c r="BA84" t="str">
        <f>IFERROR(INDEX('2. Use-Case Library'!$M$5:$M$244,MATCH(83,'2. Use-Case Library'!$O$5:$O$244,0)),"")</f>
        <v/>
      </c>
    </row>
    <row r="85">
      <c r="BA85" t="str">
        <f>IFERROR(INDEX('2. Use-Case Library'!$M$5:$M$244,MATCH(84,'2. Use-Case Library'!$O$5:$O$244,0)),"")</f>
        <v/>
      </c>
    </row>
    <row r="86">
      <c r="BA86" t="str">
        <f>IFERROR(INDEX('2. Use-Case Library'!$M$5:$M$244,MATCH(85,'2. Use-Case Library'!$O$5:$O$244,0)),"")</f>
        <v/>
      </c>
    </row>
    <row r="87">
      <c r="BA87" t="str">
        <f>IFERROR(INDEX('2. Use-Case Library'!$M$5:$M$244,MATCH(86,'2. Use-Case Library'!$O$5:$O$244,0)),"")</f>
        <v/>
      </c>
    </row>
    <row r="88">
      <c r="BA88" t="str">
        <f>IFERROR(INDEX('2. Use-Case Library'!$M$5:$M$244,MATCH(87,'2. Use-Case Library'!$O$5:$O$244,0)),"")</f>
        <v/>
      </c>
    </row>
    <row r="89">
      <c r="BA89" t="str">
        <f>IFERROR(INDEX('2. Use-Case Library'!$M$5:$M$244,MATCH(88,'2. Use-Case Library'!$O$5:$O$244,0)),"")</f>
        <v/>
      </c>
    </row>
    <row r="90">
      <c r="BA90" t="str">
        <f>IFERROR(INDEX('2. Use-Case Library'!$M$5:$M$244,MATCH(89,'2. Use-Case Library'!$O$5:$O$244,0)),"")</f>
        <v/>
      </c>
    </row>
    <row r="91">
      <c r="BA91" t="str">
        <f>IFERROR(INDEX('2. Use-Case Library'!$M$5:$M$244,MATCH(90,'2. Use-Case Library'!$O$5:$O$244,0)),"")</f>
        <v/>
      </c>
    </row>
    <row r="92">
      <c r="BA92" t="str">
        <f>IFERROR(INDEX('2. Use-Case Library'!$M$5:$M$244,MATCH(91,'2. Use-Case Library'!$O$5:$O$244,0)),"")</f>
        <v/>
      </c>
    </row>
    <row r="93">
      <c r="BA93" t="str">
        <f>IFERROR(INDEX('2. Use-Case Library'!$M$5:$M$244,MATCH(92,'2. Use-Case Library'!$O$5:$O$244,0)),"")</f>
        <v/>
      </c>
    </row>
    <row r="94">
      <c r="BA94" t="str">
        <f>IFERROR(INDEX('2. Use-Case Library'!$M$5:$M$244,MATCH(93,'2. Use-Case Library'!$O$5:$O$244,0)),"")</f>
        <v/>
      </c>
    </row>
    <row r="95">
      <c r="BA95" t="str">
        <f>IFERROR(INDEX('2. Use-Case Library'!$M$5:$M$244,MATCH(94,'2. Use-Case Library'!$O$5:$O$244,0)),"")</f>
        <v/>
      </c>
    </row>
    <row r="96">
      <c r="BA96" t="str">
        <f>IFERROR(INDEX('2. Use-Case Library'!$M$5:$M$244,MATCH(95,'2. Use-Case Library'!$O$5:$O$244,0)),"")</f>
        <v/>
      </c>
    </row>
    <row r="97">
      <c r="BA97" t="str">
        <f>IFERROR(INDEX('2. Use-Case Library'!$M$5:$M$244,MATCH(96,'2. Use-Case Library'!$O$5:$O$244,0)),"")</f>
        <v/>
      </c>
    </row>
    <row r="98">
      <c r="BA98" t="str">
        <f>IFERROR(INDEX('2. Use-Case Library'!$M$5:$M$244,MATCH(97,'2. Use-Case Library'!$O$5:$O$244,0)),"")</f>
        <v/>
      </c>
    </row>
    <row r="99">
      <c r="BA99" t="str">
        <f>IFERROR(INDEX('2. Use-Case Library'!$M$5:$M$244,MATCH(98,'2. Use-Case Library'!$O$5:$O$244,0)),"")</f>
        <v/>
      </c>
    </row>
    <row r="100">
      <c r="BA100" t="str">
        <f>IFERROR(INDEX('2. Use-Case Library'!$M$5:$M$244,MATCH(99,'2. Use-Case Library'!$O$5:$O$244,0)),"")</f>
        <v/>
      </c>
    </row>
    <row r="101">
      <c r="BA101" t="str">
        <f>IFERROR(INDEX('2. Use-Case Library'!$M$5:$M$244,MATCH(100,'2. Use-Case Library'!$O$5:$O$244,0)),"")</f>
        <v/>
      </c>
    </row>
    <row r="102">
      <c r="BA102" t="str">
        <f>IFERROR(INDEX('2. Use-Case Library'!$M$5:$M$244,MATCH(101,'2. Use-Case Library'!$O$5:$O$244,0)),"")</f>
        <v/>
      </c>
    </row>
    <row r="103">
      <c r="BA103" t="str">
        <f>IFERROR(INDEX('2. Use-Case Library'!$M$5:$M$244,MATCH(102,'2. Use-Case Library'!$O$5:$O$244,0)),"")</f>
        <v/>
      </c>
    </row>
    <row r="104">
      <c r="BA104" t="str">
        <f>IFERROR(INDEX('2. Use-Case Library'!$M$5:$M$244,MATCH(103,'2. Use-Case Library'!$O$5:$O$244,0)),"")</f>
        <v/>
      </c>
    </row>
    <row r="105">
      <c r="BA105" t="str">
        <f>IFERROR(INDEX('2. Use-Case Library'!$M$5:$M$244,MATCH(104,'2. Use-Case Library'!$O$5:$O$244,0)),"")</f>
        <v/>
      </c>
    </row>
    <row r="106">
      <c r="BA106" t="str">
        <f>IFERROR(INDEX('2. Use-Case Library'!$M$5:$M$244,MATCH(105,'2. Use-Case Library'!$O$5:$O$244,0)),"")</f>
        <v/>
      </c>
    </row>
    <row r="107">
      <c r="BA107" t="str">
        <f>IFERROR(INDEX('2. Use-Case Library'!$M$5:$M$244,MATCH(106,'2. Use-Case Library'!$O$5:$O$244,0)),"")</f>
        <v/>
      </c>
    </row>
    <row r="108">
      <c r="BA108" t="str">
        <f>IFERROR(INDEX('2. Use-Case Library'!$M$5:$M$244,MATCH(107,'2. Use-Case Library'!$O$5:$O$244,0)),"")</f>
        <v/>
      </c>
    </row>
    <row r="109">
      <c r="BA109" t="str">
        <f>IFERROR(INDEX('2. Use-Case Library'!$M$5:$M$244,MATCH(108,'2. Use-Case Library'!$O$5:$O$244,0)),"")</f>
        <v/>
      </c>
    </row>
    <row r="110">
      <c r="BA110" t="str">
        <f>IFERROR(INDEX('2. Use-Case Library'!$M$5:$M$244,MATCH(109,'2. Use-Case Library'!$O$5:$O$244,0)),"")</f>
        <v/>
      </c>
    </row>
    <row r="111">
      <c r="BA111" t="str">
        <f>IFERROR(INDEX('2. Use-Case Library'!$M$5:$M$244,MATCH(110,'2. Use-Case Library'!$O$5:$O$244,0)),"")</f>
        <v/>
      </c>
    </row>
    <row r="112">
      <c r="BA112" t="str">
        <f>IFERROR(INDEX('2. Use-Case Library'!$M$5:$M$244,MATCH(111,'2. Use-Case Library'!$O$5:$O$244,0)),"")</f>
        <v/>
      </c>
    </row>
    <row r="113">
      <c r="BA113" t="str">
        <f>IFERROR(INDEX('2. Use-Case Library'!$M$5:$M$244,MATCH(112,'2. Use-Case Library'!$O$5:$O$244,0)),"")</f>
        <v/>
      </c>
    </row>
    <row r="114">
      <c r="BA114" t="str">
        <f>IFERROR(INDEX('2. Use-Case Library'!$M$5:$M$244,MATCH(113,'2. Use-Case Library'!$O$5:$O$244,0)),"")</f>
        <v/>
      </c>
    </row>
    <row r="115">
      <c r="BA115" t="str">
        <f>IFERROR(INDEX('2. Use-Case Library'!$M$5:$M$244,MATCH(114,'2. Use-Case Library'!$O$5:$O$244,0)),"")</f>
        <v/>
      </c>
    </row>
    <row r="116">
      <c r="BA116" t="str">
        <f>IFERROR(INDEX('2. Use-Case Library'!$M$5:$M$244,MATCH(115,'2. Use-Case Library'!$O$5:$O$244,0)),"")</f>
        <v/>
      </c>
    </row>
    <row r="117">
      <c r="BA117" t="str">
        <f>IFERROR(INDEX('2. Use-Case Library'!$M$5:$M$244,MATCH(116,'2. Use-Case Library'!$O$5:$O$244,0)),"")</f>
        <v/>
      </c>
    </row>
    <row r="118">
      <c r="BA118" t="str">
        <f>IFERROR(INDEX('2. Use-Case Library'!$M$5:$M$244,MATCH(117,'2. Use-Case Library'!$O$5:$O$244,0)),"")</f>
        <v/>
      </c>
    </row>
    <row r="119">
      <c r="BA119" t="str">
        <f>IFERROR(INDEX('2. Use-Case Library'!$M$5:$M$244,MATCH(118,'2. Use-Case Library'!$O$5:$O$244,0)),"")</f>
        <v/>
      </c>
    </row>
    <row r="120">
      <c r="BA120" t="str">
        <f>IFERROR(INDEX('2. Use-Case Library'!$M$5:$M$244,MATCH(119,'2. Use-Case Library'!$O$5:$O$244,0)),"")</f>
        <v/>
      </c>
    </row>
    <row r="121">
      <c r="BA121" t="str">
        <f>IFERROR(INDEX('2. Use-Case Library'!$M$5:$M$244,MATCH(120,'2. Use-Case Library'!$O$5:$O$244,0)),"")</f>
        <v/>
      </c>
    </row>
    <row r="122">
      <c r="BA122" t="str">
        <f>IFERROR(INDEX('2. Use-Case Library'!$M$5:$M$244,MATCH(121,'2. Use-Case Library'!$O$5:$O$244,0)),"")</f>
        <v/>
      </c>
    </row>
    <row r="123">
      <c r="BA123" t="str">
        <f>IFERROR(INDEX('2. Use-Case Library'!$M$5:$M$244,MATCH(122,'2. Use-Case Library'!$O$5:$O$244,0)),"")</f>
        <v/>
      </c>
    </row>
    <row r="124">
      <c r="BA124" t="str">
        <f>IFERROR(INDEX('2. Use-Case Library'!$M$5:$M$244,MATCH(123,'2. Use-Case Library'!$O$5:$O$244,0)),"")</f>
        <v/>
      </c>
    </row>
    <row r="125">
      <c r="BA125" t="str">
        <f>IFERROR(INDEX('2. Use-Case Library'!$M$5:$M$244,MATCH(124,'2. Use-Case Library'!$O$5:$O$244,0)),"")</f>
        <v/>
      </c>
    </row>
    <row r="126">
      <c r="BA126" t="str">
        <f>IFERROR(INDEX('2. Use-Case Library'!$M$5:$M$244,MATCH(125,'2. Use-Case Library'!$O$5:$O$244,0)),"")</f>
        <v/>
      </c>
    </row>
    <row r="127">
      <c r="BA127" t="str">
        <f>IFERROR(INDEX('2. Use-Case Library'!$M$5:$M$244,MATCH(126,'2. Use-Case Library'!$O$5:$O$244,0)),"")</f>
        <v/>
      </c>
    </row>
    <row r="128">
      <c r="BA128" t="str">
        <f>IFERROR(INDEX('2. Use-Case Library'!$M$5:$M$244,MATCH(127,'2. Use-Case Library'!$O$5:$O$244,0)),"")</f>
        <v/>
      </c>
    </row>
    <row r="129">
      <c r="BA129" t="str">
        <f>IFERROR(INDEX('2. Use-Case Library'!$M$5:$M$244,MATCH(128,'2. Use-Case Library'!$O$5:$O$244,0)),"")</f>
        <v/>
      </c>
    </row>
    <row r="130">
      <c r="BA130" t="str">
        <f>IFERROR(INDEX('2. Use-Case Library'!$M$5:$M$244,MATCH(129,'2. Use-Case Library'!$O$5:$O$244,0)),"")</f>
        <v/>
      </c>
    </row>
    <row r="131">
      <c r="BA131" t="str">
        <f>IFERROR(INDEX('2. Use-Case Library'!$M$5:$M$244,MATCH(130,'2. Use-Case Library'!$O$5:$O$244,0)),"")</f>
        <v/>
      </c>
    </row>
    <row r="132">
      <c r="BA132" t="str">
        <f>IFERROR(INDEX('2. Use-Case Library'!$M$5:$M$244,MATCH(131,'2. Use-Case Library'!$O$5:$O$244,0)),"")</f>
        <v/>
      </c>
    </row>
    <row r="133">
      <c r="BA133" t="str">
        <f>IFERROR(INDEX('2. Use-Case Library'!$M$5:$M$244,MATCH(132,'2. Use-Case Library'!$O$5:$O$244,0)),"")</f>
        <v/>
      </c>
    </row>
    <row r="134">
      <c r="BA134" t="str">
        <f>IFERROR(INDEX('2. Use-Case Library'!$M$5:$M$244,MATCH(133,'2. Use-Case Library'!$O$5:$O$244,0)),"")</f>
        <v/>
      </c>
    </row>
    <row r="135">
      <c r="BA135" t="str">
        <f>IFERROR(INDEX('2. Use-Case Library'!$M$5:$M$244,MATCH(134,'2. Use-Case Library'!$O$5:$O$244,0)),"")</f>
        <v/>
      </c>
    </row>
    <row r="136">
      <c r="BA136" t="str">
        <f>IFERROR(INDEX('2. Use-Case Library'!$M$5:$M$244,MATCH(135,'2. Use-Case Library'!$O$5:$O$244,0)),"")</f>
        <v/>
      </c>
    </row>
    <row r="137">
      <c r="BA137" t="str">
        <f>IFERROR(INDEX('2. Use-Case Library'!$M$5:$M$244,MATCH(136,'2. Use-Case Library'!$O$5:$O$244,0)),"")</f>
        <v/>
      </c>
    </row>
    <row r="138">
      <c r="BA138" t="str">
        <f>IFERROR(INDEX('2. Use-Case Library'!$M$5:$M$244,MATCH(137,'2. Use-Case Library'!$O$5:$O$244,0)),"")</f>
        <v/>
      </c>
    </row>
    <row r="139">
      <c r="BA139" t="str">
        <f>IFERROR(INDEX('2. Use-Case Library'!$M$5:$M$244,MATCH(138,'2. Use-Case Library'!$O$5:$O$244,0)),"")</f>
        <v/>
      </c>
    </row>
    <row r="140">
      <c r="BA140" t="str">
        <f>IFERROR(INDEX('2. Use-Case Library'!$M$5:$M$244,MATCH(139,'2. Use-Case Library'!$O$5:$O$244,0)),"")</f>
        <v/>
      </c>
    </row>
    <row r="141">
      <c r="BA141" t="str">
        <f>IFERROR(INDEX('2. Use-Case Library'!$M$5:$M$244,MATCH(140,'2. Use-Case Library'!$O$5:$O$244,0)),"")</f>
        <v/>
      </c>
    </row>
    <row r="142">
      <c r="BA142" t="str">
        <f>IFERROR(INDEX('2. Use-Case Library'!$M$5:$M$244,MATCH(141,'2. Use-Case Library'!$O$5:$O$244,0)),"")</f>
        <v/>
      </c>
    </row>
    <row r="143">
      <c r="BA143" t="str">
        <f>IFERROR(INDEX('2. Use-Case Library'!$M$5:$M$244,MATCH(142,'2. Use-Case Library'!$O$5:$O$244,0)),"")</f>
        <v/>
      </c>
    </row>
    <row r="144">
      <c r="BA144" t="str">
        <f>IFERROR(INDEX('2. Use-Case Library'!$M$5:$M$244,MATCH(143,'2. Use-Case Library'!$O$5:$O$244,0)),"")</f>
        <v/>
      </c>
    </row>
    <row r="145">
      <c r="BA145" t="str">
        <f>IFERROR(INDEX('2. Use-Case Library'!$M$5:$M$244,MATCH(144,'2. Use-Case Library'!$O$5:$O$244,0)),"")</f>
        <v/>
      </c>
    </row>
    <row r="146">
      <c r="BA146" t="str">
        <f>IFERROR(INDEX('2. Use-Case Library'!$M$5:$M$244,MATCH(145,'2. Use-Case Library'!$O$5:$O$244,0)),"")</f>
        <v/>
      </c>
    </row>
    <row r="147">
      <c r="BA147" t="str">
        <f>IFERROR(INDEX('2. Use-Case Library'!$M$5:$M$244,MATCH(146,'2. Use-Case Library'!$O$5:$O$244,0)),"")</f>
        <v/>
      </c>
    </row>
    <row r="148">
      <c r="BA148" t="str">
        <f>IFERROR(INDEX('2. Use-Case Library'!$M$5:$M$244,MATCH(147,'2. Use-Case Library'!$O$5:$O$244,0)),"")</f>
        <v/>
      </c>
    </row>
    <row r="149">
      <c r="BA149" t="str">
        <f>IFERROR(INDEX('2. Use-Case Library'!$M$5:$M$244,MATCH(148,'2. Use-Case Library'!$O$5:$O$244,0)),"")</f>
        <v/>
      </c>
    </row>
    <row r="150">
      <c r="BA150" t="str">
        <f>IFERROR(INDEX('2. Use-Case Library'!$M$5:$M$244,MATCH(149,'2. Use-Case Library'!$O$5:$O$244,0)),"")</f>
        <v/>
      </c>
    </row>
    <row r="151">
      <c r="BA151" t="str">
        <f>IFERROR(INDEX('2. Use-Case Library'!$M$5:$M$244,MATCH(150,'2. Use-Case Library'!$O$5:$O$244,0)),"")</f>
        <v/>
      </c>
    </row>
    <row r="152">
      <c r="BA152" t="str">
        <f>IFERROR(INDEX('2. Use-Case Library'!$M$5:$M$244,MATCH(151,'2. Use-Case Library'!$O$5:$O$244,0)),"")</f>
        <v/>
      </c>
    </row>
    <row r="153">
      <c r="BA153" t="str">
        <f>IFERROR(INDEX('2. Use-Case Library'!$M$5:$M$244,MATCH(152,'2. Use-Case Library'!$O$5:$O$244,0)),"")</f>
        <v/>
      </c>
    </row>
    <row r="154">
      <c r="BA154" t="str">
        <f>IFERROR(INDEX('2. Use-Case Library'!$M$5:$M$244,MATCH(153,'2. Use-Case Library'!$O$5:$O$244,0)),"")</f>
        <v/>
      </c>
    </row>
    <row r="155">
      <c r="BA155" t="str">
        <f>IFERROR(INDEX('2. Use-Case Library'!$M$5:$M$244,MATCH(154,'2. Use-Case Library'!$O$5:$O$244,0)),"")</f>
        <v/>
      </c>
    </row>
    <row r="156">
      <c r="BA156" t="str">
        <f>IFERROR(INDEX('2. Use-Case Library'!$M$5:$M$244,MATCH(155,'2. Use-Case Library'!$O$5:$O$244,0)),"")</f>
        <v/>
      </c>
    </row>
    <row r="157">
      <c r="BA157" t="str">
        <f>IFERROR(INDEX('2. Use-Case Library'!$M$5:$M$244,MATCH(156,'2. Use-Case Library'!$O$5:$O$244,0)),"")</f>
        <v/>
      </c>
    </row>
    <row r="158">
      <c r="BA158" t="str">
        <f>IFERROR(INDEX('2. Use-Case Library'!$M$5:$M$244,MATCH(157,'2. Use-Case Library'!$O$5:$O$244,0)),"")</f>
        <v/>
      </c>
    </row>
    <row r="159">
      <c r="BA159" t="str">
        <f>IFERROR(INDEX('2. Use-Case Library'!$M$5:$M$244,MATCH(158,'2. Use-Case Library'!$O$5:$O$244,0)),"")</f>
        <v/>
      </c>
    </row>
    <row r="160">
      <c r="BA160" t="str">
        <f>IFERROR(INDEX('2. Use-Case Library'!$M$5:$M$244,MATCH(159,'2. Use-Case Library'!$O$5:$O$244,0)),"")</f>
        <v/>
      </c>
    </row>
    <row r="161">
      <c r="BA161" t="str">
        <f>IFERROR(INDEX('2. Use-Case Library'!$M$5:$M$244,MATCH(160,'2. Use-Case Library'!$O$5:$O$244,0)),"")</f>
        <v/>
      </c>
    </row>
    <row r="162">
      <c r="BA162" t="str">
        <f>IFERROR(INDEX('2. Use-Case Library'!$M$5:$M$244,MATCH(161,'2. Use-Case Library'!$O$5:$O$244,0)),"")</f>
        <v/>
      </c>
    </row>
    <row r="163">
      <c r="BA163" t="str">
        <f>IFERROR(INDEX('2. Use-Case Library'!$M$5:$M$244,MATCH(162,'2. Use-Case Library'!$O$5:$O$244,0)),"")</f>
        <v/>
      </c>
    </row>
    <row r="164">
      <c r="BA164" t="str">
        <f>IFERROR(INDEX('2. Use-Case Library'!$M$5:$M$244,MATCH(163,'2. Use-Case Library'!$O$5:$O$244,0)),"")</f>
        <v/>
      </c>
    </row>
    <row r="165">
      <c r="BA165" t="str">
        <f>IFERROR(INDEX('2. Use-Case Library'!$M$5:$M$244,MATCH(164,'2. Use-Case Library'!$O$5:$O$244,0)),"")</f>
        <v/>
      </c>
    </row>
    <row r="166">
      <c r="BA166" t="str">
        <f>IFERROR(INDEX('2. Use-Case Library'!$M$5:$M$244,MATCH(165,'2. Use-Case Library'!$O$5:$O$244,0)),"")</f>
        <v/>
      </c>
    </row>
    <row r="167">
      <c r="BA167" t="str">
        <f>IFERROR(INDEX('2. Use-Case Library'!$M$5:$M$244,MATCH(166,'2. Use-Case Library'!$O$5:$O$244,0)),"")</f>
        <v/>
      </c>
    </row>
    <row r="168">
      <c r="BA168" t="str">
        <f>IFERROR(INDEX('2. Use-Case Library'!$M$5:$M$244,MATCH(167,'2. Use-Case Library'!$O$5:$O$244,0)),"")</f>
        <v/>
      </c>
    </row>
    <row r="169">
      <c r="BA169" t="str">
        <f>IFERROR(INDEX('2. Use-Case Library'!$M$5:$M$244,MATCH(168,'2. Use-Case Library'!$O$5:$O$244,0)),"")</f>
        <v/>
      </c>
    </row>
    <row r="170">
      <c r="BA170" t="str">
        <f>IFERROR(INDEX('2. Use-Case Library'!$M$5:$M$244,MATCH(169,'2. Use-Case Library'!$O$5:$O$244,0)),"")</f>
        <v/>
      </c>
    </row>
    <row r="171">
      <c r="BA171" t="str">
        <f>IFERROR(INDEX('2. Use-Case Library'!$M$5:$M$244,MATCH(170,'2. Use-Case Library'!$O$5:$O$244,0)),"")</f>
        <v/>
      </c>
    </row>
    <row r="172">
      <c r="BA172" t="str">
        <f>IFERROR(INDEX('2. Use-Case Library'!$M$5:$M$244,MATCH(171,'2. Use-Case Library'!$O$5:$O$244,0)),"")</f>
        <v/>
      </c>
    </row>
    <row r="173">
      <c r="BA173" t="str">
        <f>IFERROR(INDEX('2. Use-Case Library'!$M$5:$M$244,MATCH(172,'2. Use-Case Library'!$O$5:$O$244,0)),"")</f>
        <v/>
      </c>
    </row>
    <row r="174">
      <c r="BA174" t="str">
        <f>IFERROR(INDEX('2. Use-Case Library'!$M$5:$M$244,MATCH(173,'2. Use-Case Library'!$O$5:$O$244,0)),"")</f>
        <v/>
      </c>
    </row>
    <row r="175">
      <c r="BA175" t="str">
        <f>IFERROR(INDEX('2. Use-Case Library'!$M$5:$M$244,MATCH(174,'2. Use-Case Library'!$O$5:$O$244,0)),"")</f>
        <v/>
      </c>
    </row>
    <row r="176">
      <c r="BA176" t="str">
        <f>IFERROR(INDEX('2. Use-Case Library'!$M$5:$M$244,MATCH(175,'2. Use-Case Library'!$O$5:$O$244,0)),"")</f>
        <v/>
      </c>
    </row>
    <row r="177">
      <c r="BA177" t="str">
        <f>IFERROR(INDEX('2. Use-Case Library'!$M$5:$M$244,MATCH(176,'2. Use-Case Library'!$O$5:$O$244,0)),"")</f>
        <v/>
      </c>
    </row>
    <row r="178">
      <c r="BA178" t="str">
        <f>IFERROR(INDEX('2. Use-Case Library'!$M$5:$M$244,MATCH(177,'2. Use-Case Library'!$O$5:$O$244,0)),"")</f>
        <v/>
      </c>
    </row>
    <row r="179">
      <c r="BA179" t="str">
        <f>IFERROR(INDEX('2. Use-Case Library'!$M$5:$M$244,MATCH(178,'2. Use-Case Library'!$O$5:$O$244,0)),"")</f>
        <v/>
      </c>
    </row>
    <row r="180">
      <c r="BA180" t="str">
        <f>IFERROR(INDEX('2. Use-Case Library'!$M$5:$M$244,MATCH(179,'2. Use-Case Library'!$O$5:$O$244,0)),"")</f>
        <v/>
      </c>
    </row>
    <row r="181">
      <c r="BA181" t="str">
        <f>IFERROR(INDEX('2. Use-Case Library'!$M$5:$M$244,MATCH(180,'2. Use-Case Library'!$O$5:$O$244,0)),"")</f>
        <v/>
      </c>
    </row>
    <row r="182">
      <c r="BA182" t="str">
        <f>IFERROR(INDEX('2. Use-Case Library'!$M$5:$M$244,MATCH(181,'2. Use-Case Library'!$O$5:$O$244,0)),"")</f>
        <v/>
      </c>
    </row>
    <row r="183">
      <c r="BA183" t="str">
        <f>IFERROR(INDEX('2. Use-Case Library'!$M$5:$M$244,MATCH(182,'2. Use-Case Library'!$O$5:$O$244,0)),"")</f>
        <v/>
      </c>
    </row>
    <row r="184">
      <c r="BA184" t="str">
        <f>IFERROR(INDEX('2. Use-Case Library'!$M$5:$M$244,MATCH(183,'2. Use-Case Library'!$O$5:$O$244,0)),"")</f>
        <v/>
      </c>
    </row>
    <row r="185">
      <c r="BA185" t="str">
        <f>IFERROR(INDEX('2. Use-Case Library'!$M$5:$M$244,MATCH(184,'2. Use-Case Library'!$O$5:$O$244,0)),"")</f>
        <v/>
      </c>
    </row>
    <row r="186">
      <c r="BA186" t="str">
        <f>IFERROR(INDEX('2. Use-Case Library'!$M$5:$M$244,MATCH(185,'2. Use-Case Library'!$O$5:$O$244,0)),"")</f>
        <v/>
      </c>
    </row>
    <row r="187">
      <c r="BA187" t="str">
        <f>IFERROR(INDEX('2. Use-Case Library'!$M$5:$M$244,MATCH(186,'2. Use-Case Library'!$O$5:$O$244,0)),"")</f>
        <v/>
      </c>
    </row>
    <row r="188">
      <c r="BA188" t="str">
        <f>IFERROR(INDEX('2. Use-Case Library'!$M$5:$M$244,MATCH(187,'2. Use-Case Library'!$O$5:$O$244,0)),"")</f>
        <v/>
      </c>
    </row>
    <row r="189">
      <c r="BA189" t="str">
        <f>IFERROR(INDEX('2. Use-Case Library'!$M$5:$M$244,MATCH(188,'2. Use-Case Library'!$O$5:$O$244,0)),"")</f>
        <v/>
      </c>
    </row>
    <row r="190">
      <c r="BA190" t="str">
        <f>IFERROR(INDEX('2. Use-Case Library'!$M$5:$M$244,MATCH(189,'2. Use-Case Library'!$O$5:$O$244,0)),"")</f>
        <v/>
      </c>
    </row>
    <row r="191">
      <c r="BA191" t="str">
        <f>IFERROR(INDEX('2. Use-Case Library'!$M$5:$M$244,MATCH(190,'2. Use-Case Library'!$O$5:$O$244,0)),"")</f>
        <v/>
      </c>
    </row>
    <row r="192">
      <c r="BA192" t="str">
        <f>IFERROR(INDEX('2. Use-Case Library'!$M$5:$M$244,MATCH(191,'2. Use-Case Library'!$O$5:$O$244,0)),"")</f>
        <v/>
      </c>
    </row>
    <row r="193">
      <c r="BA193" t="str">
        <f>IFERROR(INDEX('2. Use-Case Library'!$M$5:$M$244,MATCH(192,'2. Use-Case Library'!$O$5:$O$244,0)),"")</f>
        <v/>
      </c>
    </row>
    <row r="194">
      <c r="BA194" t="str">
        <f>IFERROR(INDEX('2. Use-Case Library'!$M$5:$M$244,MATCH(193,'2. Use-Case Library'!$O$5:$O$244,0)),"")</f>
        <v/>
      </c>
    </row>
    <row r="195">
      <c r="BA195" t="str">
        <f>IFERROR(INDEX('2. Use-Case Library'!$M$5:$M$244,MATCH(194,'2. Use-Case Library'!$O$5:$O$244,0)),"")</f>
        <v/>
      </c>
    </row>
    <row r="196">
      <c r="BA196" t="str">
        <f>IFERROR(INDEX('2. Use-Case Library'!$M$5:$M$244,MATCH(195,'2. Use-Case Library'!$O$5:$O$244,0)),"")</f>
        <v/>
      </c>
    </row>
    <row r="197">
      <c r="BA197" t="str">
        <f>IFERROR(INDEX('2. Use-Case Library'!$M$5:$M$244,MATCH(196,'2. Use-Case Library'!$O$5:$O$244,0)),"")</f>
        <v/>
      </c>
    </row>
    <row r="198">
      <c r="BA198" t="str">
        <f>IFERROR(INDEX('2. Use-Case Library'!$M$5:$M$244,MATCH(197,'2. Use-Case Library'!$O$5:$O$244,0)),"")</f>
        <v/>
      </c>
    </row>
    <row r="199">
      <c r="BA199" t="str">
        <f>IFERROR(INDEX('2. Use-Case Library'!$M$5:$M$244,MATCH(198,'2. Use-Case Library'!$O$5:$O$244,0)),"")</f>
        <v/>
      </c>
    </row>
    <row r="200">
      <c r="BA200" t="str">
        <f>IFERROR(INDEX('2. Use-Case Library'!$M$5:$M$244,MATCH(199,'2. Use-Case Library'!$O$5:$O$244,0)),"")</f>
        <v/>
      </c>
    </row>
    <row r="201">
      <c r="BA201" t="str">
        <f>IFERROR(INDEX('2. Use-Case Library'!$M$5:$M$244,MATCH(200,'2. Use-Case Library'!$O$5:$O$244,0)),"")</f>
        <v/>
      </c>
    </row>
    <row r="202">
      <c r="BA202" t="str">
        <f>IFERROR(INDEX('2. Use-Case Library'!$M$5:$M$244,MATCH(201,'2. Use-Case Library'!$O$5:$O$244,0)),"")</f>
        <v/>
      </c>
    </row>
    <row r="203">
      <c r="BA203" t="str">
        <f>IFERROR(INDEX('2. Use-Case Library'!$M$5:$M$244,MATCH(202,'2. Use-Case Library'!$O$5:$O$244,0)),"")</f>
        <v/>
      </c>
    </row>
    <row r="204">
      <c r="BA204" t="str">
        <f>IFERROR(INDEX('2. Use-Case Library'!$M$5:$M$244,MATCH(203,'2. Use-Case Library'!$O$5:$O$244,0)),"")</f>
        <v/>
      </c>
    </row>
    <row r="205">
      <c r="BA205" t="str">
        <f>IFERROR(INDEX('2. Use-Case Library'!$M$5:$M$244,MATCH(204,'2. Use-Case Library'!$O$5:$O$244,0)),"")</f>
        <v/>
      </c>
    </row>
    <row r="206">
      <c r="BA206" t="str">
        <f>IFERROR(INDEX('2. Use-Case Library'!$M$5:$M$244,MATCH(205,'2. Use-Case Library'!$O$5:$O$244,0)),"")</f>
        <v/>
      </c>
    </row>
    <row r="207">
      <c r="BA207" t="str">
        <f>IFERROR(INDEX('2. Use-Case Library'!$M$5:$M$244,MATCH(206,'2. Use-Case Library'!$O$5:$O$244,0)),"")</f>
        <v/>
      </c>
    </row>
    <row r="208">
      <c r="BA208" t="str">
        <f>IFERROR(INDEX('2. Use-Case Library'!$M$5:$M$244,MATCH(207,'2. Use-Case Library'!$O$5:$O$244,0)),"")</f>
        <v/>
      </c>
    </row>
    <row r="209">
      <c r="BA209" t="str">
        <f>IFERROR(INDEX('2. Use-Case Library'!$M$5:$M$244,MATCH(208,'2. Use-Case Library'!$O$5:$O$244,0)),"")</f>
        <v/>
      </c>
    </row>
    <row r="210">
      <c r="BA210" t="str">
        <f>IFERROR(INDEX('2. Use-Case Library'!$M$5:$M$244,MATCH(209,'2. Use-Case Library'!$O$5:$O$244,0)),"")</f>
        <v/>
      </c>
    </row>
    <row r="211">
      <c r="BA211" t="str">
        <f>IFERROR(INDEX('2. Use-Case Library'!$M$5:$M$244,MATCH(210,'2. Use-Case Library'!$O$5:$O$244,0)),"")</f>
        <v/>
      </c>
    </row>
    <row r="212">
      <c r="BA212" t="str">
        <f>IFERROR(INDEX('2. Use-Case Library'!$M$5:$M$244,MATCH(211,'2. Use-Case Library'!$O$5:$O$244,0)),"")</f>
        <v/>
      </c>
    </row>
    <row r="213">
      <c r="BA213" t="str">
        <f>IFERROR(INDEX('2. Use-Case Library'!$M$5:$M$244,MATCH(212,'2. Use-Case Library'!$O$5:$O$244,0)),"")</f>
        <v/>
      </c>
    </row>
    <row r="214">
      <c r="BA214" t="str">
        <f>IFERROR(INDEX('2. Use-Case Library'!$M$5:$M$244,MATCH(213,'2. Use-Case Library'!$O$5:$O$244,0)),"")</f>
        <v/>
      </c>
    </row>
    <row r="215">
      <c r="BA215" t="str">
        <f>IFERROR(INDEX('2. Use-Case Library'!$M$5:$M$244,MATCH(214,'2. Use-Case Library'!$O$5:$O$244,0)),"")</f>
        <v/>
      </c>
    </row>
    <row r="216">
      <c r="BA216" t="str">
        <f>IFERROR(INDEX('2. Use-Case Library'!$M$5:$M$244,MATCH(215,'2. Use-Case Library'!$O$5:$O$244,0)),"")</f>
        <v/>
      </c>
    </row>
    <row r="217">
      <c r="BA217" t="str">
        <f>IFERROR(INDEX('2. Use-Case Library'!$M$5:$M$244,MATCH(216,'2. Use-Case Library'!$O$5:$O$244,0)),"")</f>
        <v/>
      </c>
    </row>
    <row r="218">
      <c r="BA218" t="str">
        <f>IFERROR(INDEX('2. Use-Case Library'!$M$5:$M$244,MATCH(217,'2. Use-Case Library'!$O$5:$O$244,0)),"")</f>
        <v/>
      </c>
    </row>
    <row r="219">
      <c r="BA219" t="str">
        <f>IFERROR(INDEX('2. Use-Case Library'!$M$5:$M$244,MATCH(218,'2. Use-Case Library'!$O$5:$O$244,0)),"")</f>
        <v/>
      </c>
    </row>
    <row r="220">
      <c r="BA220" t="str">
        <f>IFERROR(INDEX('2. Use-Case Library'!$M$5:$M$244,MATCH(219,'2. Use-Case Library'!$O$5:$O$244,0)),"")</f>
        <v/>
      </c>
    </row>
    <row r="221">
      <c r="BA221" t="str">
        <f>IFERROR(INDEX('2. Use-Case Library'!$M$5:$M$244,MATCH(220,'2. Use-Case Library'!$O$5:$O$244,0)),"")</f>
        <v/>
      </c>
    </row>
    <row r="222">
      <c r="BA222" t="str">
        <f>IFERROR(INDEX('2. Use-Case Library'!$M$5:$M$244,MATCH(221,'2. Use-Case Library'!$O$5:$O$244,0)),"")</f>
        <v/>
      </c>
    </row>
    <row r="223">
      <c r="BA223" t="str">
        <f>IFERROR(INDEX('2. Use-Case Library'!$M$5:$M$244,MATCH(222,'2. Use-Case Library'!$O$5:$O$244,0)),"")</f>
        <v/>
      </c>
    </row>
    <row r="224">
      <c r="BA224" t="str">
        <f>IFERROR(INDEX('2. Use-Case Library'!$M$5:$M$244,MATCH(223,'2. Use-Case Library'!$O$5:$O$244,0)),"")</f>
        <v/>
      </c>
    </row>
    <row r="225">
      <c r="BA225" t="str">
        <f>IFERROR(INDEX('2. Use-Case Library'!$M$5:$M$244,MATCH(224,'2. Use-Case Library'!$O$5:$O$244,0)),"")</f>
        <v/>
      </c>
    </row>
    <row r="226">
      <c r="BA226" t="str">
        <f>IFERROR(INDEX('2. Use-Case Library'!$M$5:$M$244,MATCH(225,'2. Use-Case Library'!$O$5:$O$244,0)),"")</f>
        <v/>
      </c>
    </row>
    <row r="227">
      <c r="BA227" t="str">
        <f>IFERROR(INDEX('2. Use-Case Library'!$M$5:$M$244,MATCH(226,'2. Use-Case Library'!$O$5:$O$244,0)),"")</f>
        <v/>
      </c>
    </row>
    <row r="228">
      <c r="BA228" t="str">
        <f>IFERROR(INDEX('2. Use-Case Library'!$M$5:$M$244,MATCH(227,'2. Use-Case Library'!$O$5:$O$244,0)),"")</f>
        <v/>
      </c>
    </row>
    <row r="229">
      <c r="BA229" t="str">
        <f>IFERROR(INDEX('2. Use-Case Library'!$M$5:$M$244,MATCH(228,'2. Use-Case Library'!$O$5:$O$244,0)),"")</f>
        <v/>
      </c>
    </row>
    <row r="230">
      <c r="BA230" t="str">
        <f>IFERROR(INDEX('2. Use-Case Library'!$M$5:$M$244,MATCH(229,'2. Use-Case Library'!$O$5:$O$244,0)),"")</f>
        <v/>
      </c>
    </row>
    <row r="231">
      <c r="BA231" t="str">
        <f>IFERROR(INDEX('2. Use-Case Library'!$M$5:$M$244,MATCH(230,'2. Use-Case Library'!$O$5:$O$244,0)),"")</f>
        <v/>
      </c>
    </row>
    <row r="232">
      <c r="BA232" t="str">
        <f>IFERROR(INDEX('2. Use-Case Library'!$M$5:$M$244,MATCH(231,'2. Use-Case Library'!$O$5:$O$244,0)),"")</f>
        <v/>
      </c>
    </row>
    <row r="233">
      <c r="BA233" t="str">
        <f>IFERROR(INDEX('2. Use-Case Library'!$M$5:$M$244,MATCH(232,'2. Use-Case Library'!$O$5:$O$244,0)),"")</f>
        <v/>
      </c>
    </row>
    <row r="234">
      <c r="BA234" t="str">
        <f>IFERROR(INDEX('2. Use-Case Library'!$M$5:$M$244,MATCH(233,'2. Use-Case Library'!$O$5:$O$244,0)),"")</f>
        <v/>
      </c>
    </row>
    <row r="235">
      <c r="BA235" t="str">
        <f>IFERROR(INDEX('2. Use-Case Library'!$M$5:$M$244,MATCH(234,'2. Use-Case Library'!$O$5:$O$244,0)),"")</f>
        <v/>
      </c>
    </row>
    <row r="236">
      <c r="BA236" t="str">
        <f>IFERROR(INDEX('2. Use-Case Library'!$M$5:$M$244,MATCH(235,'2. Use-Case Library'!$O$5:$O$244,0)),"")</f>
        <v/>
      </c>
    </row>
    <row r="237">
      <c r="BA237" t="str">
        <f>IFERROR(INDEX('2. Use-Case Library'!$M$5:$M$244,MATCH(236,'2. Use-Case Library'!$O$5:$O$244,0)),"")</f>
        <v/>
      </c>
    </row>
    <row r="238">
      <c r="BA238" t="str">
        <f>IFERROR(INDEX('2. Use-Case Library'!$M$5:$M$244,MATCH(237,'2. Use-Case Library'!$O$5:$O$244,0)),"")</f>
        <v/>
      </c>
    </row>
    <row r="239">
      <c r="BA239" t="str">
        <f>IFERROR(INDEX('2. Use-Case Library'!$M$5:$M$244,MATCH(238,'2. Use-Case Library'!$O$5:$O$244,0)),"")</f>
        <v/>
      </c>
    </row>
    <row r="240">
      <c r="BA240" t="str">
        <f>IFERROR(INDEX('2. Use-Case Library'!$M$5:$M$244,MATCH(239,'2. Use-Case Library'!$O$5:$O$244,0)),"")</f>
        <v/>
      </c>
    </row>
    <row r="241">
      <c r="BA241" t="str">
        <f>IFERROR(INDEX('2. Use-Case Library'!$M$5:$M$244,MATCH(240,'2. Use-Case Library'!$O$5:$O$244,0)),"")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2026-10-04T06:24:25Z</dcterms:created>
  <dcterms:modified xmlns:dcterms="http://purl.org/dc/terms/" xmlns:xsi="http://www.w3.org/2001/XMLSchema-instance" xsi:type="dcterms:W3CDTF">2026-10-04T06:24:25Z</dcterms:modified>
</cp:coreProperties>
</file>