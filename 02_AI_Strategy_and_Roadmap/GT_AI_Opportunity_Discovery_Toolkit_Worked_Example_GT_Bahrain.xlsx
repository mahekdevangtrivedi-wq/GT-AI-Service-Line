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4"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is>
          <t>Grant Thornton Bahrain (illustrative)</t>
        </is>
      </c>
      <c r="D4" s="8" t="n"/>
    </row>
    <row r="5">
      <c r="A5" s="6" t="inlineStr"/>
      <c r="B5" s="4" t="inlineStr">
        <is>
          <t>Sector (filters the use-case library)</t>
        </is>
      </c>
      <c r="C5" s="7" t="inlineStr">
        <is>
          <t>Professional services</t>
        </is>
      </c>
      <c r="D5" s="8" t="n"/>
    </row>
    <row r="6">
      <c r="A6" s="6" t="inlineStr"/>
      <c r="B6" s="4" t="inlineStr">
        <is>
          <t>Scope of discovery</t>
        </is>
      </c>
      <c r="C6" s="7" t="inlineStr">
        <is>
          <t>Whole firm - audit, tax, advisory and support functions</t>
        </is>
      </c>
      <c r="D6" s="8" t="n"/>
    </row>
    <row r="7">
      <c r="A7" s="6" t="inlineStr"/>
      <c r="B7" s="4" t="inlineStr">
        <is>
          <t>Assessment date</t>
        </is>
      </c>
      <c r="C7" s="7" t="inlineStr">
        <is>
          <t>04/10/2026</t>
        </is>
      </c>
      <c r="D7" s="8" t="n"/>
    </row>
    <row r="8">
      <c r="A8" s="6" t="inlineStr"/>
      <c r="B8" s="4" t="inlineStr">
        <is>
          <t>Facilitated by</t>
        </is>
      </c>
      <c r="C8" s="7" t="inlineStr">
        <is>
          <t>GT AI Service Line</t>
        </is>
      </c>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is>
          <t>Core systems (e.g., ERP, CRM, core banking) for the main processes</t>
        </is>
      </c>
      <c r="D12" s="13" t="inlineStr">
        <is>
          <t>Think of the 3-5 processes that generate most of your revenue or workload.</t>
        </is>
      </c>
      <c r="E12" s="14">
        <f>IFERROR(MATCH(C12,Lists!$S$2:$S$5,0),"")</f>
        <v>3</v>
      </c>
    </row>
    <row r="13" ht="42" customHeight="1">
      <c r="A13" s="11" t="inlineStr">
        <is>
          <t>D2</t>
        </is>
      </c>
      <c r="B13" s="5" t="inlineStr">
        <is>
          <t>How much digital history do you keep for your core activities (transactions, customers, cases, operations)?</t>
        </is>
      </c>
      <c r="C13" s="12" t="inlineStr">
        <is>
          <t>3+ years in core systems</t>
        </is>
      </c>
      <c r="D13" s="13" t="inlineStr">
        <is>
          <t>AI that predicts, scores or detects patterns learns from history.</t>
        </is>
      </c>
      <c r="E13" s="14">
        <f>IFERROR(MATCH(C13,Lists!$T$2:$T$5,0),"")</f>
        <v>3</v>
      </c>
    </row>
    <row r="14" ht="42" customHeight="1">
      <c r="A14" s="11" t="inlineStr">
        <is>
          <t>D3</t>
        </is>
      </c>
      <c r="B14" s="5" t="inlineStr">
        <is>
          <t>How reliable is that data, and does it have owners?</t>
        </is>
      </c>
      <c r="C14" s="12" t="inlineStr">
        <is>
          <t>Some owners; known quality issues not tracked</t>
        </is>
      </c>
      <c r="D14" s="13" t="inlineStr">
        <is>
          <t>Data quality and ownership - ISO/IEC 5259 / ISO/IEC 42001 Annex A.7.</t>
        </is>
      </c>
      <c r="E14" s="14">
        <f>IFERROR(MATCH(C14,Lists!$U$2:$U$5,0),"")</f>
        <v>2</v>
      </c>
    </row>
    <row r="15" ht="42" customHeight="1">
      <c r="A15" s="11" t="inlineStr">
        <is>
          <t>D4</t>
        </is>
      </c>
      <c r="B15" s="5" t="inlineStr">
        <is>
          <t>Where do your documents and knowledge live (contracts, policies, reports, emails, manuals)?</t>
        </is>
      </c>
      <c r="C15" s="12" t="inlineStr">
        <is>
          <t>A document-management system or SharePoint with structure</t>
        </is>
      </c>
      <c r="D15" s="13" t="inlineStr">
        <is>
          <t>Generative AI and knowledge assistants work on documents rather than tables.</t>
        </is>
      </c>
      <c r="E15" s="14">
        <f>IFERROR(MATCH(C15,Lists!$V$2:$V$5,0),"")</f>
        <v>3</v>
      </c>
    </row>
    <row r="16" ht="42" customHeight="1">
      <c r="A16" s="11" t="inlineStr">
        <is>
          <t>D5</t>
        </is>
      </c>
      <c r="B16" s="5" t="inlineStr">
        <is>
          <t>Can data move between your systems?</t>
        </is>
      </c>
      <c r="C16" s="12" t="inlineStr">
        <is>
          <t>Some APIs or integrations between key systems</t>
        </is>
      </c>
      <c r="D16" s="13" t="inlineStr">
        <is>
          <t>Integration determines whether AI outputs can be used inside the workflow.</t>
        </is>
      </c>
      <c r="E16" s="14">
        <f>IFERROR(MATCH(C16,Lists!$W$2:$W$5,0),"")</f>
        <v>3</v>
      </c>
    </row>
    <row r="17" ht="42" customHeight="1">
      <c r="A17" s="11" t="inlineStr">
        <is>
          <t>D6</t>
        </is>
      </c>
      <c r="B17" s="5" t="inlineStr">
        <is>
          <t>Do you record outcomes against your data (e.g., fraud confirmed, claim paid, customer churned, invoice disputed)?</t>
        </is>
      </c>
      <c r="C17" s="12" t="inlineStr">
        <is>
          <t>Occasionally / informally</t>
        </is>
      </c>
      <c r="D17" s="13" t="inlineStr">
        <is>
          <t>Recorded outcomes ('labels') are what supervised machine learning needs.</t>
        </is>
      </c>
      <c r="E17" s="14">
        <f>IFERROR(MATCH(C17,Lists!$X$2:$X$5,0),"")</f>
        <v>2</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is>
          <t>50 - 249</t>
        </is>
      </c>
      <c r="D19" s="13" t="inlineStr">
        <is>
          <t>Scale drives the size of the prize and what can be sustained.</t>
        </is>
      </c>
      <c r="E19" s="14">
        <f>IFERROR(MATCH(C19,Lists!$Y$2:$Y$5,0),"")</f>
        <v>2</v>
      </c>
    </row>
    <row r="20" ht="42" customHeight="1">
      <c r="A20" s="11" t="inlineStr">
        <is>
          <t>S2</t>
        </is>
      </c>
      <c r="B20" s="5" t="inlineStr">
        <is>
          <t>How many repetitive transactions / cases does your largest process handle per month?</t>
        </is>
      </c>
      <c r="C20" s="12" t="inlineStr">
        <is>
          <t>500 - 5,000</t>
        </is>
      </c>
      <c r="D20" s="13" t="inlineStr">
        <is>
          <t>e.g., invoices, applications, claims, customer requests, bookings.</t>
        </is>
      </c>
      <c r="E20" s="14">
        <f>IFERROR(MATCH(C20,Lists!$Z$2:$Z$5,0),"")</f>
        <v>2</v>
      </c>
    </row>
    <row r="21" ht="42" customHeight="1">
      <c r="A21" s="11" t="inlineStr">
        <is>
          <t>S3</t>
        </is>
      </c>
      <c r="B21" s="5" t="inlineStr">
        <is>
          <t>What technology capability do you have in-house?</t>
        </is>
      </c>
      <c r="C21" s="12" t="inlineStr">
        <is>
          <t>Small IT team (support and vendor management)</t>
        </is>
      </c>
      <c r="D21" s="13" t="inlineStr">
        <is>
          <t>Who would configure, integrate and run a solution?</t>
        </is>
      </c>
      <c r="E21" s="14">
        <f>IFERROR(MATCH(C21,Lists!$AA$2:$AA$5,0),"")</f>
        <v>2</v>
      </c>
    </row>
    <row r="22" ht="42" customHeight="1">
      <c r="A22" s="11" t="inlineStr">
        <is>
          <t>S4</t>
        </is>
      </c>
      <c r="B22" s="5" t="inlineStr">
        <is>
          <t>What budget could be made available for digital / AI initiatives in the next 12 months?</t>
        </is>
      </c>
      <c r="C22" s="12" t="inlineStr">
        <is>
          <t>BHD 50,000 - 250,000</t>
        </is>
      </c>
      <c r="D22" s="13" t="inlineStr">
        <is>
          <t>Indicative only - used to size the type of solution that is realistic.</t>
        </is>
      </c>
      <c r="E22" s="14">
        <f>IFERROR(MATCH(C22,Lists!$AB$2:$AB$5,0),"")</f>
        <v>3</v>
      </c>
    </row>
    <row r="23" ht="42" customHeight="1">
      <c r="A23" s="11" t="inlineStr">
        <is>
          <t>S5</t>
        </is>
      </c>
      <c r="B23" s="5" t="inlineStr">
        <is>
          <t>How many customer / citizen interactions do you handle through digital channels?</t>
        </is>
      </c>
      <c r="C23" s="12" t="inlineStr">
        <is>
          <t>Moderate</t>
        </is>
      </c>
      <c r="D23" s="13" t="inlineStr">
        <is>
          <t>Web, app, email, WhatsApp, call centre.</t>
        </is>
      </c>
      <c r="E23" s="14">
        <f>IFERROR(MATCH(C23,Lists!$AC$2:$AC$5,0),"")</f>
        <v>2</v>
      </c>
    </row>
    <row r="24" ht="42" customHeight="1">
      <c r="A24" s="11" t="inlineStr">
        <is>
          <t>S6</t>
        </is>
      </c>
      <c r="B24" s="5" t="inlineStr">
        <is>
          <t>What capacity do you have to run change projects alongside day-to-day work?</t>
        </is>
      </c>
      <c r="C24" s="12" t="inlineStr">
        <is>
          <t>Several projects in parallel</t>
        </is>
      </c>
      <c r="D24" s="13" t="inlineStr">
        <is>
          <t>Leadership bandwidth, project management, change management.</t>
        </is>
      </c>
      <c r="E24" s="14">
        <f>IFERROR(MATCH(C24,Lists!$AD$2:$AD$5,0),"")</f>
        <v>3</v>
      </c>
    </row>
    <row r="26" ht="22" customHeight="1">
      <c r="A26" s="3" t="inlineStr">
        <is>
          <t>RESULT - AI POSITION</t>
        </is>
      </c>
    </row>
    <row r="27" ht="20" customHeight="1">
      <c r="B27" s="4" t="inlineStr">
        <is>
          <t>Answered</t>
        </is>
      </c>
      <c r="C27" s="5" t="str">
        <f>COUNT(E12,E13,E14,E15,E16,E17)+COUNT(E19,E20,E21,E22,E23,E24)&amp;" of 12"</f>
        <v>12 of 12</v>
      </c>
      <c r="D27" s="15" t="n"/>
      <c r="E27" s="15" t="n"/>
    </row>
    <row r="28" ht="20" customHeight="1">
      <c r="B28" s="4" t="inlineStr">
        <is>
          <t>Data Position score</t>
        </is>
      </c>
      <c r="C28" s="16">
        <f>IF(COUNT(E12,E13,E14,E15,E16,E17)=6,(N(E12)+N(E13)+N(E14)+N(E15)+N(E16)+N(E17)-6)/18,"")</f>
        <v>0.555555555555556</v>
      </c>
      <c r="D28" s="15" t="n"/>
      <c r="E28" s="15" t="n"/>
    </row>
    <row r="29" ht="20" customHeight="1">
      <c r="B29" s="4" t="inlineStr">
        <is>
          <t>Scale &amp; Capacity score</t>
        </is>
      </c>
      <c r="C29" s="16">
        <f>IF(COUNT(E19,E20,E21,E22,E23,E24)=6,(N(E19)+N(E20)+N(E21)+N(E22)+N(E23)+N(E24)-6)/18,"")</f>
        <v>0.444444444444444</v>
      </c>
      <c r="D29" s="15" t="n"/>
      <c r="E29" s="15" t="n"/>
    </row>
    <row r="30" ht="20" customHeight="1">
      <c r="B30" s="4" t="inlineStr">
        <is>
          <t>Archetype</t>
        </is>
      </c>
      <c r="C30" s="5">
        <f>IF(OR(C28="",C29=""),"",IF(C28&lt;0.5,IF(C29&lt;0.5,1,2),IF(C29&lt;0.5,3,4)))</f>
        <v>3</v>
      </c>
      <c r="D30" s="15" t="n"/>
      <c r="E30" s="15" t="n"/>
    </row>
    <row r="31" ht="20" customHeight="1">
      <c r="B31" s="4" t="inlineStr">
        <is>
          <t>AI position</t>
        </is>
      </c>
      <c r="C31" s="17" t="str">
        <f>IF(C30="","Complete all 12 questions",INDEX(Lists!$AH$2:$AH$5,C30))</f>
        <v>Buy and configure AI</v>
      </c>
      <c r="D31" s="18" t="n"/>
      <c r="E31" s="18" t="n"/>
    </row>
    <row r="32" ht="20" customHeight="1">
      <c r="B32" s="4" t="inlineStr">
        <is>
          <t>Solution ceiling today</t>
        </is>
      </c>
      <c r="C32" s="19" t="str">
        <f>IF(C30="","",INDEX(Lists!$AI$2:$AI$5,C30)&amp;" - "&amp;INDEX(Lists!$AM$2:$AM$6,INDEX(Lists!$AI$2:$AI$5,C30)))</f>
        <v>4 - Configured AI on own data</v>
      </c>
      <c r="D32" s="18" t="n"/>
      <c r="E32" s="18" t="n"/>
    </row>
    <row r="33" ht="44" customHeight="1">
      <c r="B33" s="4" t="inlineStr">
        <is>
          <t>What it means</t>
        </is>
      </c>
      <c r="C33" s="5" t="str">
        <f>IF(C30="","",INDEX(Lists!$AJ$2:$AJ$5,C30))</f>
        <v>Good data, limited scale / capacity: adopt and configure proven AI products rather than build.</v>
      </c>
      <c r="D33" s="15" t="n"/>
      <c r="E33" s="15" t="n"/>
    </row>
    <row r="34" ht="58" customHeight="1">
      <c r="B34" s="4" t="inlineStr">
        <is>
          <t>Detail</t>
        </is>
      </c>
      <c r="C34" s="5" t="str">
        <f>IF(C30="","",INDEX(Lists!$AK$2:$AK$5,C30))</f>
        <v>The data supports AI, but in-house capacity and scale favour buying. Configure AI products on your own data (knowledge assistants, intelligent document processing, conversational AI, vendor ML modules). Custom models and autonomous agents only through partners and pilots.</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0</v>
      </c>
      <c r="O65" t="str">
        <f>IF(N65,COUNTIF($N$5:N65,TRUE),"")</f>
        <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0</v>
      </c>
      <c r="O66" t="str">
        <f>IF(N66,COUNTIF($N$5:N66,TRUE),"")</f>
        <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0</v>
      </c>
      <c r="O67" t="str">
        <f>IF(N67,COUNTIF($N$5:N67,TRUE),"")</f>
        <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0</v>
      </c>
      <c r="O68" t="str">
        <f>IF(N68,COUNTIF($N$5:N68,TRUE),"")</f>
        <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0</v>
      </c>
      <c r="O69" t="str">
        <f>IF(N69,COUNTIF($N$5:N69,TRUE),"")</f>
        <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0</v>
      </c>
      <c r="O70" t="str">
        <f>IF(N70,COUNTIF($N$5:N70,TRUE),"")</f>
        <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0</v>
      </c>
      <c r="O71" t="str">
        <f>IF(N71,COUNTIF($N$5:N71,TRUE),"")</f>
        <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0</v>
      </c>
      <c r="O72" t="str">
        <f>IF(N72,COUNTIF($N$5:N72,TRUE),"")</f>
        <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0</v>
      </c>
      <c r="O73" t="str">
        <f>IF(N73,COUNTIF($N$5:N73,TRUE),"")</f>
        <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0</v>
      </c>
      <c r="O74" t="str">
        <f>IF(N74,COUNTIF($N$5:N74,TRUE),"")</f>
        <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0</v>
      </c>
      <c r="O75" t="str">
        <f>IF(N75,COUNTIF($N$5:N75,TRUE),"")</f>
        <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0</v>
      </c>
      <c r="O76" t="str">
        <f>IF(N76,COUNTIF($N$5:N76,TRUE),"")</f>
        <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0</v>
      </c>
      <c r="O77" t="str">
        <f>IF(N77,COUNTIF($N$5:N77,TRUE),"")</f>
        <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0</v>
      </c>
      <c r="O78" t="str">
        <f>IF(N78,COUNTIF($N$5:N78,TRUE),"")</f>
        <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0</v>
      </c>
      <c r="O79" t="str">
        <f>IF(N79,COUNTIF($N$5:N79,TRUE),"")</f>
        <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0</v>
      </c>
      <c r="O80" t="str">
        <f>IF(N80,COUNTIF($N$5:N80,TRUE),"")</f>
        <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0</v>
      </c>
      <c r="O81" t="str">
        <f>IF(N81,COUNTIF($N$5:N81,TRUE),"")</f>
        <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0</v>
      </c>
      <c r="O82" t="str">
        <f>IF(N82,COUNTIF($N$5:N82,TRUE),"")</f>
        <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0</v>
      </c>
      <c r="O83" t="str">
        <f>IF(N83,COUNTIF($N$5:N83,TRUE),"")</f>
        <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0</v>
      </c>
      <c r="O84" t="str">
        <f>IF(N84,COUNTIF($N$5:N84,TRUE),"")</f>
        <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0</v>
      </c>
      <c r="O85" t="str">
        <f>IF(N85,COUNTIF($N$5:N85,TRUE),"")</f>
        <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0</v>
      </c>
      <c r="O86" t="str">
        <f>IF(N86,COUNTIF($N$5:N86,TRUE),"")</f>
        <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0</v>
      </c>
      <c r="O87" t="str">
        <f>IF(N87,COUNTIF($N$5:N87,TRUE),"")</f>
        <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0</v>
      </c>
      <c r="O88" t="str">
        <f>IF(N88,COUNTIF($N$5:N88,TRUE),"")</f>
        <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0</v>
      </c>
      <c r="O89" t="str">
        <f>IF(N89,COUNTIF($N$5:N89,TRUE),"")</f>
        <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0</v>
      </c>
      <c r="O90" t="str">
        <f>IF(N90,COUNTIF($N$5:N90,TRUE),"")</f>
        <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0</v>
      </c>
      <c r="O91" t="str">
        <f>IF(N91,COUNTIF($N$5:N91,TRUE),"")</f>
        <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0</v>
      </c>
      <c r="O92" t="str">
        <f>IF(N92,COUNTIF($N$5:N92,TRUE),"")</f>
        <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0</v>
      </c>
      <c r="O93" t="str">
        <f>IF(N93,COUNTIF($N$5:N93,TRUE),"")</f>
        <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0</v>
      </c>
      <c r="O94" t="str">
        <f>IF(N94,COUNTIF($N$5:N94,TRUE),"")</f>
        <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0</v>
      </c>
      <c r="O95" t="str">
        <f>IF(N95,COUNTIF($N$5:N95,TRUE),"")</f>
        <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0</v>
      </c>
      <c r="O96" t="str">
        <f>IF(N96,COUNTIF($N$5:N96,TRUE),"")</f>
        <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0</v>
      </c>
      <c r="O97" t="str">
        <f>IF(N97,COUNTIF($N$5:N97,TRUE),"")</f>
        <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0</v>
      </c>
      <c r="O98" t="str">
        <f>IF(N98,COUNTIF($N$5:N98,TRUE),"")</f>
        <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0</v>
      </c>
      <c r="O99" t="str">
        <f>IF(N99,COUNTIF($N$5:N99,TRUE),"")</f>
        <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0</v>
      </c>
      <c r="O100" t="str">
        <f>IF(N100,COUNTIF($N$5:N100,TRUE),"")</f>
        <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0</v>
      </c>
      <c r="O101" t="str">
        <f>IF(N101,COUNTIF($N$5:N101,TRUE),"")</f>
        <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0</v>
      </c>
      <c r="O102" t="str">
        <f>IF(N102,COUNTIF($N$5:N102,TRUE),"")</f>
        <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0</v>
      </c>
      <c r="O103" t="str">
        <f>IF(N103,COUNTIF($N$5:N103,TRUE),"")</f>
        <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0</v>
      </c>
      <c r="O104" t="str">
        <f>IF(N104,COUNTIF($N$5:N104,TRUE),"")</f>
        <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0</v>
      </c>
      <c r="O105" t="str">
        <f>IF(N105,COUNTIF($N$5:N105,TRUE),"")</f>
        <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0</v>
      </c>
      <c r="O106" t="str">
        <f>IF(N106,COUNTIF($N$5:N106,TRUE),"")</f>
        <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0</v>
      </c>
      <c r="O107" t="str">
        <f>IF(N107,COUNTIF($N$5:N107,TRUE),"")</f>
        <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0</v>
      </c>
      <c r="O108" t="str">
        <f>IF(N108,COUNTIF($N$5:N108,TRUE),"")</f>
        <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0</v>
      </c>
      <c r="O109" t="str">
        <f>IF(N109,COUNTIF($N$5:N109,TRUE),"")</f>
        <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0</v>
      </c>
      <c r="O110" t="str">
        <f>IF(N110,COUNTIF($N$5:N110,TRUE),"")</f>
        <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0</v>
      </c>
      <c r="O111" t="str">
        <f>IF(N111,COUNTIF($N$5:N111,TRUE),"")</f>
        <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0</v>
      </c>
      <c r="O112" t="str">
        <f>IF(N112,COUNTIF($N$5:N112,TRUE),"")</f>
        <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0</v>
      </c>
      <c r="O113" t="str">
        <f>IF(N113,COUNTIF($N$5:N113,TRUE),"")</f>
        <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0</v>
      </c>
      <c r="O114" t="str">
        <f>IF(N114,COUNTIF($N$5:N114,TRUE),"")</f>
        <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0</v>
      </c>
      <c r="O115" t="str">
        <f>IF(N115,COUNTIF($N$5:N115,TRUE),"")</f>
        <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0</v>
      </c>
      <c r="O116" t="str">
        <f>IF(N116,COUNTIF($N$5:N116,TRUE),"")</f>
        <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0</v>
      </c>
      <c r="O117" t="str">
        <f>IF(N117,COUNTIF($N$5:N117,TRUE),"")</f>
        <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0</v>
      </c>
      <c r="O118" t="str">
        <f>IF(N118,COUNTIF($N$5:N118,TRUE),"")</f>
        <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0</v>
      </c>
      <c r="O119" t="str">
        <f>IF(N119,COUNTIF($N$5:N119,TRUE),"")</f>
        <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0</v>
      </c>
      <c r="O120" t="str">
        <f>IF(N120,COUNTIF($N$5:N120,TRUE),"")</f>
        <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0</v>
      </c>
      <c r="O121" t="str">
        <f>IF(N121,COUNTIF($N$5:N121,TRUE),"")</f>
        <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0</v>
      </c>
      <c r="O122" t="str">
        <f>IF(N122,COUNTIF($N$5:N122,TRUE),"")</f>
        <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0</v>
      </c>
      <c r="O123" t="str">
        <f>IF(N123,COUNTIF($N$5:N123,TRUE),"")</f>
        <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0</v>
      </c>
      <c r="O124" t="str">
        <f>IF(N124,COUNTIF($N$5:N124,TRUE),"")</f>
        <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0</v>
      </c>
      <c r="O125" t="str">
        <f>IF(N125,COUNTIF($N$5:N125,TRUE),"")</f>
        <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0</v>
      </c>
      <c r="O126" t="str">
        <f>IF(N126,COUNTIF($N$5:N126,TRUE),"")</f>
        <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0</v>
      </c>
      <c r="O127" t="str">
        <f>IF(N127,COUNTIF($N$5:N127,TRUE),"")</f>
        <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0</v>
      </c>
      <c r="O128" t="str">
        <f>IF(N128,COUNTIF($N$5:N128,TRUE),"")</f>
        <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0</v>
      </c>
      <c r="O129" t="str">
        <f>IF(N129,COUNTIF($N$5:N129,TRUE),"")</f>
        <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0</v>
      </c>
      <c r="O130" t="str">
        <f>IF(N130,COUNTIF($N$5:N130,TRUE),"")</f>
        <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0</v>
      </c>
      <c r="O131" t="str">
        <f>IF(N131,COUNTIF($N$5:N131,TRUE),"")</f>
        <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0</v>
      </c>
      <c r="O132" t="str">
        <f>IF(N132,COUNTIF($N$5:N132,TRUE),"")</f>
        <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0</v>
      </c>
      <c r="O133" t="str">
        <f>IF(N133,COUNTIF($N$5:N133,TRUE),"")</f>
        <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0</v>
      </c>
      <c r="O134" t="str">
        <f>IF(N134,COUNTIF($N$5:N134,TRUE),"")</f>
        <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0</v>
      </c>
      <c r="O135" t="str">
        <f>IF(N135,COUNTIF($N$5:N135,TRUE),"")</f>
        <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0</v>
      </c>
      <c r="O136" t="str">
        <f>IF(N136,COUNTIF($N$5:N136,TRUE),"")</f>
        <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0</v>
      </c>
      <c r="O137" t="str">
        <f>IF(N137,COUNTIF($N$5:N137,TRUE),"")</f>
        <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0</v>
      </c>
      <c r="O138" t="str">
        <f>IF(N138,COUNTIF($N$5:N138,TRUE),"")</f>
        <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0</v>
      </c>
      <c r="O139" t="str">
        <f>IF(N139,COUNTIF($N$5:N139,TRUE),"")</f>
        <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0</v>
      </c>
      <c r="O140" t="str">
        <f>IF(N140,COUNTIF($N$5:N140,TRUE),"")</f>
        <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0</v>
      </c>
      <c r="O141" t="str">
        <f>IF(N141,COUNTIF($N$5:N141,TRUE),"")</f>
        <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0</v>
      </c>
      <c r="O142" t="str">
        <f>IF(N142,COUNTIF($N$5:N142,TRUE),"")</f>
        <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0</v>
      </c>
      <c r="O143" t="str">
        <f>IF(N143,COUNTIF($N$5:N143,TRUE),"")</f>
        <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0</v>
      </c>
      <c r="O144" t="str">
        <f>IF(N144,COUNTIF($N$5:N144,TRUE),"")</f>
        <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0</v>
      </c>
      <c r="O145" t="str">
        <f>IF(N145,COUNTIF($N$5:N145,TRUE),"")</f>
        <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0</v>
      </c>
      <c r="O146" t="str">
        <f>IF(N146,COUNTIF($N$5:N146,TRUE),"")</f>
        <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0</v>
      </c>
      <c r="O147" t="str">
        <f>IF(N147,COUNTIF($N$5:N147,TRUE),"")</f>
        <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0</v>
      </c>
      <c r="O148" t="str">
        <f>IF(N148,COUNTIF($N$5:N148,TRUE),"")</f>
        <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0</v>
      </c>
      <c r="O149" t="str">
        <f>IF(N149,COUNTIF($N$5:N149,TRUE),"")</f>
        <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0</v>
      </c>
      <c r="O150" t="str">
        <f>IF(N150,COUNTIF($N$5:N150,TRUE),"")</f>
        <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0</v>
      </c>
      <c r="O151" t="str">
        <f>IF(N151,COUNTIF($N$5:N151,TRUE),"")</f>
        <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0</v>
      </c>
      <c r="O152" t="str">
        <f>IF(N152,COUNTIF($N$5:N152,TRUE),"")</f>
        <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0</v>
      </c>
      <c r="O153" t="str">
        <f>IF(N153,COUNTIF($N$5:N153,TRUE),"")</f>
        <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0</v>
      </c>
      <c r="O154" t="str">
        <f>IF(N154,COUNTIF($N$5:N154,TRUE),"")</f>
        <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0</v>
      </c>
      <c r="O155" t="str">
        <f>IF(N155,COUNTIF($N$5:N155,TRUE),"")</f>
        <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0</v>
      </c>
      <c r="O156" t="str">
        <f>IF(N156,COUNTIF($N$5:N156,TRUE),"")</f>
        <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0</v>
      </c>
      <c r="O157" t="str">
        <f>IF(N157,COUNTIF($N$5:N157,TRUE),"")</f>
        <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0</v>
      </c>
      <c r="O158" t="str">
        <f>IF(N158,COUNTIF($N$5:N158,TRUE),"")</f>
        <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0</v>
      </c>
      <c r="O159" t="str">
        <f>IF(N159,COUNTIF($N$5:N159,TRUE),"")</f>
        <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0</v>
      </c>
      <c r="O160" t="str">
        <f>IF(N160,COUNTIF($N$5:N160,TRUE),"")</f>
        <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0</v>
      </c>
      <c r="O161" t="str">
        <f>IF(N161,COUNTIF($N$5:N161,TRUE),"")</f>
        <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0</v>
      </c>
      <c r="O162" t="str">
        <f>IF(N162,COUNTIF($N$5:N162,TRUE),"")</f>
        <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0</v>
      </c>
      <c r="O163" t="str">
        <f>IF(N163,COUNTIF($N$5:N163,TRUE),"")</f>
        <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0</v>
      </c>
      <c r="O164" t="str">
        <f>IF(N164,COUNTIF($N$5:N164,TRUE),"")</f>
        <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0</v>
      </c>
      <c r="O165" t="str">
        <f>IF(N165,COUNTIF($N$5:N165,TRUE),"")</f>
        <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0</v>
      </c>
      <c r="O166" t="str">
        <f>IF(N166,COUNTIF($N$5:N166,TRUE),"")</f>
        <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0</v>
      </c>
      <c r="O167" t="str">
        <f>IF(N167,COUNTIF($N$5:N167,TRUE),"")</f>
        <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0</v>
      </c>
      <c r="O168" t="str">
        <f>IF(N168,COUNTIF($N$5:N168,TRUE),"")</f>
        <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0</v>
      </c>
      <c r="O169" t="str">
        <f>IF(N169,COUNTIF($N$5:N169,TRUE),"")</f>
        <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0</v>
      </c>
      <c r="O170" t="str">
        <f>IF(N170,COUNTIF($N$5:N170,TRUE),"")</f>
        <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0</v>
      </c>
      <c r="O171" t="str">
        <f>IF(N171,COUNTIF($N$5:N171,TRUE),"")</f>
        <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0</v>
      </c>
      <c r="O172" t="str">
        <f>IF(N172,COUNTIF($N$5:N172,TRUE),"")</f>
        <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0</v>
      </c>
      <c r="O173" t="str">
        <f>IF(N173,COUNTIF($N$5:N173,TRUE),"")</f>
        <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0</v>
      </c>
      <c r="O174" t="str">
        <f>IF(N174,COUNTIF($N$5:N174,TRUE),"")</f>
        <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0</v>
      </c>
      <c r="O175" t="str">
        <f>IF(N175,COUNTIF($N$5:N175,TRUE),"")</f>
        <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0</v>
      </c>
      <c r="O176" t="str">
        <f>IF(N176,COUNTIF($N$5:N176,TRUE),"")</f>
        <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0</v>
      </c>
      <c r="O177" t="str">
        <f>IF(N177,COUNTIF($N$5:N177,TRUE),"")</f>
        <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0</v>
      </c>
      <c r="O178" t="str">
        <f>IF(N178,COUNTIF($N$5:N178,TRUE),"")</f>
        <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0</v>
      </c>
      <c r="O179" t="str">
        <f>IF(N179,COUNTIF($N$5:N179,TRUE),"")</f>
        <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0</v>
      </c>
      <c r="O180" t="str">
        <f>IF(N180,COUNTIF($N$5:N180,TRUE),"")</f>
        <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0</v>
      </c>
      <c r="O181" t="str">
        <f>IF(N181,COUNTIF($N$5:N181,TRUE),"")</f>
        <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0</v>
      </c>
      <c r="O182" t="str">
        <f>IF(N182,COUNTIF($N$5:N182,TRUE),"")</f>
        <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0</v>
      </c>
      <c r="O183" t="str">
        <f>IF(N183,COUNTIF($N$5:N183,TRUE),"")</f>
        <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0</v>
      </c>
      <c r="O184" t="str">
        <f>IF(N184,COUNTIF($N$5:N184,TRUE),"")</f>
        <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0</v>
      </c>
      <c r="O185" t="str">
        <f>IF(N185,COUNTIF($N$5:N185,TRUE),"")</f>
        <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0</v>
      </c>
      <c r="O186" t="str">
        <f>IF(N186,COUNTIF($N$5:N186,TRUE),"")</f>
        <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0</v>
      </c>
      <c r="O187" t="str">
        <f>IF(N187,COUNTIF($N$5:N187,TRUE),"")</f>
        <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0</v>
      </c>
      <c r="O188" t="str">
        <f>IF(N188,COUNTIF($N$5:N188,TRUE),"")</f>
        <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0</v>
      </c>
      <c r="O189" t="str">
        <f>IF(N189,COUNTIF($N$5:N189,TRUE),"")</f>
        <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0</v>
      </c>
      <c r="O190" t="str">
        <f>IF(N190,COUNTIF($N$5:N190,TRUE),"")</f>
        <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0</v>
      </c>
      <c r="O191" t="str">
        <f>IF(N191,COUNTIF($N$5:N191,TRUE),"")</f>
        <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0</v>
      </c>
      <c r="O192" t="str">
        <f>IF(N192,COUNTIF($N$5:N192,TRUE),"")</f>
        <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0</v>
      </c>
      <c r="O193" t="str">
        <f>IF(N193,COUNTIF($N$5:N193,TRUE),"")</f>
        <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0</v>
      </c>
      <c r="O194" t="str">
        <f>IF(N194,COUNTIF($N$5:N194,TRUE),"")</f>
        <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0</v>
      </c>
      <c r="O195" t="str">
        <f>IF(N195,COUNTIF($N$5:N195,TRUE),"")</f>
        <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0</v>
      </c>
      <c r="O196" t="str">
        <f>IF(N196,COUNTIF($N$5:N196,TRUE),"")</f>
        <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0</v>
      </c>
      <c r="O197" t="str">
        <f>IF(N197,COUNTIF($N$5:N197,TRUE),"")</f>
        <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0</v>
      </c>
      <c r="O198" t="str">
        <f>IF(N198,COUNTIF($N$5:N198,TRUE),"")</f>
        <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0</v>
      </c>
      <c r="O199" t="str">
        <f>IF(N199,COUNTIF($N$5:N199,TRUE),"")</f>
        <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0</v>
      </c>
      <c r="O200" t="str">
        <f>IF(N200,COUNTIF($N$5:N200,TRUE),"")</f>
        <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0</v>
      </c>
      <c r="O201" t="str">
        <f>IF(N201,COUNTIF($N$5:N201,TRUE),"")</f>
        <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0</v>
      </c>
      <c r="O202" t="str">
        <f>IF(N202,COUNTIF($N$5:N202,TRUE),"")</f>
        <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0</v>
      </c>
      <c r="O203" t="str">
        <f>IF(N203,COUNTIF($N$5:N203,TRUE),"")</f>
        <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0</v>
      </c>
      <c r="O204" t="str">
        <f>IF(N204,COUNTIF($N$5:N204,TRUE),"")</f>
        <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0</v>
      </c>
      <c r="O205" t="str">
        <f>IF(N205,COUNTIF($N$5:N205,TRUE),"")</f>
        <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0</v>
      </c>
      <c r="O206" t="str">
        <f>IF(N206,COUNTIF($N$5:N206,TRUE),"")</f>
        <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0</v>
      </c>
      <c r="O207" t="str">
        <f>IF(N207,COUNTIF($N$5:N207,TRUE),"")</f>
        <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0</v>
      </c>
      <c r="O208" t="str">
        <f>IF(N208,COUNTIF($N$5:N208,TRUE),"")</f>
        <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0</v>
      </c>
      <c r="O209" t="str">
        <f>IF(N209,COUNTIF($N$5:N209,TRUE),"")</f>
        <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0</v>
      </c>
      <c r="O210" t="str">
        <f>IF(N210,COUNTIF($N$5:N210,TRUE),"")</f>
        <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0</v>
      </c>
      <c r="O211" t="str">
        <f>IF(N211,COUNTIF($N$5:N211,TRUE),"")</f>
        <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0</v>
      </c>
      <c r="O212" t="str">
        <f>IF(N212,COUNTIF($N$5:N212,TRUE),"")</f>
        <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0</v>
      </c>
      <c r="O213" t="str">
        <f>IF(N213,COUNTIF($N$5:N213,TRUE),"")</f>
        <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0</v>
      </c>
      <c r="O214" t="str">
        <f>IF(N214,COUNTIF($N$5:N214,TRUE),"")</f>
        <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0</v>
      </c>
      <c r="O215" t="str">
        <f>IF(N215,COUNTIF($N$5:N215,TRUE),"")</f>
        <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0</v>
      </c>
      <c r="O216" t="str">
        <f>IF(N216,COUNTIF($N$5:N216,TRUE),"")</f>
        <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0</v>
      </c>
      <c r="O217" t="str">
        <f>IF(N217,COUNTIF($N$5:N217,TRUE),"")</f>
        <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0</v>
      </c>
      <c r="O218" t="str">
        <f>IF(N218,COUNTIF($N$5:N218,TRUE),"")</f>
        <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0</v>
      </c>
      <c r="O219" t="str">
        <f>IF(N219,COUNTIF($N$5:N219,TRUE),"")</f>
        <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0</v>
      </c>
      <c r="O220" t="str">
        <f>IF(N220,COUNTIF($N$5:N220,TRUE),"")</f>
        <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0</v>
      </c>
      <c r="O221" t="str">
        <f>IF(N221,COUNTIF($N$5:N221,TRUE),"")</f>
        <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0</v>
      </c>
      <c r="O222" t="str">
        <f>IF(N222,COUNTIF($N$5:N222,TRUE),"")</f>
        <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0</v>
      </c>
      <c r="O223" t="str">
        <f>IF(N223,COUNTIF($N$5:N223,TRUE),"")</f>
        <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0</v>
      </c>
      <c r="O224" t="str">
        <f>IF(N224,COUNTIF($N$5:N224,TRUE),"")</f>
        <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0</v>
      </c>
      <c r="O225" t="str">
        <f>IF(N225,COUNTIF($N$5:N225,TRUE),"")</f>
        <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0</v>
      </c>
      <c r="O226" t="str">
        <f>IF(N226,COUNTIF($N$5:N226,TRUE),"")</f>
        <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0</v>
      </c>
      <c r="O227" t="str">
        <f>IF(N227,COUNTIF($N$5:N227,TRUE),"")</f>
        <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0</v>
      </c>
      <c r="O228" t="str">
        <f>IF(N228,COUNTIF($N$5:N228,TRUE),"")</f>
        <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0</v>
      </c>
      <c r="O229" t="str">
        <f>IF(N229,COUNTIF($N$5:N229,TRUE),"")</f>
        <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1</v>
      </c>
      <c r="O230">
        <f>IF(N230,COUNTIF($N$5:N230,TRUE),"")</f>
        <v>61</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1</v>
      </c>
      <c r="O231">
        <f>IF(N231,COUNTIF($N$5:N231,TRUE),"")</f>
        <v>62</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1</v>
      </c>
      <c r="O232">
        <f>IF(N232,COUNTIF($N$5:N232,TRUE),"")</f>
        <v>63</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1</v>
      </c>
      <c r="O233">
        <f>IF(N233,COUNTIF($N$5:N233,TRUE),"")</f>
        <v>64</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1</v>
      </c>
      <c r="O234">
        <f>IF(N234,COUNTIF($N$5:N234,TRUE),"")</f>
        <v>65</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1</v>
      </c>
      <c r="O235">
        <f>IF(N235,COUNTIF($N$5:N235,TRUE),"")</f>
        <v>66</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1</v>
      </c>
      <c r="O236">
        <f>IF(N236,COUNTIF($N$5:N236,TRUE),"")</f>
        <v>67</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1</v>
      </c>
      <c r="O237">
        <f>IF(N237,COUNTIF($N$5:N237,TRUE),"")</f>
        <v>68</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1</v>
      </c>
      <c r="O238">
        <f>IF(N238,COUNTIF($N$5:N238,TRUE),"")</f>
        <v>69</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1</v>
      </c>
      <c r="O239">
        <f>IF(N239,COUNTIF($N$5:N239,TRUE),"")</f>
        <v>70</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1</v>
      </c>
      <c r="O240">
        <f>IF(N240,COUNTIF($N$5:N240,TRUE),"")</f>
        <v>71</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1</v>
      </c>
      <c r="O241">
        <f>IF(N241,COUNTIF($N$5:N241,TRUE),"")</f>
        <v>72</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1</v>
      </c>
      <c r="O242">
        <f>IF(N242,COUNTIF($N$5:N242,TRUE),"")</f>
        <v>73</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1</v>
      </c>
      <c r="O243">
        <f>IF(N243,COUNTIF($N$5:N243,TRUE),"")</f>
        <v>74</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1</v>
      </c>
      <c r="O244">
        <f>IF(N244,COUNTIF($N$5:N244,TRUE),"")</f>
        <v>75</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Buy and configure AI</v>
      </c>
      <c r="D3" s="18" t="n"/>
      <c r="E3" s="18" t="n"/>
      <c r="F3" s="4" t="inlineStr">
        <is>
          <t>Solution ceiling level:</t>
        </is>
      </c>
      <c r="G3" s="28" t="n"/>
      <c r="H3" s="28" t="n"/>
      <c r="I3" s="29">
        <f>IF('1. AI Position'!$C$30="",5,INDEX(Lists!$AI$2:$AI$5,'1. AI Position'!$C$30))</f>
        <v>4</v>
      </c>
    </row>
    <row r="4">
      <c r="B4" s="4" t="inlineStr">
        <is>
          <t>Quadrant threshold (value and feasibility, 1-5):</t>
        </is>
      </c>
      <c r="C4" s="30" t="n">
        <v>3.25</v>
      </c>
      <c r="D4" s="31" t="str">
        <f>"Library entries offered: "&amp;COUNTIF(Lists!$BA$2:$BA$241,"?*")</f>
        <v>Library entries offered: 75</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inlineStr">
        <is>
          <t>PRO-01 | Audit - journal-entry testing (full population)</t>
        </is>
      </c>
      <c r="C8" s="37" t="n"/>
      <c r="D8" s="37" t="n"/>
      <c r="E8" s="37" t="n"/>
      <c r="F8" s="37" t="inlineStr">
        <is>
          <t>High (more than 1,000 a month)</t>
        </is>
      </c>
      <c r="G8" s="37" t="n">
        <v>300</v>
      </c>
      <c r="H8" s="37" t="inlineStr">
        <is>
          <t>Partly - common steps, some variation</t>
        </is>
      </c>
      <c r="I8" s="37" t="inlineStr">
        <is>
          <t>Digital history available</t>
        </is>
      </c>
      <c r="J8" s="37" t="n">
        <v>5</v>
      </c>
      <c r="K8" s="37" t="n">
        <v>5</v>
      </c>
      <c r="L8" s="37" t="inlineStr">
        <is>
          <t>No</t>
        </is>
      </c>
      <c r="M8" s="37" t="inlineStr">
        <is>
          <t>Yes</t>
        </is>
      </c>
      <c r="N8" s="37" t="inlineStr">
        <is>
          <t>Human approves each AI output</t>
        </is>
      </c>
      <c r="O8" s="38" t="str">
        <f>IF(B8="","",IFERROR(INDEX('2. Use-Case Library'!$A$5:$A$244,MATCH(B8,'2. Use-Case Library'!$M$5:$M$244,0)),"Custom"))</f>
        <v>PRO-01</v>
      </c>
      <c r="P8" s="39" t="str">
        <f>IF(B8="","",IF(O8="Custom",IF(E8="","(select function in E)",E8),INDEX('2. Use-Case Library'!$C$5:$C$244,MATCH($O8,'2. Use-Case Library'!$A$5:$A$244,0))))</f>
        <v>Core operations &amp; service delivery</v>
      </c>
      <c r="Q8" s="39" t="str">
        <f>IF(B8="","",IF(D8&lt;&gt;"",D8,IF(O8="Custom","",INDEX('2. Use-Case Library'!$F$5:$F$244,MATCH($O8,'2. Use-Case Library'!$A$5:$A$244,0)))))</f>
        <v>Forecast, score, classify or detect anomalies from historical data</v>
      </c>
      <c r="R8" s="39" t="str">
        <f>IF(Q8="","",INDEX(Lists!$B$2:$B$11,MATCH(Q8,Lists!$A$2:$A$11,0)))</f>
        <v>Predictive analytics / machine learning</v>
      </c>
      <c r="S8" s="38">
        <f>IF(R8="","",INDEX(Lists!$C$2:$C$11,MATCH(R8,Lists!$B$2:$B$11,0)))</f>
        <v>5</v>
      </c>
      <c r="T8" s="38" t="str">
        <f>IF(R8="","",INDEX(Lists!$D$2:$D$11,MATCH(R8,Lists!$B$2:$B$11,0)))</f>
        <v>Yes</v>
      </c>
      <c r="U8" s="38" t="str">
        <f>IF(OR(R8="",I8=""),"",IF(INDEX(Lists!$N$2:$N$5,MATCH(I8,Lists!$M$2:$M$5,0))&gt;=INDEX(Lists!$E$2:$E$11,MATCH(R8,Lists!$B$2:$B$11,0)),"Data ready","Data gap"))</f>
        <v>Data ready</v>
      </c>
      <c r="V8" s="39" t="str">
        <f>IF(R8="","",IF(S8&lt;=IF('1. AI Position'!$C$30="",5,INDEX(Lists!$AI$2:$AI$5,'1. AI Position'!$C$30)),"Within current position","Beyond current position"))</f>
        <v>Beyond current position</v>
      </c>
      <c r="W8" s="40" t="str">
        <f>IF(B8="","",IF(OR(COUNTA(F8:N8)&lt;9,Q8=""),"Complete inputs",IF(H8="No - varies by person / team","Redesign / standardise first",IF(T8="No","Automate - AI not needed",IF(U8="Data gap","AI later - close data gap first",IF(V8="Beyond current position","Stretch - partner or later stage","AI fit now"))))))</f>
        <v>Stretch - partner or later stage</v>
      </c>
      <c r="X8" s="41">
        <f>IF(OR(W8="",W8="Complete inputs"),"",ROUND(0.3*INDEX(Lists!$N$8:$N$10,MATCH(F8,Lists!$M$8:$M$10,0))+0.25*IF(G8&lt;20,1,IF(G8&lt;80,2,IF(G8&lt;160,3,IF(G8&lt;480,4,5))))+0.25*J8+0.2*K8,2))</f>
        <v>4.75</v>
      </c>
      <c r="Y8" s="41">
        <f>IF(X8="","",ROUND(0.3*IF(U8="Data ready",5,IF(INDEX(Lists!$N$2:$N$5,MATCH(I8,Lists!$M$2:$M$5,0))=INDEX(Lists!$E$2:$E$11,MATCH(R8,Lists!$B$2:$B$11,0))-1,3,1))+0.25*INDEX(Lists!$N$13:$N$15,MATCH(H8,Lists!$M$13:$M$15,0))+0.25*(6-S8)+0.2*IF(V8="Within current position",5,2),2))</f>
        <v>2.9</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High</v>
      </c>
      <c r="AA8" s="38" t="str">
        <f>IF(X8="","",IF(AND(X8&gt;=$C$4,Y8&gt;=$C$4),"Quick win",IF(X8&gt;=$C$4,"Strategic bet",IF(Y8&gt;=$C$4,"Fill-in","Deprioritise"))))</f>
        <v>Strategic bet</v>
      </c>
      <c r="AB8" s="41">
        <f>IF(X8="","",ROUND(X8*Y8*IF(Z8="High",0.85,1)*IF(W8="Redesign / standardise first",0.8,1),2))</f>
        <v>11.71</v>
      </c>
      <c r="AC8" s="42">
        <f>IF(AB8="","",RANK(AB8,$AB$8:$AB$57)+COUNTIF($AB$7:AB7,AB8))</f>
        <v>15</v>
      </c>
      <c r="AD8" s="39" t="str">
        <f>IF(AH8="","",INDEX(Lists!$AV$2:$AV$5,AH8))</f>
        <v>H2 - Next (6-12 months)</v>
      </c>
      <c r="AE8" s="43">
        <f>IF(AB8="","",ROUND(G8*12*INDEX(Lists!$F$2:$F$11,MATCH(R8,Lists!$B$2:$B$11,0)),0))</f>
        <v>720</v>
      </c>
      <c r="AF8" s="44" t="str">
        <f>IF(OR(B8="",R8=""),"",IF(O8="Custom",INDEX(Lists!$I$2:$I$11,MATCH(R8,Lists!$B$2:$B$11,0)),INDEX('2. Use-Case Library'!$H$5:$H$244,MATCH($O8,'2. Use-Case Library'!$A$5:$A$244,0))))</f>
        <v>Full-population JE analytics with rules and ML anomaly scoring; auditor investigates and concludes.</v>
      </c>
      <c r="AG8" s="44" t="str">
        <f>IF(OR(B8="",O8="Custom"),"",INDEX('2. Use-Case Library'!$K$5:$K$244,MATCH($O8,'2. Use-Case Library'!$A$5:$A$244,0)))</f>
        <v>ISA 240 / 330; documentation in working papers; client-data confidentiality.</v>
      </c>
      <c r="AH8" s="38">
        <f>IF(AB8="","",IF(AA8="Deprioritise",4,IF(W8="AI later - close data gap first",3,IF(OR(W8="Redesign / standardise first",W8="Stretch - partner or later stage",AA8="Strategic bet",Z8="High",S8=5),2,1))))</f>
        <v>2</v>
      </c>
      <c r="AI8" s="38">
        <f>IF(AC8="","",AH8*100+AC8)</f>
        <v>215</v>
      </c>
      <c r="AJ8" s="38" t="str">
        <f>IF(B8="","",IF(O8="Custom",B8,INDEX('2. Use-Case Library'!$D$5:$D$244,MATCH($O8,'2. Use-Case Library'!$A$5:$A$244,0))))</f>
        <v>Audit - journal-entry testing (full population)</v>
      </c>
    </row>
    <row r="9" ht="52" customHeight="1">
      <c r="A9" s="14" t="n">
        <v>2</v>
      </c>
      <c r="B9" s="37" t="inlineStr">
        <is>
          <t>PRO-02 | Audit - working papers &amp; memo drafting</t>
        </is>
      </c>
      <c r="C9" s="37" t="n"/>
      <c r="D9" s="37" t="n"/>
      <c r="E9" s="37" t="n"/>
      <c r="F9" s="37" t="inlineStr">
        <is>
          <t>Medium (100 - 1,000 a month)</t>
        </is>
      </c>
      <c r="G9" s="37" t="n">
        <v>400</v>
      </c>
      <c r="H9" s="37" t="inlineStr">
        <is>
          <t>Yes - documented and consistent</t>
        </is>
      </c>
      <c r="I9" s="37" t="inlineStr">
        <is>
          <t>Digital history available</t>
        </is>
      </c>
      <c r="J9" s="37" t="n">
        <v>4</v>
      </c>
      <c r="K9" s="37" t="n">
        <v>4</v>
      </c>
      <c r="L9" s="37" t="inlineStr">
        <is>
          <t>No</t>
        </is>
      </c>
      <c r="M9" s="37" t="inlineStr">
        <is>
          <t>Yes</t>
        </is>
      </c>
      <c r="N9" s="37" t="inlineStr">
        <is>
          <t>Human approves each AI output</t>
        </is>
      </c>
      <c r="O9" s="38" t="str">
        <f>IF(B9="","",IFERROR(INDEX('2. Use-Case Library'!$A$5:$A$244,MATCH(B9,'2. Use-Case Library'!$M$5:$M$244,0)),"Custom"))</f>
        <v>PRO-02</v>
      </c>
      <c r="P9" s="39" t="str">
        <f>IF(B9="","",IF(O9="Custom",IF(E9="","(select function in E)",E9),INDEX('2. Use-Case Library'!$C$5:$C$244,MATCH($O9,'2. Use-Case Library'!$A$5:$A$244,0))))</f>
        <v>Core operations &amp; service delivery</v>
      </c>
      <c r="Q9" s="39" t="str">
        <f>IF(B9="","",IF(D9&lt;&gt;"",D9,IF(O9="Custom","",INDEX('2. Use-Case Library'!$F$5:$F$244,MATCH($O9,'2. Use-Case Library'!$A$5:$A$244,0)))))</f>
        <v>Draft, summarise, translate or review text</v>
      </c>
      <c r="R9" s="39" t="str">
        <f>IF(Q9="","",INDEX(Lists!$B$2:$B$11,MATCH(Q9,Lists!$A$2:$A$11,0)))</f>
        <v>Generative AI assistant (off-the-shelf)</v>
      </c>
      <c r="S9" s="38">
        <f>IF(R9="","",INDEX(Lists!$C$2:$C$11,MATCH(R9,Lists!$B$2:$B$11,0)))</f>
        <v>3</v>
      </c>
      <c r="T9" s="38" t="str">
        <f>IF(R9="","",INDEX(Lists!$D$2:$D$11,MATCH(R9,Lists!$B$2:$B$11,0)))</f>
        <v>Yes</v>
      </c>
      <c r="U9" s="38" t="str">
        <f>IF(OR(R9="",I9=""),"",IF(INDEX(Lists!$N$2:$N$5,MATCH(I9,Lists!$M$2:$M$5,0))&gt;=INDEX(Lists!$E$2:$E$11,MATCH(R9,Lists!$B$2:$B$11,0)),"Data ready","Data gap"))</f>
        <v>Data ready</v>
      </c>
      <c r="V9" s="39" t="str">
        <f>IF(R9="","",IF(S9&lt;=IF('1. AI Position'!$C$30="",5,INDEX(Lists!$AI$2:$AI$5,'1. AI Position'!$C$30)),"Within current position","Beyond current position"))</f>
        <v>Within current position</v>
      </c>
      <c r="W9" s="40" t="str">
        <f>IF(B9="","",IF(OR(COUNTA(F9:N9)&lt;9,Q9=""),"Complete inputs",IF(H9="No - varies by person / team","Redesign / standardise first",IF(T9="No","Automate - AI not needed",IF(U9="Data gap","AI later - close data gap first",IF(V9="Beyond current position","Stretch - partner or later stage","AI fit now"))))))</f>
        <v>AI fit now</v>
      </c>
      <c r="X9" s="41">
        <f>IF(OR(W9="",W9="Complete inputs"),"",ROUND(0.3*INDEX(Lists!$N$8:$N$10,MATCH(F9,Lists!$M$8:$M$10,0))+0.25*IF(G9&lt;20,1,IF(G9&lt;80,2,IF(G9&lt;160,3,IF(G9&lt;480,4,5))))+0.25*J9+0.2*K9,2))</f>
        <v>3.7</v>
      </c>
      <c r="Y9" s="41">
        <f>IF(X9="","",ROUND(0.3*IF(U9="Data ready",5,IF(INDEX(Lists!$N$2:$N$5,MATCH(I9,Lists!$M$2:$M$5,0))=INDEX(Lists!$E$2:$E$11,MATCH(R9,Lists!$B$2:$B$11,0))-1,3,1))+0.25*INDEX(Lists!$N$13:$N$15,MATCH(H9,Lists!$M$13:$M$15,0))+0.25*(6-S9)+0.2*IF(V9="Within current position",5,2),2))</f>
        <v>4.5</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Medium</v>
      </c>
      <c r="AA9" s="38" t="str">
        <f>IF(X9="","",IF(AND(X9&gt;=$C$4,Y9&gt;=$C$4),"Quick win",IF(X9&gt;=$C$4,"Strategic bet",IF(Y9&gt;=$C$4,"Fill-in","Deprioritise"))))</f>
        <v>Quick win</v>
      </c>
      <c r="AB9" s="41">
        <f>IF(X9="","",ROUND(X9*Y9*IF(Z9="High",0.85,1)*IF(W9="Redesign / standardise first",0.8,1),2))</f>
        <v>16.65</v>
      </c>
      <c r="AC9" s="42">
        <f>IF(AB9="","",RANK(AB9,$AB$8:$AB$57)+COUNTIF($AB$7:AB8,AB9))</f>
        <v>4</v>
      </c>
      <c r="AD9" s="39" t="str">
        <f>IF(AH9="","",INDEX(Lists!$AV$2:$AV$5,AH9))</f>
        <v>H1 - Now (0-6 months)</v>
      </c>
      <c r="AE9" s="43">
        <f>IF(AB9="","",ROUND(G9*12*INDEX(Lists!$F$2:$F$11,MATCH(R9,Lists!$B$2:$B$11,0)),0))</f>
        <v>1440</v>
      </c>
      <c r="AF9" s="44" t="str">
        <f>IF(OR(B9="",R9=""),"",IF(O9="Custom",INDEX(Lists!$I$2:$I$11,MATCH(R9,Lists!$B$2:$B$11,0)),INDEX('2. Use-Case Library'!$H$5:$H$244,MATCH($O9,'2. Use-Case Library'!$A$5:$A$244,0))))</f>
        <v>GenAI drafting within methodology templates in an approved environment; reviewer sign-off.</v>
      </c>
      <c r="AG9" s="44" t="str">
        <f>IF(OR(B9="",O9="Custom"),"",INDEX('2. Use-Case Library'!$K$5:$K$244,MATCH($O9,'2. Use-Case Library'!$A$5:$A$244,0)))</f>
        <v>ISQM 1; human review; client confidentiality.</v>
      </c>
      <c r="AH9" s="38">
        <f>IF(AB9="","",IF(AA9="Deprioritise",4,IF(W9="AI later - close data gap first",3,IF(OR(W9="Redesign / standardise first",W9="Stretch - partner or later stage",AA9="Strategic bet",Z9="High",S9=5),2,1))))</f>
        <v>1</v>
      </c>
      <c r="AI9" s="38">
        <f>IF(AC9="","",AH9*100+AC9)</f>
        <v>104</v>
      </c>
      <c r="AJ9" s="38" t="str">
        <f>IF(B9="","",IF(O9="Custom",B9,INDEX('2. Use-Case Library'!$D$5:$D$244,MATCH($O9,'2. Use-Case Library'!$A$5:$A$244,0))))</f>
        <v>Audit - working papers &amp; memo drafting</v>
      </c>
    </row>
    <row r="10" ht="52" customHeight="1">
      <c r="A10" s="14" t="n">
        <v>3</v>
      </c>
      <c r="B10" s="37" t="inlineStr">
        <is>
          <t>PRO-03 | Audit - bank &amp; external confirmations</t>
        </is>
      </c>
      <c r="C10" s="37" t="n"/>
      <c r="D10" s="37" t="n"/>
      <c r="E10" s="37" t="n"/>
      <c r="F10" s="37" t="inlineStr">
        <is>
          <t>High (more than 1,000 a month)</t>
        </is>
      </c>
      <c r="G10" s="37" t="n">
        <v>120</v>
      </c>
      <c r="H10" s="37" t="inlineStr">
        <is>
          <t>Yes - documented and consistent</t>
        </is>
      </c>
      <c r="I10" s="37" t="inlineStr">
        <is>
          <t>Digital history available</t>
        </is>
      </c>
      <c r="J10" s="37" t="n">
        <v>3</v>
      </c>
      <c r="K10" s="37" t="n">
        <v>3</v>
      </c>
      <c r="L10" s="37" t="inlineStr">
        <is>
          <t>No</t>
        </is>
      </c>
      <c r="M10" s="37" t="inlineStr">
        <is>
          <t>Yes</t>
        </is>
      </c>
      <c r="N10" s="37" t="inlineStr">
        <is>
          <t>Human approves each AI output</t>
        </is>
      </c>
      <c r="O10" s="38" t="str">
        <f>IF(B10="","",IFERROR(INDEX('2. Use-Case Library'!$A$5:$A$244,MATCH(B10,'2. Use-Case Library'!$M$5:$M$244,0)),"Custom"))</f>
        <v>PRO-03</v>
      </c>
      <c r="P10" s="39" t="str">
        <f>IF(B10="","",IF(O10="Custom",IF(E10="","(select function in E)",E10),INDEX('2. Use-Case Library'!$C$5:$C$244,MATCH($O10,'2. Use-Case Library'!$A$5:$A$244,0))))</f>
        <v>Core operations &amp; service delivery</v>
      </c>
      <c r="Q10" s="39" t="str">
        <f>IF(B10="","",IF(D10&lt;&gt;"",D10,IF(O10="Custom","",INDEX('2. Use-Case Library'!$F$5:$F$244,MATCH($O10,'2. Use-Case Library'!$A$5:$A$244,0)))))</f>
        <v>Extract information from documents, forms or emails</v>
      </c>
      <c r="R10" s="39" t="str">
        <f>IF(Q10="","",INDEX(Lists!$B$2:$B$11,MATCH(Q10,Lists!$A$2:$A$11,0)))</f>
        <v>Intelligent document processing (IDP)</v>
      </c>
      <c r="S10" s="38">
        <f>IF(R10="","",INDEX(Lists!$C$2:$C$11,MATCH(R10,Lists!$B$2:$B$11,0)))</f>
        <v>3</v>
      </c>
      <c r="T10" s="38" t="str">
        <f>IF(R10="","",INDEX(Lists!$D$2:$D$11,MATCH(R10,Lists!$B$2:$B$11,0)))</f>
        <v>Light</v>
      </c>
      <c r="U10" s="38" t="str">
        <f>IF(OR(R10="",I10=""),"",IF(INDEX(Lists!$N$2:$N$5,MATCH(I10,Lists!$M$2:$M$5,0))&gt;=INDEX(Lists!$E$2:$E$11,MATCH(R10,Lists!$B$2:$B$11,0)),"Data ready","Data gap"))</f>
        <v>Data ready</v>
      </c>
      <c r="V10" s="39" t="str">
        <f>IF(R10="","",IF(S10&lt;=IF('1. AI Position'!$C$30="",5,INDEX(Lists!$AI$2:$AI$5,'1. AI Position'!$C$30)),"Within current position","Beyond current position"))</f>
        <v>Within current position</v>
      </c>
      <c r="W10" s="40" t="str">
        <f>IF(B10="","",IF(OR(COUNTA(F10:N10)&lt;9,Q10=""),"Complete inputs",IF(H10="No - varies by person / team","Redesign / standardise first",IF(T10="No","Automate - AI not needed",IF(U10="Data gap","AI later - close data gap first",IF(V10="Beyond current position","Stretch - partner or later stage","AI fit now"))))))</f>
        <v>AI fit now</v>
      </c>
      <c r="X10" s="41">
        <f>IF(OR(W10="",W10="Complete inputs"),"",ROUND(0.3*INDEX(Lists!$N$8:$N$10,MATCH(F10,Lists!$M$8:$M$10,0))+0.25*IF(G10&lt;20,1,IF(G10&lt;80,2,IF(G10&lt;160,3,IF(G10&lt;480,4,5))))+0.25*J10+0.2*K10,2))</f>
        <v>3.6</v>
      </c>
      <c r="Y10" s="41">
        <f>IF(X10="","",ROUND(0.3*IF(U10="Data ready",5,IF(INDEX(Lists!$N$2:$N$5,MATCH(I10,Lists!$M$2:$M$5,0))=INDEX(Lists!$E$2:$E$11,MATCH(R10,Lists!$B$2:$B$11,0))-1,3,1))+0.25*INDEX(Lists!$N$13:$N$15,MATCH(H10,Lists!$M$13:$M$15,0))+0.25*(6-S10)+0.2*IF(V10="Within current position",5,2),2))</f>
        <v>4.5</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Medium</v>
      </c>
      <c r="AA10" s="38" t="str">
        <f>IF(X10="","",IF(AND(X10&gt;=$C$4,Y10&gt;=$C$4),"Quick win",IF(X10&gt;=$C$4,"Strategic bet",IF(Y10&gt;=$C$4,"Fill-in","Deprioritise"))))</f>
        <v>Quick win</v>
      </c>
      <c r="AB10" s="41">
        <f>IF(X10="","",ROUND(X10*Y10*IF(Z10="High",0.85,1)*IF(W10="Redesign / standardise first",0.8,1),2))</f>
        <v>16.2</v>
      </c>
      <c r="AC10" s="42">
        <f>IF(AB10="","",RANK(AB10,$AB$8:$AB$57)+COUNTIF($AB$7:AB9,AB10))</f>
        <v>6</v>
      </c>
      <c r="AD10" s="39" t="str">
        <f>IF(AH10="","",INDEX(Lists!$AV$2:$AV$5,AH10))</f>
        <v>H1 - Now (0-6 months)</v>
      </c>
      <c r="AE10" s="43">
        <f>IF(AB10="","",ROUND(G10*12*INDEX(Lists!$F$2:$F$11,MATCH(R10,Lists!$B$2:$B$11,0)),0))</f>
        <v>720</v>
      </c>
      <c r="AF10" s="44" t="str">
        <f>IF(OR(B10="",R10=""),"",IF(O10="Custom",INDEX(Lists!$I$2:$I$11,MATCH(R10,Lists!$B$2:$B$11,0)),INDEX('2. Use-Case Library'!$H$5:$H$244,MATCH($O10,'2. Use-Case Library'!$A$5:$A$244,0))))</f>
        <v>IDP of confirmation responses with automatic agreement to records.</v>
      </c>
      <c r="AG10" s="44" t="str">
        <f>IF(OR(B10="",O10="Custom"),"",INDEX('2. Use-Case Library'!$K$5:$K$244,MATCH($O10,'2. Use-Case Library'!$A$5:$A$244,0)))</f>
        <v>ISA 505 evidence requirements.</v>
      </c>
      <c r="AH10" s="38">
        <f>IF(AB10="","",IF(AA10="Deprioritise",4,IF(W10="AI later - close data gap first",3,IF(OR(W10="Redesign / standardise first",W10="Stretch - partner or later stage",AA10="Strategic bet",Z10="High",S10=5),2,1))))</f>
        <v>1</v>
      </c>
      <c r="AI10" s="38">
        <f>IF(AC10="","",AH10*100+AC10)</f>
        <v>106</v>
      </c>
      <c r="AJ10" s="38" t="str">
        <f>IF(B10="","",IF(O10="Custom",B10,INDEX('2. Use-Case Library'!$D$5:$D$244,MATCH($O10,'2. Use-Case Library'!$A$5:$A$244,0))))</f>
        <v>Audit - bank &amp; external confirmations</v>
      </c>
    </row>
    <row r="11" ht="52" customHeight="1">
      <c r="A11" s="14" t="n">
        <v>4</v>
      </c>
      <c r="B11" s="37" t="inlineStr">
        <is>
          <t>PRO-04 | Tax research &amp; technical Q&amp;A</t>
        </is>
      </c>
      <c r="C11" s="37" t="n"/>
      <c r="D11" s="37" t="n"/>
      <c r="E11" s="37" t="n"/>
      <c r="F11" s="37" t="inlineStr">
        <is>
          <t>Medium (100 - 1,000 a month)</t>
        </is>
      </c>
      <c r="G11" s="37" t="n">
        <v>160</v>
      </c>
      <c r="H11" s="37" t="inlineStr">
        <is>
          <t>Partly - common steps, some variation</t>
        </is>
      </c>
      <c r="I11" s="37" t="inlineStr">
        <is>
          <t>Digital history available</t>
        </is>
      </c>
      <c r="J11" s="37" t="n">
        <v>4</v>
      </c>
      <c r="K11" s="37" t="n">
        <v>4</v>
      </c>
      <c r="L11" s="37" t="inlineStr">
        <is>
          <t>No</t>
        </is>
      </c>
      <c r="M11" s="37" t="inlineStr">
        <is>
          <t>No</t>
        </is>
      </c>
      <c r="N11" s="37" t="inlineStr">
        <is>
          <t>Assist - AI suggests, a person does the work</t>
        </is>
      </c>
      <c r="O11" s="38" t="str">
        <f>IF(B11="","",IFERROR(INDEX('2. Use-Case Library'!$A$5:$A$244,MATCH(B11,'2. Use-Case Library'!$M$5:$M$244,0)),"Custom"))</f>
        <v>PRO-04</v>
      </c>
      <c r="P11" s="39" t="str">
        <f>IF(B11="","",IF(O11="Custom",IF(E11="","(select function in E)",E11),INDEX('2. Use-Case Library'!$C$5:$C$244,MATCH($O11,'2. Use-Case Library'!$A$5:$A$244,0))))</f>
        <v>Core operations &amp; service delivery</v>
      </c>
      <c r="Q11" s="39" t="str">
        <f>IF(B11="","",IF(D11&lt;&gt;"",D11,IF(O11="Custom","",INDEX('2. Use-Case Library'!$F$5:$F$244,MATCH($O11,'2. Use-Case Library'!$A$5:$A$244,0)))))</f>
        <v>Answer questions from internal knowledge, policies or past work</v>
      </c>
      <c r="R11" s="39" t="str">
        <f>IF(Q11="","",INDEX(Lists!$B$2:$B$11,MATCH(Q11,Lists!$A$2:$A$11,0)))</f>
        <v>GenAI knowledge assistant (RAG on own content)</v>
      </c>
      <c r="S11" s="38">
        <f>IF(R11="","",INDEX(Lists!$C$2:$C$11,MATCH(R11,Lists!$B$2:$B$11,0)))</f>
        <v>4</v>
      </c>
      <c r="T11" s="38" t="str">
        <f>IF(R11="","",INDEX(Lists!$D$2:$D$11,MATCH(R11,Lists!$B$2:$B$11,0)))</f>
        <v>Yes</v>
      </c>
      <c r="U11" s="38" t="str">
        <f>IF(OR(R11="",I11=""),"",IF(INDEX(Lists!$N$2:$N$5,MATCH(I11,Lists!$M$2:$M$5,0))&gt;=INDEX(Lists!$E$2:$E$11,MATCH(R11,Lists!$B$2:$B$11,0)),"Data ready","Data gap"))</f>
        <v>Data ready</v>
      </c>
      <c r="V11" s="39" t="str">
        <f>IF(R11="","",IF(S11&lt;=IF('1. AI Position'!$C$30="",5,INDEX(Lists!$AI$2:$AI$5,'1. AI Position'!$C$30)),"Within current position","Beyond current position"))</f>
        <v>Within current position</v>
      </c>
      <c r="W11" s="40" t="str">
        <f>IF(B11="","",IF(OR(COUNTA(F11:N11)&lt;9,Q11=""),"Complete inputs",IF(H11="No - varies by person / team","Redesign / standardise first",IF(T11="No","Automate - AI not needed",IF(U11="Data gap","AI later - close data gap first",IF(V11="Beyond current position","Stretch - partner or later stage","AI fit now"))))))</f>
        <v>AI fit now</v>
      </c>
      <c r="X11" s="41">
        <f>IF(OR(W11="",W11="Complete inputs"),"",ROUND(0.3*INDEX(Lists!$N$8:$N$10,MATCH(F11,Lists!$M$8:$M$10,0))+0.25*IF(G11&lt;20,1,IF(G11&lt;80,2,IF(G11&lt;160,3,IF(G11&lt;480,4,5))))+0.25*J11+0.2*K11,2))</f>
        <v>3.7</v>
      </c>
      <c r="Y11" s="41">
        <f>IF(X11="","",ROUND(0.3*IF(U11="Data ready",5,IF(INDEX(Lists!$N$2:$N$5,MATCH(I11,Lists!$M$2:$M$5,0))=INDEX(Lists!$E$2:$E$11,MATCH(R11,Lists!$B$2:$B$11,0))-1,3,1))+0.25*INDEX(Lists!$N$13:$N$15,MATCH(H11,Lists!$M$13:$M$15,0))+0.25*(6-S11)+0.2*IF(V11="Within current position",5,2),2))</f>
        <v>3.75</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Low</v>
      </c>
      <c r="AA11" s="38" t="str">
        <f>IF(X11="","",IF(AND(X11&gt;=$C$4,Y11&gt;=$C$4),"Quick win",IF(X11&gt;=$C$4,"Strategic bet",IF(Y11&gt;=$C$4,"Fill-in","Deprioritise"))))</f>
        <v>Quick win</v>
      </c>
      <c r="AB11" s="41">
        <f>IF(X11="","",ROUND(X11*Y11*IF(Z11="High",0.85,1)*IF(W11="Redesign / standardise first",0.8,1),2))</f>
        <v>13.88</v>
      </c>
      <c r="AC11" s="42">
        <f>IF(AB11="","",RANK(AB11,$AB$8:$AB$57)+COUNTIF($AB$7:AB10,AB11))</f>
        <v>9</v>
      </c>
      <c r="AD11" s="39" t="str">
        <f>IF(AH11="","",INDEX(Lists!$AV$2:$AV$5,AH11))</f>
        <v>H1 - Now (0-6 months)</v>
      </c>
      <c r="AE11" s="43">
        <f>IF(AB11="","",ROUND(G11*12*INDEX(Lists!$F$2:$F$11,MATCH(R11,Lists!$B$2:$B$11,0)),0))</f>
        <v>480</v>
      </c>
      <c r="AF11" s="44" t="str">
        <f>IF(OR(B11="",R11=""),"",IF(O11="Custom",INDEX(Lists!$I$2:$I$11,MATCH(R11,Lists!$B$2:$B$11,0)),INDEX('2. Use-Case Library'!$H$5:$H$244,MATCH($O11,'2. Use-Case Library'!$A$5:$A$244,0))))</f>
        <v>Grounded tax assistant over Bahrain / GCC tax law, NBR guidance and approved internal positions with citations.</v>
      </c>
      <c r="AG11" s="44" t="str">
        <f>IF(OR(B11="",O11="Custom"),"",INDEX('2. Use-Case Library'!$K$5:$K$244,MATCH($O11,'2. Use-Case Library'!$A$5:$A$244,0)))</f>
        <v>Partner review of advice; verify citations.</v>
      </c>
      <c r="AH11" s="38">
        <f>IF(AB11="","",IF(AA11="Deprioritise",4,IF(W11="AI later - close data gap first",3,IF(OR(W11="Redesign / standardise first",W11="Stretch - partner or later stage",AA11="Strategic bet",Z11="High",S11=5),2,1))))</f>
        <v>1</v>
      </c>
      <c r="AI11" s="38">
        <f>IF(AC11="","",AH11*100+AC11)</f>
        <v>109</v>
      </c>
      <c r="AJ11" s="38" t="str">
        <f>IF(B11="","",IF(O11="Custom",B11,INDEX('2. Use-Case Library'!$D$5:$D$244,MATCH($O11,'2. Use-Case Library'!$A$5:$A$244,0))))</f>
        <v>Tax research &amp; technical Q&amp;A</v>
      </c>
    </row>
    <row r="12" ht="52" customHeight="1">
      <c r="A12" s="14" t="n">
        <v>5</v>
      </c>
      <c r="B12" s="37" t="inlineStr">
        <is>
          <t>PRO-05 | Tax - VAT / tax return data preparation</t>
        </is>
      </c>
      <c r="C12" s="37" t="n"/>
      <c r="D12" s="37" t="n"/>
      <c r="E12" s="37" t="n"/>
      <c r="F12" s="37" t="inlineStr">
        <is>
          <t>High (more than 1,000 a month)</t>
        </is>
      </c>
      <c r="G12" s="37" t="n">
        <v>200</v>
      </c>
      <c r="H12" s="37" t="inlineStr">
        <is>
          <t>Yes - documented and consistent</t>
        </is>
      </c>
      <c r="I12" s="37" t="inlineStr">
        <is>
          <t>Digital history available</t>
        </is>
      </c>
      <c r="J12" s="37" t="n">
        <v>3</v>
      </c>
      <c r="K12" s="37" t="n">
        <v>4</v>
      </c>
      <c r="L12" s="37" t="inlineStr">
        <is>
          <t>No</t>
        </is>
      </c>
      <c r="M12" s="37" t="inlineStr">
        <is>
          <t>Yes</t>
        </is>
      </c>
      <c r="N12" s="37" t="inlineStr">
        <is>
          <t>Human approves each AI output</t>
        </is>
      </c>
      <c r="O12" s="38" t="str">
        <f>IF(B12="","",IFERROR(INDEX('2. Use-Case Library'!$A$5:$A$244,MATCH(B12,'2. Use-Case Library'!$M$5:$M$244,0)),"Custom"))</f>
        <v>PRO-05</v>
      </c>
      <c r="P12" s="39" t="str">
        <f>IF(B12="","",IF(O12="Custom",IF(E12="","(select function in E)",E12),INDEX('2. Use-Case Library'!$C$5:$C$244,MATCH($O12,'2. Use-Case Library'!$A$5:$A$244,0))))</f>
        <v>Core operations &amp; service delivery</v>
      </c>
      <c r="Q12" s="39" t="str">
        <f>IF(B12="","",IF(D12&lt;&gt;"",D12,IF(O12="Custom","",INDEX('2. Use-Case Library'!$F$5:$F$244,MATCH($O12,'2. Use-Case Library'!$A$5:$A$244,0)))))</f>
        <v>Move or re-key data between systems following fixed rules</v>
      </c>
      <c r="R12" s="39" t="str">
        <f>IF(Q12="","",INDEX(Lists!$B$2:$B$11,MATCH(Q12,Lists!$A$2:$A$11,0)))</f>
        <v>Workflow automation / RPA</v>
      </c>
      <c r="S12" s="38">
        <f>IF(R12="","",INDEX(Lists!$C$2:$C$11,MATCH(R12,Lists!$B$2:$B$11,0)))</f>
        <v>2</v>
      </c>
      <c r="T12" s="38" t="str">
        <f>IF(R12="","",INDEX(Lists!$D$2:$D$11,MATCH(R12,Lists!$B$2:$B$11,0)))</f>
        <v>No</v>
      </c>
      <c r="U12" s="38" t="str">
        <f>IF(OR(R12="",I12=""),"",IF(INDEX(Lists!$N$2:$N$5,MATCH(I12,Lists!$M$2:$M$5,0))&gt;=INDEX(Lists!$E$2:$E$11,MATCH(R12,Lists!$B$2:$B$11,0)),"Data ready","Data gap"))</f>
        <v>Data ready</v>
      </c>
      <c r="V12" s="39" t="str">
        <f>IF(R12="","",IF(S12&lt;=IF('1. AI Position'!$C$30="",5,INDEX(Lists!$AI$2:$AI$5,'1. AI Position'!$C$30)),"Within current position","Beyond current position"))</f>
        <v>Within current position</v>
      </c>
      <c r="W12" s="40" t="str">
        <f>IF(B12="","",IF(OR(COUNTA(F12:N12)&lt;9,Q12=""),"Complete inputs",IF(H12="No - varies by person / team","Redesign / standardise first",IF(T12="No","Automate - AI not needed",IF(U12="Data gap","AI later - close data gap first",IF(V12="Beyond current position","Stretch - partner or later stage","AI fit now"))))))</f>
        <v>Automate - AI not needed</v>
      </c>
      <c r="X12" s="41">
        <f>IF(OR(W12="",W12="Complete inputs"),"",ROUND(0.3*INDEX(Lists!$N$8:$N$10,MATCH(F12,Lists!$M$8:$M$10,0))+0.25*IF(G12&lt;20,1,IF(G12&lt;80,2,IF(G12&lt;160,3,IF(G12&lt;480,4,5))))+0.25*J12+0.2*K12,2))</f>
        <v>4.05</v>
      </c>
      <c r="Y12" s="41">
        <f>IF(X12="","",ROUND(0.3*IF(U12="Data ready",5,IF(INDEX(Lists!$N$2:$N$5,MATCH(I12,Lists!$M$2:$M$5,0))=INDEX(Lists!$E$2:$E$11,MATCH(R12,Lists!$B$2:$B$11,0))-1,3,1))+0.25*INDEX(Lists!$N$13:$N$15,MATCH(H12,Lists!$M$13:$M$15,0))+0.25*(6-S12)+0.2*IF(V12="Within current position",5,2),2))</f>
        <v>4.75</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Low</v>
      </c>
      <c r="AA12" s="38" t="str">
        <f>IF(X12="","",IF(AND(X12&gt;=$C$4,Y12&gt;=$C$4),"Quick win",IF(X12&gt;=$C$4,"Strategic bet",IF(Y12&gt;=$C$4,"Fill-in","Deprioritise"))))</f>
        <v>Quick win</v>
      </c>
      <c r="AB12" s="41">
        <f>IF(X12="","",ROUND(X12*Y12*IF(Z12="High",0.85,1)*IF(W12="Redesign / standardise first",0.8,1),2))</f>
        <v>19.24</v>
      </c>
      <c r="AC12" s="42">
        <f>IF(AB12="","",RANK(AB12,$AB$8:$AB$57)+COUNTIF($AB$7:AB11,AB12))</f>
        <v>1</v>
      </c>
      <c r="AD12" s="39" t="str">
        <f>IF(AH12="","",INDEX(Lists!$AV$2:$AV$5,AH12))</f>
        <v>H1 - Now (0-6 months)</v>
      </c>
      <c r="AE12" s="43">
        <f>IF(AB12="","",ROUND(G12*12*INDEX(Lists!$F$2:$F$11,MATCH(R12,Lists!$B$2:$B$11,0)),0))</f>
        <v>1440</v>
      </c>
      <c r="AF12" s="44" t="str">
        <f>IF(OR(B12="",R12=""),"",IF(O12="Custom",INDEX(Lists!$I$2:$I$11,MATCH(R12,Lists!$B$2:$B$11,0)),INDEX('2. Use-Case Library'!$H$5:$H$244,MATCH($O12,'2. Use-Case Library'!$A$5:$A$244,0))))</f>
        <v>Automated extraction, mapping and validation of client data into returns.</v>
      </c>
      <c r="AG12" s="44" t="str">
        <f>IF(OR(B12="",O12="Custom"),"",INDEX('2. Use-Case Library'!$K$5:$K$244,MATCH($O12,'2. Use-Case Library'!$A$5:$A$244,0)))</f>
        <v>Maker-checker; client sign-off.</v>
      </c>
      <c r="AH12" s="38">
        <f>IF(AB12="","",IF(AA12="Deprioritise",4,IF(W12="AI later - close data gap first",3,IF(OR(W12="Redesign / standardise first",W12="Stretch - partner or later stage",AA12="Strategic bet",Z12="High",S12=5),2,1))))</f>
        <v>1</v>
      </c>
      <c r="AI12" s="38">
        <f>IF(AC12="","",AH12*100+AC12)</f>
        <v>101</v>
      </c>
      <c r="AJ12" s="38" t="str">
        <f>IF(B12="","",IF(O12="Custom",B12,INDEX('2. Use-Case Library'!$D$5:$D$244,MATCH($O12,'2. Use-Case Library'!$A$5:$A$244,0))))</f>
        <v>Tax - VAT / tax return data preparation</v>
      </c>
    </row>
    <row r="13" ht="52" customHeight="1">
      <c r="A13" s="14" t="n">
        <v>6</v>
      </c>
      <c r="B13" s="37" t="inlineStr">
        <is>
          <t>PRO-06 | Predictive tax scenario modelling</t>
        </is>
      </c>
      <c r="C13" s="37" t="n"/>
      <c r="D13" s="37" t="n"/>
      <c r="E13" s="37" t="n"/>
      <c r="F13" s="37" t="inlineStr">
        <is>
          <t>Low (fewer than 100 a month)</t>
        </is>
      </c>
      <c r="G13" s="37" t="n">
        <v>80</v>
      </c>
      <c r="H13" s="37" t="inlineStr">
        <is>
          <t>Partly - common steps, some variation</t>
        </is>
      </c>
      <c r="I13" s="37" t="inlineStr">
        <is>
          <t>Digital history available</t>
        </is>
      </c>
      <c r="J13" s="37" t="n">
        <v>4</v>
      </c>
      <c r="K13" s="37" t="n">
        <v>4</v>
      </c>
      <c r="L13" s="37" t="inlineStr">
        <is>
          <t>No</t>
        </is>
      </c>
      <c r="M13" s="37" t="inlineStr">
        <is>
          <t>Yes</t>
        </is>
      </c>
      <c r="N13" s="37" t="inlineStr">
        <is>
          <t>Assist - AI suggests, a person does the work</t>
        </is>
      </c>
      <c r="O13" s="38" t="str">
        <f>IF(B13="","",IFERROR(INDEX('2. Use-Case Library'!$A$5:$A$244,MATCH(B13,'2. Use-Case Library'!$M$5:$M$244,0)),"Custom"))</f>
        <v>PRO-06</v>
      </c>
      <c r="P13" s="39" t="str">
        <f>IF(B13="","",IF(O13="Custom",IF(E13="","(select function in E)",E13),INDEX('2. Use-Case Library'!$C$5:$C$244,MATCH($O13,'2. Use-Case Library'!$A$5:$A$244,0))))</f>
        <v>Core operations &amp; service delivery</v>
      </c>
      <c r="Q13" s="39" t="str">
        <f>IF(B13="","",IF(D13&lt;&gt;"",D13,IF(O13="Custom","",INDEX('2. Use-Case Library'!$F$5:$F$244,MATCH($O13,'2. Use-Case Library'!$A$5:$A$244,0)))))</f>
        <v>Forecast, score, classify or detect anomalies from historical data</v>
      </c>
      <c r="R13" s="39" t="str">
        <f>IF(Q13="","",INDEX(Lists!$B$2:$B$11,MATCH(Q13,Lists!$A$2:$A$11,0)))</f>
        <v>Predictive analytics / machine learning</v>
      </c>
      <c r="S13" s="38">
        <f>IF(R13="","",INDEX(Lists!$C$2:$C$11,MATCH(R13,Lists!$B$2:$B$11,0)))</f>
        <v>5</v>
      </c>
      <c r="T13" s="38" t="str">
        <f>IF(R13="","",INDEX(Lists!$D$2:$D$11,MATCH(R13,Lists!$B$2:$B$11,0)))</f>
        <v>Yes</v>
      </c>
      <c r="U13" s="38" t="str">
        <f>IF(OR(R13="",I13=""),"",IF(INDEX(Lists!$N$2:$N$5,MATCH(I13,Lists!$M$2:$M$5,0))&gt;=INDEX(Lists!$E$2:$E$11,MATCH(R13,Lists!$B$2:$B$11,0)),"Data ready","Data gap"))</f>
        <v>Data ready</v>
      </c>
      <c r="V13" s="39" t="str">
        <f>IF(R13="","",IF(S13&lt;=IF('1. AI Position'!$C$30="",5,INDEX(Lists!$AI$2:$AI$5,'1. AI Position'!$C$30)),"Within current position","Beyond current position"))</f>
        <v>Beyond current position</v>
      </c>
      <c r="W13" s="40" t="str">
        <f>IF(B13="","",IF(OR(COUNTA(F13:N13)&lt;9,Q13=""),"Complete inputs",IF(H13="No - varies by person / team","Redesign / standardise first",IF(T13="No","Automate - AI not needed",IF(U13="Data gap","AI later - close data gap first",IF(V13="Beyond current position","Stretch - partner or later stage","AI fit now"))))))</f>
        <v>Stretch - partner or later stage</v>
      </c>
      <c r="X13" s="41">
        <f>IF(OR(W13="",W13="Complete inputs"),"",ROUND(0.3*INDEX(Lists!$N$8:$N$10,MATCH(F13,Lists!$M$8:$M$10,0))+0.25*IF(G13&lt;20,1,IF(G13&lt;80,2,IF(G13&lt;160,3,IF(G13&lt;480,4,5))))+0.25*J13+0.2*K13,2))</f>
        <v>2.85</v>
      </c>
      <c r="Y13" s="41">
        <f>IF(X13="","",ROUND(0.3*IF(U13="Data ready",5,IF(INDEX(Lists!$N$2:$N$5,MATCH(I13,Lists!$M$2:$M$5,0))=INDEX(Lists!$E$2:$E$11,MATCH(R13,Lists!$B$2:$B$11,0))-1,3,1))+0.25*INDEX(Lists!$N$13:$N$15,MATCH(H13,Lists!$M$13:$M$15,0))+0.25*(6-S13)+0.2*IF(V13="Within current position",5,2),2))</f>
        <v>2.9</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Medium</v>
      </c>
      <c r="AA13" s="38" t="str">
        <f>IF(X13="","",IF(AND(X13&gt;=$C$4,Y13&gt;=$C$4),"Quick win",IF(X13&gt;=$C$4,"Strategic bet",IF(Y13&gt;=$C$4,"Fill-in","Deprioritise"))))</f>
        <v>Deprioritise</v>
      </c>
      <c r="AB13" s="41">
        <f>IF(X13="","",ROUND(X13*Y13*IF(Z13="High",0.85,1)*IF(W13="Redesign / standardise first",0.8,1),2))</f>
        <v>8.27</v>
      </c>
      <c r="AC13" s="42">
        <f>IF(AB13="","",RANK(AB13,$AB$8:$AB$57)+COUNTIF($AB$7:AB12,AB13))</f>
        <v>20</v>
      </c>
      <c r="AD13" s="39" t="str">
        <f>IF(AH13="","",INDEX(Lists!$AV$2:$AV$5,AH13))</f>
        <v>Backlog / not prioritised</v>
      </c>
      <c r="AE13" s="43">
        <f>IF(AB13="","",ROUND(G13*12*INDEX(Lists!$F$2:$F$11,MATCH(R13,Lists!$B$2:$B$11,0)),0))</f>
        <v>192</v>
      </c>
      <c r="AF13" s="44" t="str">
        <f>IF(OR(B13="",R13=""),"",IF(O13="Custom",INDEX(Lists!$I$2:$I$11,MATCH(R13,Lists!$B$2:$B$11,0)),INDEX('2. Use-Case Library'!$H$5:$H$244,MATCH($O13,'2. Use-Case Library'!$A$5:$A$244,0))))</f>
        <v>Scenario models of tax outcomes for planning decisions (e.g., Pillar Two, CIT).</v>
      </c>
      <c r="AG13" s="44" t="str">
        <f>IF(OR(B13="",O13="Custom"),"",INDEX('2. Use-Case Library'!$K$5:$K$244,MATCH($O13,'2. Use-Case Library'!$A$5:$A$244,0)))</f>
        <v>Assumptions documented; partner review.</v>
      </c>
      <c r="AH13" s="38">
        <f>IF(AB13="","",IF(AA13="Deprioritise",4,IF(W13="AI later - close data gap first",3,IF(OR(W13="Redesign / standardise first",W13="Stretch - partner or later stage",AA13="Strategic bet",Z13="High",S13=5),2,1))))</f>
        <v>4</v>
      </c>
      <c r="AI13" s="38">
        <f>IF(AC13="","",AH13*100+AC13)</f>
        <v>420</v>
      </c>
      <c r="AJ13" s="38" t="str">
        <f>IF(B13="","",IF(O13="Custom",B13,INDEX('2. Use-Case Library'!$D$5:$D$244,MATCH($O13,'2. Use-Case Library'!$A$5:$A$244,0))))</f>
        <v>Predictive tax scenario modelling</v>
      </c>
    </row>
    <row r="14" ht="52" customHeight="1">
      <c r="A14" s="14" t="n">
        <v>7</v>
      </c>
      <c r="B14" s="37" t="inlineStr">
        <is>
          <t>XI-26 | Proposal, quotation &amp; tender responses</t>
        </is>
      </c>
      <c r="C14" s="37" t="n"/>
      <c r="D14" s="37" t="n"/>
      <c r="E14" s="37" t="n"/>
      <c r="F14" s="37" t="inlineStr">
        <is>
          <t>Medium (100 - 1,000 a month)</t>
        </is>
      </c>
      <c r="G14" s="37" t="n">
        <v>350</v>
      </c>
      <c r="H14" s="37" t="inlineStr">
        <is>
          <t>Partly - common steps, some variation</t>
        </is>
      </c>
      <c r="I14" s="37" t="inlineStr">
        <is>
          <t>Digital history available</t>
        </is>
      </c>
      <c r="J14" s="37" t="n">
        <v>4</v>
      </c>
      <c r="K14" s="37" t="n">
        <v>4</v>
      </c>
      <c r="L14" s="37" t="inlineStr">
        <is>
          <t>No</t>
        </is>
      </c>
      <c r="M14" s="37" t="inlineStr">
        <is>
          <t>No</t>
        </is>
      </c>
      <c r="N14" s="37" t="inlineStr">
        <is>
          <t>Assist - AI suggests, a person does the work</t>
        </is>
      </c>
      <c r="O14" s="38" t="str">
        <f>IF(B14="","",IFERROR(INDEX('2. Use-Case Library'!$A$5:$A$244,MATCH(B14,'2. Use-Case Library'!$M$5:$M$244,0)),"Custom"))</f>
        <v>XI-26</v>
      </c>
      <c r="P14" s="39" t="str">
        <f>IF(B14="","",IF(O14="Custom",IF(E14="","(select function in E)",E14),INDEX('2. Use-Case Library'!$C$5:$C$244,MATCH($O14,'2. Use-Case Library'!$A$5:$A$244,0))))</f>
        <v>Sales &amp; marketing</v>
      </c>
      <c r="Q14" s="39" t="str">
        <f>IF(B14="","",IF(D14&lt;&gt;"",D14,IF(O14="Custom","",INDEX('2. Use-Case Library'!$F$5:$F$244,MATCH($O14,'2. Use-Case Library'!$A$5:$A$244,0)))))</f>
        <v>Answer questions from internal knowledge, policies or past work</v>
      </c>
      <c r="R14" s="39" t="str">
        <f>IF(Q14="","",INDEX(Lists!$B$2:$B$11,MATCH(Q14,Lists!$A$2:$A$11,0)))</f>
        <v>GenAI knowledge assistant (RAG on own content)</v>
      </c>
      <c r="S14" s="38">
        <f>IF(R14="","",INDEX(Lists!$C$2:$C$11,MATCH(R14,Lists!$B$2:$B$11,0)))</f>
        <v>4</v>
      </c>
      <c r="T14" s="38" t="str">
        <f>IF(R14="","",INDEX(Lists!$D$2:$D$11,MATCH(R14,Lists!$B$2:$B$11,0)))</f>
        <v>Yes</v>
      </c>
      <c r="U14" s="38" t="str">
        <f>IF(OR(R14="",I14=""),"",IF(INDEX(Lists!$N$2:$N$5,MATCH(I14,Lists!$M$2:$M$5,0))&gt;=INDEX(Lists!$E$2:$E$11,MATCH(R14,Lists!$B$2:$B$11,0)),"Data ready","Data gap"))</f>
        <v>Data ready</v>
      </c>
      <c r="V14" s="39" t="str">
        <f>IF(R14="","",IF(S14&lt;=IF('1. AI Position'!$C$30="",5,INDEX(Lists!$AI$2:$AI$5,'1. AI Position'!$C$30)),"Within current position","Beyond current position"))</f>
        <v>Within current position</v>
      </c>
      <c r="W14" s="40" t="str">
        <f>IF(B14="","",IF(OR(COUNTA(F14:N14)&lt;9,Q14=""),"Complete inputs",IF(H14="No - varies by person / team","Redesign / standardise first",IF(T14="No","Automate - AI not needed",IF(U14="Data gap","AI later - close data gap first",IF(V14="Beyond current position","Stretch - partner or later stage","AI fit now"))))))</f>
        <v>AI fit now</v>
      </c>
      <c r="X14" s="41">
        <f>IF(OR(W14="",W14="Complete inputs"),"",ROUND(0.3*INDEX(Lists!$N$8:$N$10,MATCH(F14,Lists!$M$8:$M$10,0))+0.25*IF(G14&lt;20,1,IF(G14&lt;80,2,IF(G14&lt;160,3,IF(G14&lt;480,4,5))))+0.25*J14+0.2*K14,2))</f>
        <v>3.7</v>
      </c>
      <c r="Y14" s="41">
        <f>IF(X14="","",ROUND(0.3*IF(U14="Data ready",5,IF(INDEX(Lists!$N$2:$N$5,MATCH(I14,Lists!$M$2:$M$5,0))=INDEX(Lists!$E$2:$E$11,MATCH(R14,Lists!$B$2:$B$11,0))-1,3,1))+0.25*INDEX(Lists!$N$13:$N$15,MATCH(H14,Lists!$M$13:$M$15,0))+0.25*(6-S14)+0.2*IF(V14="Within current position",5,2),2))</f>
        <v>3.75</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Low</v>
      </c>
      <c r="AA14" s="38" t="str">
        <f>IF(X14="","",IF(AND(X14&gt;=$C$4,Y14&gt;=$C$4),"Quick win",IF(X14&gt;=$C$4,"Strategic bet",IF(Y14&gt;=$C$4,"Fill-in","Deprioritise"))))</f>
        <v>Quick win</v>
      </c>
      <c r="AB14" s="41">
        <f>IF(X14="","",ROUND(X14*Y14*IF(Z14="High",0.85,1)*IF(W14="Redesign / standardise first",0.8,1),2))</f>
        <v>13.88</v>
      </c>
      <c r="AC14" s="42">
        <f>IF(AB14="","",RANK(AB14,$AB$8:$AB$57)+COUNTIF($AB$7:AB13,AB14))</f>
        <v>10</v>
      </c>
      <c r="AD14" s="39" t="str">
        <f>IF(AH14="","",INDEX(Lists!$AV$2:$AV$5,AH14))</f>
        <v>H1 - Now (0-6 months)</v>
      </c>
      <c r="AE14" s="43">
        <f>IF(AB14="","",ROUND(G14*12*INDEX(Lists!$F$2:$F$11,MATCH(R14,Lists!$B$2:$B$11,0)),0))</f>
        <v>1050</v>
      </c>
      <c r="AF14" s="44" t="str">
        <f>IF(OR(B14="",R14=""),"",IF(O14="Custom",INDEX(Lists!$I$2:$I$11,MATCH(R14,Lists!$B$2:$B$11,0)),INDEX('2. Use-Case Library'!$H$5:$H$244,MATCH($O14,'2. Use-Case Library'!$A$5:$A$244,0))))</f>
        <v>Knowledge assistant over approved credentials, CVs and past proposals to draft responses; bid manager review.</v>
      </c>
      <c r="AG14" s="44" t="str">
        <f>IF(OR(B14="",O14="Custom"),"",INDEX('2. Use-Case Library'!$K$5:$K$244,MATCH($O14,'2. Use-Case Library'!$A$5:$A$244,0)))</f>
        <v>Client confidentiality - sanitise past work; human review.</v>
      </c>
      <c r="AH14" s="38">
        <f>IF(AB14="","",IF(AA14="Deprioritise",4,IF(W14="AI later - close data gap first",3,IF(OR(W14="Redesign / standardise first",W14="Stretch - partner or later stage",AA14="Strategic bet",Z14="High",S14=5),2,1))))</f>
        <v>1</v>
      </c>
      <c r="AI14" s="38">
        <f>IF(AC14="","",AH14*100+AC14)</f>
        <v>110</v>
      </c>
      <c r="AJ14" s="38" t="str">
        <f>IF(B14="","",IF(O14="Custom",B14,INDEX('2. Use-Case Library'!$D$5:$D$244,MATCH($O14,'2. Use-Case Library'!$A$5:$A$244,0))))</f>
        <v>Proposal, quotation &amp; tender responses</v>
      </c>
    </row>
    <row r="15" ht="52" customHeight="1">
      <c r="A15" s="14" t="n">
        <v>8</v>
      </c>
      <c r="B15" s="37" t="inlineStr">
        <is>
          <t>PRO-07 | Advisory - due-diligence data-room review</t>
        </is>
      </c>
      <c r="C15" s="37" t="n"/>
      <c r="D15" s="37" t="n"/>
      <c r="E15" s="37" t="n"/>
      <c r="F15" s="37" t="inlineStr">
        <is>
          <t>Medium (100 - 1,000 a month)</t>
        </is>
      </c>
      <c r="G15" s="37" t="n">
        <v>220</v>
      </c>
      <c r="H15" s="37" t="inlineStr">
        <is>
          <t>Partly - common steps, some variation</t>
        </is>
      </c>
      <c r="I15" s="37" t="inlineStr">
        <is>
          <t>Digital history available</t>
        </is>
      </c>
      <c r="J15" s="37" t="n">
        <v>4</v>
      </c>
      <c r="K15" s="37" t="n">
        <v>4</v>
      </c>
      <c r="L15" s="37" t="inlineStr">
        <is>
          <t>No</t>
        </is>
      </c>
      <c r="M15" s="37" t="inlineStr">
        <is>
          <t>Yes</t>
        </is>
      </c>
      <c r="N15" s="37" t="inlineStr">
        <is>
          <t>Human approves each AI output</t>
        </is>
      </c>
      <c r="O15" s="38" t="str">
        <f>IF(B15="","",IFERROR(INDEX('2. Use-Case Library'!$A$5:$A$244,MATCH(B15,'2. Use-Case Library'!$M$5:$M$244,0)),"Custom"))</f>
        <v>PRO-07</v>
      </c>
      <c r="P15" s="39" t="str">
        <f>IF(B15="","",IF(O15="Custom",IF(E15="","(select function in E)",E15),INDEX('2. Use-Case Library'!$C$5:$C$244,MATCH($O15,'2. Use-Case Library'!$A$5:$A$244,0))))</f>
        <v>Core operations &amp; service delivery</v>
      </c>
      <c r="Q15" s="39" t="str">
        <f>IF(B15="","",IF(D15&lt;&gt;"",D15,IF(O15="Custom","",INDEX('2. Use-Case Library'!$F$5:$F$244,MATCH($O15,'2. Use-Case Library'!$A$5:$A$244,0)))))</f>
        <v>Draft, summarise, translate or review text</v>
      </c>
      <c r="R15" s="39" t="str">
        <f>IF(Q15="","",INDEX(Lists!$B$2:$B$11,MATCH(Q15,Lists!$A$2:$A$11,0)))</f>
        <v>Generative AI assistant (off-the-shelf)</v>
      </c>
      <c r="S15" s="38">
        <f>IF(R15="","",INDEX(Lists!$C$2:$C$11,MATCH(R15,Lists!$B$2:$B$11,0)))</f>
        <v>3</v>
      </c>
      <c r="T15" s="38" t="str">
        <f>IF(R15="","",INDEX(Lists!$D$2:$D$11,MATCH(R15,Lists!$B$2:$B$11,0)))</f>
        <v>Yes</v>
      </c>
      <c r="U15" s="38" t="str">
        <f>IF(OR(R15="",I15=""),"",IF(INDEX(Lists!$N$2:$N$5,MATCH(I15,Lists!$M$2:$M$5,0))&gt;=INDEX(Lists!$E$2:$E$11,MATCH(R15,Lists!$B$2:$B$11,0)),"Data ready","Data gap"))</f>
        <v>Data ready</v>
      </c>
      <c r="V15" s="39" t="str">
        <f>IF(R15="","",IF(S15&lt;=IF('1. AI Position'!$C$30="",5,INDEX(Lists!$AI$2:$AI$5,'1. AI Position'!$C$30)),"Within current position","Beyond current position"))</f>
        <v>Within current position</v>
      </c>
      <c r="W15" s="40" t="str">
        <f>IF(B15="","",IF(OR(COUNTA(F15:N15)&lt;9,Q15=""),"Complete inputs",IF(H15="No - varies by person / team","Redesign / standardise first",IF(T15="No","Automate - AI not needed",IF(U15="Data gap","AI later - close data gap first",IF(V15="Beyond current position","Stretch - partner or later stage","AI fit now"))))))</f>
        <v>AI fit now</v>
      </c>
      <c r="X15" s="41">
        <f>IF(OR(W15="",W15="Complete inputs"),"",ROUND(0.3*INDEX(Lists!$N$8:$N$10,MATCH(F15,Lists!$M$8:$M$10,0))+0.25*IF(G15&lt;20,1,IF(G15&lt;80,2,IF(G15&lt;160,3,IF(G15&lt;480,4,5))))+0.25*J15+0.2*K15,2))</f>
        <v>3.7</v>
      </c>
      <c r="Y15" s="41">
        <f>IF(X15="","",ROUND(0.3*IF(U15="Data ready",5,IF(INDEX(Lists!$N$2:$N$5,MATCH(I15,Lists!$M$2:$M$5,0))=INDEX(Lists!$E$2:$E$11,MATCH(R15,Lists!$B$2:$B$11,0))-1,3,1))+0.25*INDEX(Lists!$N$13:$N$15,MATCH(H15,Lists!$M$13:$M$15,0))+0.25*(6-S15)+0.2*IF(V15="Within current position",5,2),2))</f>
        <v>4</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Medium</v>
      </c>
      <c r="AA15" s="38" t="str">
        <f>IF(X15="","",IF(AND(X15&gt;=$C$4,Y15&gt;=$C$4),"Quick win",IF(X15&gt;=$C$4,"Strategic bet",IF(Y15&gt;=$C$4,"Fill-in","Deprioritise"))))</f>
        <v>Quick win</v>
      </c>
      <c r="AB15" s="41">
        <f>IF(X15="","",ROUND(X15*Y15*IF(Z15="High",0.85,1)*IF(W15="Redesign / standardise first",0.8,1),2))</f>
        <v>14.8</v>
      </c>
      <c r="AC15" s="42">
        <f>IF(AB15="","",RANK(AB15,$AB$8:$AB$57)+COUNTIF($AB$7:AB14,AB15))</f>
        <v>8</v>
      </c>
      <c r="AD15" s="39" t="str">
        <f>IF(AH15="","",INDEX(Lists!$AV$2:$AV$5,AH15))</f>
        <v>H1 - Now (0-6 months)</v>
      </c>
      <c r="AE15" s="43">
        <f>IF(AB15="","",ROUND(G15*12*INDEX(Lists!$F$2:$F$11,MATCH(R15,Lists!$B$2:$B$11,0)),0))</f>
        <v>792</v>
      </c>
      <c r="AF15" s="44" t="str">
        <f>IF(OR(B15="",R15=""),"",IF(O15="Custom",INDEX(Lists!$I$2:$I$11,MATCH(R15,Lists!$B$2:$B$11,0)),INDEX('2. Use-Case Library'!$H$5:$H$244,MATCH($O15,'2. Use-Case Library'!$A$5:$A$244,0))))</f>
        <v>GenAI review of data-room documents against DD checklists with red-flag summaries.</v>
      </c>
      <c r="AG15" s="44" t="str">
        <f>IF(OR(B15="",O15="Custom"),"",INDEX('2. Use-Case Library'!$K$5:$K$244,MATCH($O15,'2. Use-Case Library'!$A$5:$A$244,0)))</f>
        <v>Confidentiality; NDA terms; verify findings.</v>
      </c>
      <c r="AH15" s="38">
        <f>IF(AB15="","",IF(AA15="Deprioritise",4,IF(W15="AI later - close data gap first",3,IF(OR(W15="Redesign / standardise first",W15="Stretch - partner or later stage",AA15="Strategic bet",Z15="High",S15=5),2,1))))</f>
        <v>1</v>
      </c>
      <c r="AI15" s="38">
        <f>IF(AC15="","",AH15*100+AC15)</f>
        <v>108</v>
      </c>
      <c r="AJ15" s="38" t="str">
        <f>IF(B15="","",IF(O15="Custom",B15,INDEX('2. Use-Case Library'!$D$5:$D$244,MATCH($O15,'2. Use-Case Library'!$A$5:$A$244,0))))</f>
        <v>Advisory - due-diligence data-room review</v>
      </c>
    </row>
    <row r="16" ht="52" customHeight="1">
      <c r="A16" s="14" t="n">
        <v>9</v>
      </c>
      <c r="B16" s="37" t="inlineStr">
        <is>
          <t>XI-54 | Meeting minutes &amp; action tracking</t>
        </is>
      </c>
      <c r="C16" s="37" t="n"/>
      <c r="D16" s="37" t="n"/>
      <c r="E16" s="37" t="n"/>
      <c r="F16" s="37" t="inlineStr">
        <is>
          <t>High (more than 1,000 a month)</t>
        </is>
      </c>
      <c r="G16" s="37" t="n">
        <v>250</v>
      </c>
      <c r="H16" s="37" t="inlineStr">
        <is>
          <t>Yes - documented and consistent</t>
        </is>
      </c>
      <c r="I16" s="37" t="inlineStr">
        <is>
          <t>Partial or paper-based</t>
        </is>
      </c>
      <c r="J16" s="37" t="n">
        <v>3</v>
      </c>
      <c r="K16" s="37" t="n">
        <v>3</v>
      </c>
      <c r="L16" s="37" t="inlineStr">
        <is>
          <t>No</t>
        </is>
      </c>
      <c r="M16" s="37" t="inlineStr">
        <is>
          <t>No</t>
        </is>
      </c>
      <c r="N16" s="37" t="inlineStr">
        <is>
          <t>Assist - AI suggests, a person does the work</t>
        </is>
      </c>
      <c r="O16" s="38" t="str">
        <f>IF(B16="","",IFERROR(INDEX('2. Use-Case Library'!$A$5:$A$244,MATCH(B16,'2. Use-Case Library'!$M$5:$M$244,0)),"Custom"))</f>
        <v>XI-54</v>
      </c>
      <c r="P16" s="39" t="str">
        <f>IF(B16="","",IF(O16="Custom",IF(E16="","(select function in E)",E16),INDEX('2. Use-Case Library'!$C$5:$C$244,MATCH($O16,'2. Use-Case Library'!$A$5:$A$244,0))))</f>
        <v>Strategy, management &amp; reporting</v>
      </c>
      <c r="Q16" s="39" t="str">
        <f>IF(B16="","",IF(D16&lt;&gt;"",D16,IF(O16="Custom","",INDEX('2. Use-Case Library'!$F$5:$F$244,MATCH($O16,'2. Use-Case Library'!$A$5:$A$244,0)))))</f>
        <v>Draft, summarise, translate or review text</v>
      </c>
      <c r="R16" s="39" t="str">
        <f>IF(Q16="","",INDEX(Lists!$B$2:$B$11,MATCH(Q16,Lists!$A$2:$A$11,0)))</f>
        <v>Generative AI assistant (off-the-shelf)</v>
      </c>
      <c r="S16" s="38">
        <f>IF(R16="","",INDEX(Lists!$C$2:$C$11,MATCH(R16,Lists!$B$2:$B$11,0)))</f>
        <v>3</v>
      </c>
      <c r="T16" s="38" t="str">
        <f>IF(R16="","",INDEX(Lists!$D$2:$D$11,MATCH(R16,Lists!$B$2:$B$11,0)))</f>
        <v>Yes</v>
      </c>
      <c r="U16" s="38" t="str">
        <f>IF(OR(R16="",I16=""),"",IF(INDEX(Lists!$N$2:$N$5,MATCH(I16,Lists!$M$2:$M$5,0))&gt;=INDEX(Lists!$E$2:$E$11,MATCH(R16,Lists!$B$2:$B$11,0)),"Data ready","Data gap"))</f>
        <v>Data ready</v>
      </c>
      <c r="V16" s="39" t="str">
        <f>IF(R16="","",IF(S16&lt;=IF('1. AI Position'!$C$30="",5,INDEX(Lists!$AI$2:$AI$5,'1. AI Position'!$C$30)),"Within current position","Beyond current position"))</f>
        <v>Within current position</v>
      </c>
      <c r="W16" s="40" t="str">
        <f>IF(B16="","",IF(OR(COUNTA(F16:N16)&lt;9,Q16=""),"Complete inputs",IF(H16="No - varies by person / team","Redesign / standardise first",IF(T16="No","Automate - AI not needed",IF(U16="Data gap","AI later - close data gap first",IF(V16="Beyond current position","Stretch - partner or later stage","AI fit now"))))))</f>
        <v>AI fit now</v>
      </c>
      <c r="X16" s="41">
        <f>IF(OR(W16="",W16="Complete inputs"),"",ROUND(0.3*INDEX(Lists!$N$8:$N$10,MATCH(F16,Lists!$M$8:$M$10,0))+0.25*IF(G16&lt;20,1,IF(G16&lt;80,2,IF(G16&lt;160,3,IF(G16&lt;480,4,5))))+0.25*J16+0.2*K16,2))</f>
        <v>3.85</v>
      </c>
      <c r="Y16" s="41">
        <f>IF(X16="","",ROUND(0.3*IF(U16="Data ready",5,IF(INDEX(Lists!$N$2:$N$5,MATCH(I16,Lists!$M$2:$M$5,0))=INDEX(Lists!$E$2:$E$11,MATCH(R16,Lists!$B$2:$B$11,0))-1,3,1))+0.25*INDEX(Lists!$N$13:$N$15,MATCH(H16,Lists!$M$13:$M$15,0))+0.25*(6-S16)+0.2*IF(V16="Within current position",5,2),2))</f>
        <v>4.5</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Low</v>
      </c>
      <c r="AA16" s="38" t="str">
        <f>IF(X16="","",IF(AND(X16&gt;=$C$4,Y16&gt;=$C$4),"Quick win",IF(X16&gt;=$C$4,"Strategic bet",IF(Y16&gt;=$C$4,"Fill-in","Deprioritise"))))</f>
        <v>Quick win</v>
      </c>
      <c r="AB16" s="41">
        <f>IF(X16="","",ROUND(X16*Y16*IF(Z16="High",0.85,1)*IF(W16="Redesign / standardise first",0.8,1),2))</f>
        <v>17.33</v>
      </c>
      <c r="AC16" s="42">
        <f>IF(AB16="","",RANK(AB16,$AB$8:$AB$57)+COUNTIF($AB$7:AB15,AB16))</f>
        <v>3</v>
      </c>
      <c r="AD16" s="39" t="str">
        <f>IF(AH16="","",INDEX(Lists!$AV$2:$AV$5,AH16))</f>
        <v>H1 - Now (0-6 months)</v>
      </c>
      <c r="AE16" s="43">
        <f>IF(AB16="","",ROUND(G16*12*INDEX(Lists!$F$2:$F$11,MATCH(R16,Lists!$B$2:$B$11,0)),0))</f>
        <v>900</v>
      </c>
      <c r="AF16" s="44" t="str">
        <f>IF(OR(B16="",R16=""),"",IF(O16="Custom",INDEX(Lists!$I$2:$I$11,MATCH(R16,Lists!$B$2:$B$11,0)),INDEX('2. Use-Case Library'!$H$5:$H$244,MATCH($O16,'2. Use-Case Library'!$A$5:$A$244,0))))</f>
        <v>Enterprise meeting assistant for transcripts, summaries and action tracking (with participant notice).</v>
      </c>
      <c r="AG16" s="44" t="str">
        <f>IF(OR(B16="",O16="Custom"),"",INDEX('2. Use-Case Library'!$K$5:$K$244,MATCH($O16,'2. Use-Case Library'!$A$5:$A$244,0)))</f>
        <v>Participant consent; confidential meetings excluded.</v>
      </c>
      <c r="AH16" s="38">
        <f>IF(AB16="","",IF(AA16="Deprioritise",4,IF(W16="AI later - close data gap first",3,IF(OR(W16="Redesign / standardise first",W16="Stretch - partner or later stage",AA16="Strategic bet",Z16="High",S16=5),2,1))))</f>
        <v>1</v>
      </c>
      <c r="AI16" s="38">
        <f>IF(AC16="","",AH16*100+AC16)</f>
        <v>103</v>
      </c>
      <c r="AJ16" s="38" t="str">
        <f>IF(B16="","",IF(O16="Custom",B16,INDEX('2. Use-Case Library'!$D$5:$D$244,MATCH($O16,'2. Use-Case Library'!$A$5:$A$244,0))))</f>
        <v>Meeting minutes &amp; action tracking</v>
      </c>
    </row>
    <row r="17" ht="52" customHeight="1">
      <c r="A17" s="14" t="n">
        <v>10</v>
      </c>
      <c r="B17" s="37" t="inlineStr">
        <is>
          <t>PRO-15 | Methodology &amp; knowledge Q&amp;A</t>
        </is>
      </c>
      <c r="C17" s="37" t="n"/>
      <c r="D17" s="37" t="n"/>
      <c r="E17" s="37" t="n"/>
      <c r="F17" s="37" t="inlineStr">
        <is>
          <t>High (more than 1,000 a month)</t>
        </is>
      </c>
      <c r="G17" s="37" t="n">
        <v>200</v>
      </c>
      <c r="H17" s="37" t="inlineStr">
        <is>
          <t>Partly - common steps, some variation</t>
        </is>
      </c>
      <c r="I17" s="37" t="inlineStr">
        <is>
          <t>Digital history available</t>
        </is>
      </c>
      <c r="J17" s="37" t="n">
        <v>4</v>
      </c>
      <c r="K17" s="37" t="n">
        <v>3</v>
      </c>
      <c r="L17" s="37" t="inlineStr">
        <is>
          <t>No</t>
        </is>
      </c>
      <c r="M17" s="37" t="inlineStr">
        <is>
          <t>No</t>
        </is>
      </c>
      <c r="N17" s="37" t="inlineStr">
        <is>
          <t>Assist - AI suggests, a person does the work</t>
        </is>
      </c>
      <c r="O17" s="38" t="str">
        <f>IF(B17="","",IFERROR(INDEX('2. Use-Case Library'!$A$5:$A$244,MATCH(B17,'2. Use-Case Library'!$M$5:$M$244,0)),"Custom"))</f>
        <v>PRO-15</v>
      </c>
      <c r="P17" s="39" t="str">
        <f>IF(B17="","",IF(O17="Custom",IF(E17="","(select function in E)",E17),INDEX('2. Use-Case Library'!$C$5:$C$244,MATCH($O17,'2. Use-Case Library'!$A$5:$A$244,0))))</f>
        <v>Knowledge &amp; collaboration</v>
      </c>
      <c r="Q17" s="39" t="str">
        <f>IF(B17="","",IF(D17&lt;&gt;"",D17,IF(O17="Custom","",INDEX('2. Use-Case Library'!$F$5:$F$244,MATCH($O17,'2. Use-Case Library'!$A$5:$A$244,0)))))</f>
        <v>Answer questions from internal knowledge, policies or past work</v>
      </c>
      <c r="R17" s="39" t="str">
        <f>IF(Q17="","",INDEX(Lists!$B$2:$B$11,MATCH(Q17,Lists!$A$2:$A$11,0)))</f>
        <v>GenAI knowledge assistant (RAG on own content)</v>
      </c>
      <c r="S17" s="38">
        <f>IF(R17="","",INDEX(Lists!$C$2:$C$11,MATCH(R17,Lists!$B$2:$B$11,0)))</f>
        <v>4</v>
      </c>
      <c r="T17" s="38" t="str">
        <f>IF(R17="","",INDEX(Lists!$D$2:$D$11,MATCH(R17,Lists!$B$2:$B$11,0)))</f>
        <v>Yes</v>
      </c>
      <c r="U17" s="38" t="str">
        <f>IF(OR(R17="",I17=""),"",IF(INDEX(Lists!$N$2:$N$5,MATCH(I17,Lists!$M$2:$M$5,0))&gt;=INDEX(Lists!$E$2:$E$11,MATCH(R17,Lists!$B$2:$B$11,0)),"Data ready","Data gap"))</f>
        <v>Data ready</v>
      </c>
      <c r="V17" s="39" t="str">
        <f>IF(R17="","",IF(S17&lt;=IF('1. AI Position'!$C$30="",5,INDEX(Lists!$AI$2:$AI$5,'1. AI Position'!$C$30)),"Within current position","Beyond current position"))</f>
        <v>Within current position</v>
      </c>
      <c r="W17" s="40" t="str">
        <f>IF(B17="","",IF(OR(COUNTA(F17:N17)&lt;9,Q17=""),"Complete inputs",IF(H17="No - varies by person / team","Redesign / standardise first",IF(T17="No","Automate - AI not needed",IF(U17="Data gap","AI later - close data gap first",IF(V17="Beyond current position","Stretch - partner or later stage","AI fit now"))))))</f>
        <v>AI fit now</v>
      </c>
      <c r="X17" s="41">
        <f>IF(OR(W17="",W17="Complete inputs"),"",ROUND(0.3*INDEX(Lists!$N$8:$N$10,MATCH(F17,Lists!$M$8:$M$10,0))+0.25*IF(G17&lt;20,1,IF(G17&lt;80,2,IF(G17&lt;160,3,IF(G17&lt;480,4,5))))+0.25*J17+0.2*K17,2))</f>
        <v>4.1</v>
      </c>
      <c r="Y17" s="41">
        <f>IF(X17="","",ROUND(0.3*IF(U17="Data ready",5,IF(INDEX(Lists!$N$2:$N$5,MATCH(I17,Lists!$M$2:$M$5,0))=INDEX(Lists!$E$2:$E$11,MATCH(R17,Lists!$B$2:$B$11,0))-1,3,1))+0.25*INDEX(Lists!$N$13:$N$15,MATCH(H17,Lists!$M$13:$M$15,0))+0.25*(6-S17)+0.2*IF(V17="Within current position",5,2),2))</f>
        <v>3.75</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Low</v>
      </c>
      <c r="AA17" s="38" t="str">
        <f>IF(X17="","",IF(AND(X17&gt;=$C$4,Y17&gt;=$C$4),"Quick win",IF(X17&gt;=$C$4,"Strategic bet",IF(Y17&gt;=$C$4,"Fill-in","Deprioritise"))))</f>
        <v>Quick win</v>
      </c>
      <c r="AB17" s="41">
        <f>IF(X17="","",ROUND(X17*Y17*IF(Z17="High",0.85,1)*IF(W17="Redesign / standardise first",0.8,1),2))</f>
        <v>15.38</v>
      </c>
      <c r="AC17" s="42">
        <f>IF(AB17="","",RANK(AB17,$AB$8:$AB$57)+COUNTIF($AB$7:AB16,AB17))</f>
        <v>7</v>
      </c>
      <c r="AD17" s="39" t="str">
        <f>IF(AH17="","",INDEX(Lists!$AV$2:$AV$5,AH17))</f>
        <v>H1 - Now (0-6 months)</v>
      </c>
      <c r="AE17" s="43">
        <f>IF(AB17="","",ROUND(G17*12*INDEX(Lists!$F$2:$F$11,MATCH(R17,Lists!$B$2:$B$11,0)),0))</f>
        <v>600</v>
      </c>
      <c r="AF17" s="44" t="str">
        <f>IF(OR(B17="",R17=""),"",IF(O17="Custom",INDEX(Lists!$I$2:$I$11,MATCH(R17,Lists!$B$2:$B$11,0)),INDEX('2. Use-Case Library'!$H$5:$H$244,MATCH($O17,'2. Use-Case Library'!$A$5:$A$244,0))))</f>
        <v>Grounded assistant over firm methodologies and sanitised precedents.</v>
      </c>
      <c r="AG17" s="44" t="str">
        <f>IF(OR(B17="",O17="Custom"),"",INDEX('2. Use-Case Library'!$K$5:$K$244,MATCH($O17,'2. Use-Case Library'!$A$5:$A$244,0)))</f>
        <v>Client confidentiality in precedents.</v>
      </c>
      <c r="AH17" s="38">
        <f>IF(AB17="","",IF(AA17="Deprioritise",4,IF(W17="AI later - close data gap first",3,IF(OR(W17="Redesign / standardise first",W17="Stretch - partner or later stage",AA17="Strategic bet",Z17="High",S17=5),2,1))))</f>
        <v>1</v>
      </c>
      <c r="AI17" s="38">
        <f>IF(AC17="","",AH17*100+AC17)</f>
        <v>107</v>
      </c>
      <c r="AJ17" s="38" t="str">
        <f>IF(B17="","",IF(O17="Custom",B17,INDEX('2. Use-Case Library'!$D$5:$D$244,MATCH($O17,'2. Use-Case Library'!$A$5:$A$244,0))))</f>
        <v>Methodology &amp; knowledge Q&amp;A</v>
      </c>
    </row>
    <row r="18" ht="52" customHeight="1">
      <c r="A18" s="14" t="n">
        <v>11</v>
      </c>
      <c r="B18" s="37" t="inlineStr">
        <is>
          <t>PRO-08 | Client acceptance &amp; independence checks</t>
        </is>
      </c>
      <c r="C18" s="37" t="n"/>
      <c r="D18" s="37" t="n"/>
      <c r="E18" s="37" t="n"/>
      <c r="F18" s="37" t="inlineStr">
        <is>
          <t>Medium (100 - 1,000 a month)</t>
        </is>
      </c>
      <c r="G18" s="37" t="n">
        <v>140</v>
      </c>
      <c r="H18" s="37" t="inlineStr">
        <is>
          <t>Yes - documented and consistent</t>
        </is>
      </c>
      <c r="I18" s="37" t="inlineStr">
        <is>
          <t>Digital history available</t>
        </is>
      </c>
      <c r="J18" s="37" t="n">
        <v>4</v>
      </c>
      <c r="K18" s="37" t="n">
        <v>4</v>
      </c>
      <c r="L18" s="37" t="inlineStr">
        <is>
          <t>No</t>
        </is>
      </c>
      <c r="M18" s="37" t="inlineStr">
        <is>
          <t>Yes</t>
        </is>
      </c>
      <c r="N18" s="37" t="inlineStr">
        <is>
          <t>Human approves each AI output</t>
        </is>
      </c>
      <c r="O18" s="38" t="str">
        <f>IF(B18="","",IFERROR(INDEX('2. Use-Case Library'!$A$5:$A$244,MATCH(B18,'2. Use-Case Library'!$M$5:$M$244,0)),"Custom"))</f>
        <v>PRO-08</v>
      </c>
      <c r="P18" s="39" t="str">
        <f>IF(B18="","",IF(O18="Custom",IF(E18="","(select function in E)",E18),INDEX('2. Use-Case Library'!$C$5:$C$244,MATCH($O18,'2. Use-Case Library'!$A$5:$A$244,0))))</f>
        <v>Risk, compliance &amp; legal</v>
      </c>
      <c r="Q18" s="39" t="str">
        <f>IF(B18="","",IF(D18&lt;&gt;"",D18,IF(O18="Custom","",INDEX('2. Use-Case Library'!$F$5:$F$244,MATCH($O18,'2. Use-Case Library'!$A$5:$A$244,0)))))</f>
        <v>Check or approve items against fixed criteria (rules, thresholds, checklists)</v>
      </c>
      <c r="R18" s="39" t="str">
        <f>IF(Q18="","",INDEX(Lists!$B$2:$B$11,MATCH(Q18,Lists!$A$2:$A$11,0)))</f>
        <v>Rules engine / workflow automation</v>
      </c>
      <c r="S18" s="38">
        <f>IF(R18="","",INDEX(Lists!$C$2:$C$11,MATCH(R18,Lists!$B$2:$B$11,0)))</f>
        <v>2</v>
      </c>
      <c r="T18" s="38" t="str">
        <f>IF(R18="","",INDEX(Lists!$D$2:$D$11,MATCH(R18,Lists!$B$2:$B$11,0)))</f>
        <v>No</v>
      </c>
      <c r="U18" s="38" t="str">
        <f>IF(OR(R18="",I18=""),"",IF(INDEX(Lists!$N$2:$N$5,MATCH(I18,Lists!$M$2:$M$5,0))&gt;=INDEX(Lists!$E$2:$E$11,MATCH(R18,Lists!$B$2:$B$11,0)),"Data ready","Data gap"))</f>
        <v>Data ready</v>
      </c>
      <c r="V18" s="39" t="str">
        <f>IF(R18="","",IF(S18&lt;=IF('1. AI Position'!$C$30="",5,INDEX(Lists!$AI$2:$AI$5,'1. AI Position'!$C$30)),"Within current position","Beyond current position"))</f>
        <v>Within current position</v>
      </c>
      <c r="W18" s="40" t="str">
        <f>IF(B18="","",IF(OR(COUNTA(F18:N18)&lt;9,Q18=""),"Complete inputs",IF(H18="No - varies by person / team","Redesign / standardise first",IF(T18="No","Automate - AI not needed",IF(U18="Data gap","AI later - close data gap first",IF(V18="Beyond current position","Stretch - partner or later stage","AI fit now"))))))</f>
        <v>Automate - AI not needed</v>
      </c>
      <c r="X18" s="41">
        <f>IF(OR(W18="",W18="Complete inputs"),"",ROUND(0.3*INDEX(Lists!$N$8:$N$10,MATCH(F18,Lists!$M$8:$M$10,0))+0.25*IF(G18&lt;20,1,IF(G18&lt;80,2,IF(G18&lt;160,3,IF(G18&lt;480,4,5))))+0.25*J18+0.2*K18,2))</f>
        <v>3.45</v>
      </c>
      <c r="Y18" s="41">
        <f>IF(X18="","",ROUND(0.3*IF(U18="Data ready",5,IF(INDEX(Lists!$N$2:$N$5,MATCH(I18,Lists!$M$2:$M$5,0))=INDEX(Lists!$E$2:$E$11,MATCH(R18,Lists!$B$2:$B$11,0))-1,3,1))+0.25*INDEX(Lists!$N$13:$N$15,MATCH(H18,Lists!$M$13:$M$15,0))+0.25*(6-S18)+0.2*IF(V18="Within current position",5,2),2))</f>
        <v>4.75</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Low</v>
      </c>
      <c r="AA18" s="38" t="str">
        <f>IF(X18="","",IF(AND(X18&gt;=$C$4,Y18&gt;=$C$4),"Quick win",IF(X18&gt;=$C$4,"Strategic bet",IF(Y18&gt;=$C$4,"Fill-in","Deprioritise"))))</f>
        <v>Quick win</v>
      </c>
      <c r="AB18" s="41">
        <f>IF(X18="","",ROUND(X18*Y18*IF(Z18="High",0.85,1)*IF(W18="Redesign / standardise first",0.8,1),2))</f>
        <v>16.39</v>
      </c>
      <c r="AC18" s="42">
        <f>IF(AB18="","",RANK(AB18,$AB$8:$AB$57)+COUNTIF($AB$7:AB17,AB18))</f>
        <v>5</v>
      </c>
      <c r="AD18" s="39" t="str">
        <f>IF(AH18="","",INDEX(Lists!$AV$2:$AV$5,AH18))</f>
        <v>H1 - Now (0-6 months)</v>
      </c>
      <c r="AE18" s="43">
        <f>IF(AB18="","",ROUND(G18*12*INDEX(Lists!$F$2:$F$11,MATCH(R18,Lists!$B$2:$B$11,0)),0))</f>
        <v>840</v>
      </c>
      <c r="AF18" s="44" t="str">
        <f>IF(OR(B18="",R18=""),"",IF(O18="Custom",INDEX(Lists!$I$2:$I$11,MATCH(R18,Lists!$B$2:$B$11,0)),INDEX('2. Use-Case Library'!$H$5:$H$244,MATCH($O18,'2. Use-Case Library'!$A$5:$A$244,0))))</f>
        <v>Workflow with rules-based independence and conflict checks against the client database.</v>
      </c>
      <c r="AG18" s="44" t="str">
        <f>IF(OR(B18="",O18="Custom"),"",INDEX('2. Use-Case Library'!$K$5:$K$244,MATCH($O18,'2. Use-Case Library'!$A$5:$A$244,0)))</f>
        <v>IESBA Code; ISQM 1.</v>
      </c>
      <c r="AH18" s="38">
        <f>IF(AB18="","",IF(AA18="Deprioritise",4,IF(W18="AI later - close data gap first",3,IF(OR(W18="Redesign / standardise first",W18="Stretch - partner or later stage",AA18="Strategic bet",Z18="High",S18=5),2,1))))</f>
        <v>1</v>
      </c>
      <c r="AI18" s="38">
        <f>IF(AC18="","",AH18*100+AC18)</f>
        <v>105</v>
      </c>
      <c r="AJ18" s="38" t="str">
        <f>IF(B18="","",IF(O18="Custom",B18,INDEX('2. Use-Case Library'!$D$5:$D$244,MATCH($O18,'2. Use-Case Library'!$A$5:$A$244,0))))</f>
        <v>Client acceptance &amp; independence checks</v>
      </c>
    </row>
    <row r="19" ht="52" customHeight="1">
      <c r="A19" s="14" t="n">
        <v>12</v>
      </c>
      <c r="B19" s="37" t="inlineStr">
        <is>
          <t>PRO-09 | Timesheets, WIP &amp; billing</t>
        </is>
      </c>
      <c r="C19" s="37" t="n"/>
      <c r="D19" s="37" t="n"/>
      <c r="E19" s="37" t="n"/>
      <c r="F19" s="37" t="inlineStr">
        <is>
          <t>High (more than 1,000 a month)</t>
        </is>
      </c>
      <c r="G19" s="37" t="n">
        <v>180</v>
      </c>
      <c r="H19" s="37" t="inlineStr">
        <is>
          <t>Yes - documented and consistent</t>
        </is>
      </c>
      <c r="I19" s="37" t="inlineStr">
        <is>
          <t>Digital history with recorded outcomes</t>
        </is>
      </c>
      <c r="J19" s="37" t="n">
        <v>3</v>
      </c>
      <c r="K19" s="37" t="n">
        <v>3</v>
      </c>
      <c r="L19" s="37" t="inlineStr">
        <is>
          <t>No</t>
        </is>
      </c>
      <c r="M19" s="37" t="inlineStr">
        <is>
          <t>No</t>
        </is>
      </c>
      <c r="N19" s="37" t="inlineStr">
        <is>
          <t>Human approves each AI output</t>
        </is>
      </c>
      <c r="O19" s="38" t="str">
        <f>IF(B19="","",IFERROR(INDEX('2. Use-Case Library'!$A$5:$A$244,MATCH(B19,'2. Use-Case Library'!$M$5:$M$244,0)),"Custom"))</f>
        <v>PRO-09</v>
      </c>
      <c r="P19" s="39" t="str">
        <f>IF(B19="","",IF(O19="Custom",IF(E19="","(select function in E)",E19),INDEX('2. Use-Case Library'!$C$5:$C$244,MATCH($O19,'2. Use-Case Library'!$A$5:$A$244,0))))</f>
        <v>Finance &amp; accounting</v>
      </c>
      <c r="Q19" s="39" t="str">
        <f>IF(B19="","",IF(D19&lt;&gt;"",D19,IF(O19="Custom","",INDEX('2. Use-Case Library'!$F$5:$F$244,MATCH($O19,'2. Use-Case Library'!$A$5:$A$244,0)))))</f>
        <v>Move or re-key data between systems following fixed rules</v>
      </c>
      <c r="R19" s="39" t="str">
        <f>IF(Q19="","",INDEX(Lists!$B$2:$B$11,MATCH(Q19,Lists!$A$2:$A$11,0)))</f>
        <v>Workflow automation / RPA</v>
      </c>
      <c r="S19" s="38">
        <f>IF(R19="","",INDEX(Lists!$C$2:$C$11,MATCH(R19,Lists!$B$2:$B$11,0)))</f>
        <v>2</v>
      </c>
      <c r="T19" s="38" t="str">
        <f>IF(R19="","",INDEX(Lists!$D$2:$D$11,MATCH(R19,Lists!$B$2:$B$11,0)))</f>
        <v>No</v>
      </c>
      <c r="U19" s="38" t="str">
        <f>IF(OR(R19="",I19=""),"",IF(INDEX(Lists!$N$2:$N$5,MATCH(I19,Lists!$M$2:$M$5,0))&gt;=INDEX(Lists!$E$2:$E$11,MATCH(R19,Lists!$B$2:$B$11,0)),"Data ready","Data gap"))</f>
        <v>Data ready</v>
      </c>
      <c r="V19" s="39" t="str">
        <f>IF(R19="","",IF(S19&lt;=IF('1. AI Position'!$C$30="",5,INDEX(Lists!$AI$2:$AI$5,'1. AI Position'!$C$30)),"Within current position","Beyond current position"))</f>
        <v>Within current position</v>
      </c>
      <c r="W19" s="40" t="str">
        <f>IF(B19="","",IF(OR(COUNTA(F19:N19)&lt;9,Q19=""),"Complete inputs",IF(H19="No - varies by person / team","Redesign / standardise first",IF(T19="No","Automate - AI not needed",IF(U19="Data gap","AI later - close data gap first",IF(V19="Beyond current position","Stretch - partner or later stage","AI fit now"))))))</f>
        <v>Automate - AI not needed</v>
      </c>
      <c r="X19" s="41">
        <f>IF(OR(W19="",W19="Complete inputs"),"",ROUND(0.3*INDEX(Lists!$N$8:$N$10,MATCH(F19,Lists!$M$8:$M$10,0))+0.25*IF(G19&lt;20,1,IF(G19&lt;80,2,IF(G19&lt;160,3,IF(G19&lt;480,4,5))))+0.25*J19+0.2*K19,2))</f>
        <v>3.85</v>
      </c>
      <c r="Y19" s="41">
        <f>IF(X19="","",ROUND(0.3*IF(U19="Data ready",5,IF(INDEX(Lists!$N$2:$N$5,MATCH(I19,Lists!$M$2:$M$5,0))=INDEX(Lists!$E$2:$E$11,MATCH(R19,Lists!$B$2:$B$11,0))-1,3,1))+0.25*INDEX(Lists!$N$13:$N$15,MATCH(H19,Lists!$M$13:$M$15,0))+0.25*(6-S19)+0.2*IF(V19="Within current position",5,2),2))</f>
        <v>4.75</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Low</v>
      </c>
      <c r="AA19" s="38" t="str">
        <f>IF(X19="","",IF(AND(X19&gt;=$C$4,Y19&gt;=$C$4),"Quick win",IF(X19&gt;=$C$4,"Strategic bet",IF(Y19&gt;=$C$4,"Fill-in","Deprioritise"))))</f>
        <v>Quick win</v>
      </c>
      <c r="AB19" s="41">
        <f>IF(X19="","",ROUND(X19*Y19*IF(Z19="High",0.85,1)*IF(W19="Redesign / standardise first",0.8,1),2))</f>
        <v>18.29</v>
      </c>
      <c r="AC19" s="42">
        <f>IF(AB19="","",RANK(AB19,$AB$8:$AB$57)+COUNTIF($AB$7:AB18,AB19))</f>
        <v>2</v>
      </c>
      <c r="AD19" s="39" t="str">
        <f>IF(AH19="","",INDEX(Lists!$AV$2:$AV$5,AH19))</f>
        <v>H1 - Now (0-6 months)</v>
      </c>
      <c r="AE19" s="43">
        <f>IF(AB19="","",ROUND(G19*12*INDEX(Lists!$F$2:$F$11,MATCH(R19,Lists!$B$2:$B$11,0)),0))</f>
        <v>1296</v>
      </c>
      <c r="AF19" s="44" t="str">
        <f>IF(OR(B19="",R19=""),"",IF(O19="Custom",INDEX(Lists!$I$2:$I$11,MATCH(R19,Lists!$B$2:$B$11,0)),INDEX('2. Use-Case Library'!$H$5:$H$244,MATCH($O19,'2. Use-Case Library'!$A$5:$A$244,0))))</f>
        <v>Automated timesheet reminders, WIP reports and draft billing narratives.</v>
      </c>
      <c r="AG19" s="44" t="str">
        <f>IF(OR(B19="",O19="Custom"),"",INDEX('2. Use-Case Library'!$K$5:$K$244,MATCH($O19,'2. Use-Case Library'!$A$5:$A$244,0)))</f>
        <v>-</v>
      </c>
      <c r="AH19" s="38">
        <f>IF(AB19="","",IF(AA19="Deprioritise",4,IF(W19="AI later - close data gap first",3,IF(OR(W19="Redesign / standardise first",W19="Stretch - partner or later stage",AA19="Strategic bet",Z19="High",S19=5),2,1))))</f>
        <v>1</v>
      </c>
      <c r="AI19" s="38">
        <f>IF(AC19="","",AH19*100+AC19)</f>
        <v>102</v>
      </c>
      <c r="AJ19" s="38" t="str">
        <f>IF(B19="","",IF(O19="Custom",B19,INDEX('2. Use-Case Library'!$D$5:$D$244,MATCH($O19,'2. Use-Case Library'!$A$5:$A$244,0))))</f>
        <v>Timesheets, WIP &amp; billing</v>
      </c>
    </row>
    <row r="20" ht="52" customHeight="1">
      <c r="A20" s="14" t="n">
        <v>13</v>
      </c>
      <c r="B20" s="37" t="inlineStr">
        <is>
          <t>XI-09 | Expense claims audit</t>
        </is>
      </c>
      <c r="C20" s="37" t="n"/>
      <c r="D20" s="37" t="n"/>
      <c r="E20" s="37" t="n"/>
      <c r="F20" s="37" t="inlineStr">
        <is>
          <t>Medium (100 - 1,000 a month)</t>
        </is>
      </c>
      <c r="G20" s="37" t="n">
        <v>60</v>
      </c>
      <c r="H20" s="37" t="inlineStr">
        <is>
          <t>Yes - documented and consistent</t>
        </is>
      </c>
      <c r="I20" s="37" t="inlineStr">
        <is>
          <t>Digital history available</t>
        </is>
      </c>
      <c r="J20" s="37" t="n">
        <v>2</v>
      </c>
      <c r="K20" s="37" t="n">
        <v>2</v>
      </c>
      <c r="L20" s="37" t="inlineStr">
        <is>
          <t>No</t>
        </is>
      </c>
      <c r="M20" s="37" t="inlineStr">
        <is>
          <t>Yes</t>
        </is>
      </c>
      <c r="N20" s="37" t="inlineStr">
        <is>
          <t>Human approves each AI output</t>
        </is>
      </c>
      <c r="O20" s="38" t="str">
        <f>IF(B20="","",IFERROR(INDEX('2. Use-Case Library'!$A$5:$A$244,MATCH(B20,'2. Use-Case Library'!$M$5:$M$244,0)),"Custom"))</f>
        <v>XI-09</v>
      </c>
      <c r="P20" s="39" t="str">
        <f>IF(B20="","",IF(O20="Custom",IF(E20="","(select function in E)",E20),INDEX('2. Use-Case Library'!$C$5:$C$244,MATCH($O20,'2. Use-Case Library'!$A$5:$A$244,0))))</f>
        <v>Finance &amp; accounting</v>
      </c>
      <c r="Q20" s="39" t="str">
        <f>IF(B20="","",IF(D20&lt;&gt;"",D20,IF(O20="Custom","",INDEX('2. Use-Case Library'!$F$5:$F$244,MATCH($O20,'2. Use-Case Library'!$A$5:$A$244,0)))))</f>
        <v>Extract information from documents, forms or emails</v>
      </c>
      <c r="R20" s="39" t="str">
        <f>IF(Q20="","",INDEX(Lists!$B$2:$B$11,MATCH(Q20,Lists!$A$2:$A$11,0)))</f>
        <v>Intelligent document processing (IDP)</v>
      </c>
      <c r="S20" s="38">
        <f>IF(R20="","",INDEX(Lists!$C$2:$C$11,MATCH(R20,Lists!$B$2:$B$11,0)))</f>
        <v>3</v>
      </c>
      <c r="T20" s="38" t="str">
        <f>IF(R20="","",INDEX(Lists!$D$2:$D$11,MATCH(R20,Lists!$B$2:$B$11,0)))</f>
        <v>Light</v>
      </c>
      <c r="U20" s="38" t="str">
        <f>IF(OR(R20="",I20=""),"",IF(INDEX(Lists!$N$2:$N$5,MATCH(I20,Lists!$M$2:$M$5,0))&gt;=INDEX(Lists!$E$2:$E$11,MATCH(R20,Lists!$B$2:$B$11,0)),"Data ready","Data gap"))</f>
        <v>Data ready</v>
      </c>
      <c r="V20" s="39" t="str">
        <f>IF(R20="","",IF(S20&lt;=IF('1. AI Position'!$C$30="",5,INDEX(Lists!$AI$2:$AI$5,'1. AI Position'!$C$30)),"Within current position","Beyond current position"))</f>
        <v>Within current position</v>
      </c>
      <c r="W20" s="40" t="str">
        <f>IF(B20="","",IF(OR(COUNTA(F20:N20)&lt;9,Q20=""),"Complete inputs",IF(H20="No - varies by person / team","Redesign / standardise first",IF(T20="No","Automate - AI not needed",IF(U20="Data gap","AI later - close data gap first",IF(V20="Beyond current position","Stretch - partner or later stage","AI fit now"))))))</f>
        <v>AI fit now</v>
      </c>
      <c r="X20" s="41">
        <f>IF(OR(W20="",W20="Complete inputs"),"",ROUND(0.3*INDEX(Lists!$N$8:$N$10,MATCH(F20,Lists!$M$8:$M$10,0))+0.25*IF(G20&lt;20,1,IF(G20&lt;80,2,IF(G20&lt;160,3,IF(G20&lt;480,4,5))))+0.25*J20+0.2*K20,2))</f>
        <v>2.3</v>
      </c>
      <c r="Y20" s="41">
        <f>IF(X20="","",ROUND(0.3*IF(U20="Data ready",5,IF(INDEX(Lists!$N$2:$N$5,MATCH(I20,Lists!$M$2:$M$5,0))=INDEX(Lists!$E$2:$E$11,MATCH(R20,Lists!$B$2:$B$11,0))-1,3,1))+0.25*INDEX(Lists!$N$13:$N$15,MATCH(H20,Lists!$M$13:$M$15,0))+0.25*(6-S20)+0.2*IF(V20="Within current position",5,2),2))</f>
        <v>4.5</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Medium</v>
      </c>
      <c r="AA20" s="38" t="str">
        <f>IF(X20="","",IF(AND(X20&gt;=$C$4,Y20&gt;=$C$4),"Quick win",IF(X20&gt;=$C$4,"Strategic bet",IF(Y20&gt;=$C$4,"Fill-in","Deprioritise"))))</f>
        <v>Fill-in</v>
      </c>
      <c r="AB20" s="41">
        <f>IF(X20="","",ROUND(X20*Y20*IF(Z20="High",0.85,1)*IF(W20="Redesign / standardise first",0.8,1),2))</f>
        <v>10.35</v>
      </c>
      <c r="AC20" s="42">
        <f>IF(AB20="","",RANK(AB20,$AB$8:$AB$57)+COUNTIF($AB$7:AB19,AB20))</f>
        <v>18</v>
      </c>
      <c r="AD20" s="39" t="str">
        <f>IF(AH20="","",INDEX(Lists!$AV$2:$AV$5,AH20))</f>
        <v>H1 - Now (0-6 months)</v>
      </c>
      <c r="AE20" s="43">
        <f>IF(AB20="","",ROUND(G20*12*INDEX(Lists!$F$2:$F$11,MATCH(R20,Lists!$B$2:$B$11,0)),0))</f>
        <v>360</v>
      </c>
      <c r="AF20" s="44" t="str">
        <f>IF(OR(B20="",R20=""),"",IF(O20="Custom",INDEX(Lists!$I$2:$I$11,MATCH(R20,Lists!$B$2:$B$11,0)),INDEX('2. Use-Case Library'!$H$5:$H$244,MATCH($O20,'2. Use-Case Library'!$A$5:$A$244,0))))</f>
        <v>Receipt capture with IDP, a rules engine for policy checks and duplicate / anomaly flags for review.</v>
      </c>
      <c r="AG20" s="44" t="str">
        <f>IF(OR(B20="",O20="Custom"),"",INDEX('2. Use-Case Library'!$K$5:$K$244,MATCH($O20,'2. Use-Case Library'!$A$5:$A$244,0)))</f>
        <v>Employee data - PDPL; transparent policy rules.</v>
      </c>
      <c r="AH20" s="38">
        <f>IF(AB20="","",IF(AA20="Deprioritise",4,IF(W20="AI later - close data gap first",3,IF(OR(W20="Redesign / standardise first",W20="Stretch - partner or later stage",AA20="Strategic bet",Z20="High",S20=5),2,1))))</f>
        <v>1</v>
      </c>
      <c r="AI20" s="38">
        <f>IF(AC20="","",AH20*100+AC20)</f>
        <v>118</v>
      </c>
      <c r="AJ20" s="38" t="str">
        <f>IF(B20="","",IF(O20="Custom",B20,INDEX('2. Use-Case Library'!$D$5:$D$244,MATCH($O20,'2. Use-Case Library'!$A$5:$A$244,0))))</f>
        <v>Expense claims audit</v>
      </c>
    </row>
    <row r="21" ht="52" customHeight="1">
      <c r="A21" s="14" t="n">
        <v>14</v>
      </c>
      <c r="B21" s="37" t="inlineStr">
        <is>
          <t>XI-14 | CV screening &amp; shortlisting</t>
        </is>
      </c>
      <c r="C21" s="37" t="n"/>
      <c r="D21" s="37" t="n"/>
      <c r="E21" s="37" t="n"/>
      <c r="F21" s="37" t="inlineStr">
        <is>
          <t>Medium (100 - 1,000 a month)</t>
        </is>
      </c>
      <c r="G21" s="37" t="n">
        <v>80</v>
      </c>
      <c r="H21" s="37" t="inlineStr">
        <is>
          <t>Partly - common steps, some variation</t>
        </is>
      </c>
      <c r="I21" s="37" t="inlineStr">
        <is>
          <t>Partial or paper-based</t>
        </is>
      </c>
      <c r="J21" s="37" t="n">
        <v>3</v>
      </c>
      <c r="K21" s="37" t="n">
        <v>3</v>
      </c>
      <c r="L21" s="37" t="inlineStr">
        <is>
          <t>Yes</t>
        </is>
      </c>
      <c r="M21" s="37" t="inlineStr">
        <is>
          <t>Yes</t>
        </is>
      </c>
      <c r="N21" s="37" t="inlineStr">
        <is>
          <t>Human approves each AI output</t>
        </is>
      </c>
      <c r="O21" s="38" t="str">
        <f>IF(B21="","",IFERROR(INDEX('2. Use-Case Library'!$A$5:$A$244,MATCH(B21,'2. Use-Case Library'!$M$5:$M$244,0)),"Custom"))</f>
        <v>XI-14</v>
      </c>
      <c r="P21" s="39" t="str">
        <f>IF(B21="","",IF(O21="Custom",IF(E21="","(select function in E)",E21),INDEX('2. Use-Case Library'!$C$5:$C$244,MATCH($O21,'2. Use-Case Library'!$A$5:$A$244,0))))</f>
        <v>HR &amp; people</v>
      </c>
      <c r="Q21" s="39" t="str">
        <f>IF(B21="","",IF(D21&lt;&gt;"",D21,IF(O21="Custom","",INDEX('2. Use-Case Library'!$F$5:$F$244,MATCH($O21,'2. Use-Case Library'!$A$5:$A$244,0)))))</f>
        <v>Forecast, score, classify or detect anomalies from historical data</v>
      </c>
      <c r="R21" s="39" t="str">
        <f>IF(Q21="","",INDEX(Lists!$B$2:$B$11,MATCH(Q21,Lists!$A$2:$A$11,0)))</f>
        <v>Predictive analytics / machine learning</v>
      </c>
      <c r="S21" s="38">
        <f>IF(R21="","",INDEX(Lists!$C$2:$C$11,MATCH(R21,Lists!$B$2:$B$11,0)))</f>
        <v>5</v>
      </c>
      <c r="T21" s="38" t="str">
        <f>IF(R21="","",INDEX(Lists!$D$2:$D$11,MATCH(R21,Lists!$B$2:$B$11,0)))</f>
        <v>Yes</v>
      </c>
      <c r="U21" s="38" t="str">
        <f>IF(OR(R21="",I21=""),"",IF(INDEX(Lists!$N$2:$N$5,MATCH(I21,Lists!$M$2:$M$5,0))&gt;=INDEX(Lists!$E$2:$E$11,MATCH(R21,Lists!$B$2:$B$11,0)),"Data ready","Data gap"))</f>
        <v>Data gap</v>
      </c>
      <c r="V21" s="39" t="str">
        <f>IF(R21="","",IF(S21&lt;=IF('1. AI Position'!$C$30="",5,INDEX(Lists!$AI$2:$AI$5,'1. AI Position'!$C$30)),"Within current position","Beyond current position"))</f>
        <v>Beyond current position</v>
      </c>
      <c r="W21" s="40" t="str">
        <f>IF(B21="","",IF(OR(COUNTA(F21:N21)&lt;9,Q21=""),"Complete inputs",IF(H21="No - varies by person / team","Redesign / standardise first",IF(T21="No","Automate - AI not needed",IF(U21="Data gap","AI later - close data gap first",IF(V21="Beyond current position","Stretch - partner or later stage","AI fit now"))))))</f>
        <v>AI later - close data gap first</v>
      </c>
      <c r="X21" s="41">
        <f>IF(OR(W21="",W21="Complete inputs"),"",ROUND(0.3*INDEX(Lists!$N$8:$N$10,MATCH(F21,Lists!$M$8:$M$10,0))+0.25*IF(G21&lt;20,1,IF(G21&lt;80,2,IF(G21&lt;160,3,IF(G21&lt;480,4,5))))+0.25*J21+0.2*K21,2))</f>
        <v>3</v>
      </c>
      <c r="Y21" s="41">
        <f>IF(X21="","",ROUND(0.3*IF(U21="Data ready",5,IF(INDEX(Lists!$N$2:$N$5,MATCH(I21,Lists!$M$2:$M$5,0))=INDEX(Lists!$E$2:$E$11,MATCH(R21,Lists!$B$2:$B$11,0))-1,3,1))+0.25*INDEX(Lists!$N$13:$N$15,MATCH(H21,Lists!$M$13:$M$15,0))+0.25*(6-S21)+0.2*IF(V21="Within current position",5,2),2))</f>
        <v>2.3</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High</v>
      </c>
      <c r="AA21" s="38" t="str">
        <f>IF(X21="","",IF(AND(X21&gt;=$C$4,Y21&gt;=$C$4),"Quick win",IF(X21&gt;=$C$4,"Strategic bet",IF(Y21&gt;=$C$4,"Fill-in","Deprioritise"))))</f>
        <v>Deprioritise</v>
      </c>
      <c r="AB21" s="41">
        <f>IF(X21="","",ROUND(X21*Y21*IF(Z21="High",0.85,1)*IF(W21="Redesign / standardise first",0.8,1),2))</f>
        <v>5.87</v>
      </c>
      <c r="AC21" s="42">
        <f>IF(AB21="","",RANK(AB21,$AB$8:$AB$57)+COUNTIF($AB$7:AB20,AB21))</f>
        <v>21</v>
      </c>
      <c r="AD21" s="39" t="str">
        <f>IF(AH21="","",INDEX(Lists!$AV$2:$AV$5,AH21))</f>
        <v>Backlog / not prioritised</v>
      </c>
      <c r="AE21" s="43">
        <f>IF(AB21="","",ROUND(G21*12*INDEX(Lists!$F$2:$F$11,MATCH(R21,Lists!$B$2:$B$11,0)),0))</f>
        <v>192</v>
      </c>
      <c r="AF21" s="44" t="str">
        <f>IF(OR(B21="",R21=""),"",IF(O21="Custom",INDEX(Lists!$I$2:$I$11,MATCH(R21,Lists!$B$2:$B$11,0)),INDEX('2. Use-Case Library'!$H$5:$H$244,MATCH($O21,'2. Use-Case Library'!$A$5:$A$244,0))))</f>
        <v>Start with structured screening criteria (rules). If ML / GenAI ranking is used: bias testing, human decision on every candidate, candidate notice and records.</v>
      </c>
      <c r="AG21" s="44" t="str">
        <f>IF(OR(B21="",O21="Custom"),"",INDEX('2. Use-Case Library'!$K$5:$K$244,MATCH($O21,'2. Use-Case Library'!$A$5:$A$244,0)))</f>
        <v>HIGH-RISK under EU AI Act Annex III (4) - employment; emotion recognition at work prohibited (Art. 5); PDPL; non-discrimination.</v>
      </c>
      <c r="AH21" s="38">
        <f>IF(AB21="","",IF(AA21="Deprioritise",4,IF(W21="AI later - close data gap first",3,IF(OR(W21="Redesign / standardise first",W21="Stretch - partner or later stage",AA21="Strategic bet",Z21="High",S21=5),2,1))))</f>
        <v>4</v>
      </c>
      <c r="AI21" s="38">
        <f>IF(AC21="","",AH21*100+AC21)</f>
        <v>421</v>
      </c>
      <c r="AJ21" s="38" t="str">
        <f>IF(B21="","",IF(O21="Custom",B21,INDEX('2. Use-Case Library'!$D$5:$D$244,MATCH($O21,'2. Use-Case Library'!$A$5:$A$244,0))))</f>
        <v>CV screening &amp; shortlisting</v>
      </c>
    </row>
    <row r="22" ht="52" customHeight="1">
      <c r="A22" s="14" t="n">
        <v>15</v>
      </c>
      <c r="B22" s="37" t="inlineStr">
        <is>
          <t>XI-16 | Employee HR queries (leave, policies, payslips)</t>
        </is>
      </c>
      <c r="C22" s="37" t="n"/>
      <c r="D22" s="37" t="n"/>
      <c r="E22" s="37" t="n"/>
      <c r="F22" s="37" t="inlineStr">
        <is>
          <t>Medium (100 - 1,000 a month)</t>
        </is>
      </c>
      <c r="G22" s="37" t="n">
        <v>60</v>
      </c>
      <c r="H22" s="37" t="inlineStr">
        <is>
          <t>Yes - documented and consistent</t>
        </is>
      </c>
      <c r="I22" s="37" t="inlineStr">
        <is>
          <t>Digital history available</t>
        </is>
      </c>
      <c r="J22" s="37" t="n">
        <v>2</v>
      </c>
      <c r="K22" s="37" t="n">
        <v>3</v>
      </c>
      <c r="L22" s="37" t="inlineStr">
        <is>
          <t>No</t>
        </is>
      </c>
      <c r="M22" s="37" t="inlineStr">
        <is>
          <t>Yes</t>
        </is>
      </c>
      <c r="N22" s="37" t="inlineStr">
        <is>
          <t>Assist - AI suggests, a person does the work</t>
        </is>
      </c>
      <c r="O22" s="38" t="str">
        <f>IF(B22="","",IFERROR(INDEX('2. Use-Case Library'!$A$5:$A$244,MATCH(B22,'2. Use-Case Library'!$M$5:$M$244,0)),"Custom"))</f>
        <v>XI-16</v>
      </c>
      <c r="P22" s="39" t="str">
        <f>IF(B22="","",IF(O22="Custom",IF(E22="","(select function in E)",E22),INDEX('2. Use-Case Library'!$C$5:$C$244,MATCH($O22,'2. Use-Case Library'!$A$5:$A$244,0))))</f>
        <v>HR &amp; people</v>
      </c>
      <c r="Q22" s="39" t="str">
        <f>IF(B22="","",IF(D22&lt;&gt;"",D22,IF(O22="Custom","",INDEX('2. Use-Case Library'!$F$5:$F$244,MATCH($O22,'2. Use-Case Library'!$A$5:$A$244,0)))))</f>
        <v>Converse with customers, citizens or staff (chat, voice, WhatsApp)</v>
      </c>
      <c r="R22" s="39" t="str">
        <f>IF(Q22="","",INDEX(Lists!$B$2:$B$11,MATCH(Q22,Lists!$A$2:$A$11,0)))</f>
        <v>Conversational AI / virtual agent</v>
      </c>
      <c r="S22" s="38">
        <f>IF(R22="","",INDEX(Lists!$C$2:$C$11,MATCH(R22,Lists!$B$2:$B$11,0)))</f>
        <v>4</v>
      </c>
      <c r="T22" s="38" t="str">
        <f>IF(R22="","",INDEX(Lists!$D$2:$D$11,MATCH(R22,Lists!$B$2:$B$11,0)))</f>
        <v>Yes</v>
      </c>
      <c r="U22" s="38" t="str">
        <f>IF(OR(R22="",I22=""),"",IF(INDEX(Lists!$N$2:$N$5,MATCH(I22,Lists!$M$2:$M$5,0))&gt;=INDEX(Lists!$E$2:$E$11,MATCH(R22,Lists!$B$2:$B$11,0)),"Data ready","Data gap"))</f>
        <v>Data ready</v>
      </c>
      <c r="V22" s="39" t="str">
        <f>IF(R22="","",IF(S22&lt;=IF('1. AI Position'!$C$30="",5,INDEX(Lists!$AI$2:$AI$5,'1. AI Position'!$C$30)),"Within current position","Beyond current position"))</f>
        <v>Within current position</v>
      </c>
      <c r="W22" s="40" t="str">
        <f>IF(B22="","",IF(OR(COUNTA(F22:N22)&lt;9,Q22=""),"Complete inputs",IF(H22="No - varies by person / team","Redesign / standardise first",IF(T22="No","Automate - AI not needed",IF(U22="Data gap","AI later - close data gap first",IF(V22="Beyond current position","Stretch - partner or later stage","AI fit now"))))))</f>
        <v>AI fit now</v>
      </c>
      <c r="X22" s="41">
        <f>IF(OR(W22="",W22="Complete inputs"),"",ROUND(0.3*INDEX(Lists!$N$8:$N$10,MATCH(F22,Lists!$M$8:$M$10,0))+0.25*IF(G22&lt;20,1,IF(G22&lt;80,2,IF(G22&lt;160,3,IF(G22&lt;480,4,5))))+0.25*J22+0.2*K22,2))</f>
        <v>2.5</v>
      </c>
      <c r="Y22" s="41">
        <f>IF(X22="","",ROUND(0.3*IF(U22="Data ready",5,IF(INDEX(Lists!$N$2:$N$5,MATCH(I22,Lists!$M$2:$M$5,0))=INDEX(Lists!$E$2:$E$11,MATCH(R22,Lists!$B$2:$B$11,0))-1,3,1))+0.25*INDEX(Lists!$N$13:$N$15,MATCH(H22,Lists!$M$13:$M$15,0))+0.25*(6-S22)+0.2*IF(V22="Within current position",5,2),2))</f>
        <v>4.25</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Low</v>
      </c>
      <c r="AA22" s="38" t="str">
        <f>IF(X22="","",IF(AND(X22&gt;=$C$4,Y22&gt;=$C$4),"Quick win",IF(X22&gt;=$C$4,"Strategic bet",IF(Y22&gt;=$C$4,"Fill-in","Deprioritise"))))</f>
        <v>Fill-in</v>
      </c>
      <c r="AB22" s="41">
        <f>IF(X22="","",ROUND(X22*Y22*IF(Z22="High",0.85,1)*IF(W22="Redesign / standardise first",0.8,1),2))</f>
        <v>10.63</v>
      </c>
      <c r="AC22" s="42">
        <f>IF(AB22="","",RANK(AB22,$AB$8:$AB$57)+COUNTIF($AB$7:AB21,AB22))</f>
        <v>17</v>
      </c>
      <c r="AD22" s="39" t="str">
        <f>IF(AH22="","",INDEX(Lists!$AV$2:$AV$5,AH22))</f>
        <v>H1 - Now (0-6 months)</v>
      </c>
      <c r="AE22" s="43">
        <f>IF(AB22="","",ROUND(G22*12*INDEX(Lists!$F$2:$F$11,MATCH(R22,Lists!$B$2:$B$11,0)),0))</f>
        <v>216</v>
      </c>
      <c r="AF22" s="44" t="str">
        <f>IF(OR(B22="",R22=""),"",IF(O22="Custom",INDEX(Lists!$I$2:$I$11,MATCH(R22,Lists!$B$2:$B$11,0)),INDEX('2. Use-Case Library'!$H$5:$H$244,MATCH($O22,'2. Use-Case Library'!$A$5:$A$244,0))))</f>
        <v>HR virtual agent grounded on HR policies plus self-service transactions via HRIS integration; hand-off to HR for sensitive cases.</v>
      </c>
      <c r="AG22" s="44" t="str">
        <f>IF(OR(B22="",O22="Custom"),"",INDEX('2. Use-Case Library'!$K$5:$K$244,MATCH($O22,'2. Use-Case Library'!$A$5:$A$244,0)))</f>
        <v>Disclose AI to users; access control on personal data.</v>
      </c>
      <c r="AH22" s="38">
        <f>IF(AB22="","",IF(AA22="Deprioritise",4,IF(W22="AI later - close data gap first",3,IF(OR(W22="Redesign / standardise first",W22="Stretch - partner or later stage",AA22="Strategic bet",Z22="High",S22=5),2,1))))</f>
        <v>1</v>
      </c>
      <c r="AI22" s="38">
        <f>IF(AC22="","",AH22*100+AC22)</f>
        <v>117</v>
      </c>
      <c r="AJ22" s="38" t="str">
        <f>IF(B22="","",IF(O22="Custom",B22,INDEX('2. Use-Case Library'!$D$5:$D$244,MATCH($O22,'2. Use-Case Library'!$A$5:$A$244,0))))</f>
        <v>Employee HR queries (leave, policies, payslips)</v>
      </c>
    </row>
    <row r="23" ht="52" customHeight="1">
      <c r="A23" s="14" t="n">
        <v>16</v>
      </c>
      <c r="B23" s="37" t="inlineStr">
        <is>
          <t>XI-29 | Marketing content &amp; campaigns</t>
        </is>
      </c>
      <c r="C23" s="37" t="n"/>
      <c r="D23" s="37" t="n"/>
      <c r="E23" s="37" t="n"/>
      <c r="F23" s="37" t="inlineStr">
        <is>
          <t>Medium (100 - 1,000 a month)</t>
        </is>
      </c>
      <c r="G23" s="37" t="n">
        <v>80</v>
      </c>
      <c r="H23" s="37" t="inlineStr">
        <is>
          <t>Yes - documented and consistent</t>
        </is>
      </c>
      <c r="I23" s="37" t="inlineStr">
        <is>
          <t>None - not captured</t>
        </is>
      </c>
      <c r="J23" s="37" t="n">
        <v>3</v>
      </c>
      <c r="K23" s="37" t="n">
        <v>2</v>
      </c>
      <c r="L23" s="37" t="inlineStr">
        <is>
          <t>No</t>
        </is>
      </c>
      <c r="M23" s="37" t="inlineStr">
        <is>
          <t>No</t>
        </is>
      </c>
      <c r="N23" s="37" t="inlineStr">
        <is>
          <t>Assist - AI suggests, a person does the work</t>
        </is>
      </c>
      <c r="O23" s="38" t="str">
        <f>IF(B23="","",IFERROR(INDEX('2. Use-Case Library'!$A$5:$A$244,MATCH(B23,'2. Use-Case Library'!$M$5:$M$244,0)),"Custom"))</f>
        <v>XI-29</v>
      </c>
      <c r="P23" s="39" t="str">
        <f>IF(B23="","",IF(O23="Custom",IF(E23="","(select function in E)",E23),INDEX('2. Use-Case Library'!$C$5:$C$244,MATCH($O23,'2. Use-Case Library'!$A$5:$A$244,0))))</f>
        <v>Sales &amp; marketing</v>
      </c>
      <c r="Q23" s="39" t="str">
        <f>IF(B23="","",IF(D23&lt;&gt;"",D23,IF(O23="Custom","",INDEX('2. Use-Case Library'!$F$5:$F$244,MATCH($O23,'2. Use-Case Library'!$A$5:$A$244,0)))))</f>
        <v>Draft, summarise, translate or review text</v>
      </c>
      <c r="R23" s="39" t="str">
        <f>IF(Q23="","",INDEX(Lists!$B$2:$B$11,MATCH(Q23,Lists!$A$2:$A$11,0)))</f>
        <v>Generative AI assistant (off-the-shelf)</v>
      </c>
      <c r="S23" s="38">
        <f>IF(R23="","",INDEX(Lists!$C$2:$C$11,MATCH(R23,Lists!$B$2:$B$11,0)))</f>
        <v>3</v>
      </c>
      <c r="T23" s="38" t="str">
        <f>IF(R23="","",INDEX(Lists!$D$2:$D$11,MATCH(R23,Lists!$B$2:$B$11,0)))</f>
        <v>Yes</v>
      </c>
      <c r="U23" s="38" t="str">
        <f>IF(OR(R23="",I23=""),"",IF(INDEX(Lists!$N$2:$N$5,MATCH(I23,Lists!$M$2:$M$5,0))&gt;=INDEX(Lists!$E$2:$E$11,MATCH(R23,Lists!$B$2:$B$11,0)),"Data ready","Data gap"))</f>
        <v>Data ready</v>
      </c>
      <c r="V23" s="39" t="str">
        <f>IF(R23="","",IF(S23&lt;=IF('1. AI Position'!$C$30="",5,INDEX(Lists!$AI$2:$AI$5,'1. AI Position'!$C$30)),"Within current position","Beyond current position"))</f>
        <v>Within current position</v>
      </c>
      <c r="W23" s="40" t="str">
        <f>IF(B23="","",IF(OR(COUNTA(F23:N23)&lt;9,Q23=""),"Complete inputs",IF(H23="No - varies by person / team","Redesign / standardise first",IF(T23="No","Automate - AI not needed",IF(U23="Data gap","AI later - close data gap first",IF(V23="Beyond current position","Stretch - partner or later stage","AI fit now"))))))</f>
        <v>AI fit now</v>
      </c>
      <c r="X23" s="41">
        <f>IF(OR(W23="",W23="Complete inputs"),"",ROUND(0.3*INDEX(Lists!$N$8:$N$10,MATCH(F23,Lists!$M$8:$M$10,0))+0.25*IF(G23&lt;20,1,IF(G23&lt;80,2,IF(G23&lt;160,3,IF(G23&lt;480,4,5))))+0.25*J23+0.2*K23,2))</f>
        <v>2.8</v>
      </c>
      <c r="Y23" s="41">
        <f>IF(X23="","",ROUND(0.3*IF(U23="Data ready",5,IF(INDEX(Lists!$N$2:$N$5,MATCH(I23,Lists!$M$2:$M$5,0))=INDEX(Lists!$E$2:$E$11,MATCH(R23,Lists!$B$2:$B$11,0))-1,3,1))+0.25*INDEX(Lists!$N$13:$N$15,MATCH(H23,Lists!$M$13:$M$15,0))+0.25*(6-S23)+0.2*IF(V23="Within current position",5,2),2))</f>
        <v>4.5</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Low</v>
      </c>
      <c r="AA23" s="38" t="str">
        <f>IF(X23="","",IF(AND(X23&gt;=$C$4,Y23&gt;=$C$4),"Quick win",IF(X23&gt;=$C$4,"Strategic bet",IF(Y23&gt;=$C$4,"Fill-in","Deprioritise"))))</f>
        <v>Fill-in</v>
      </c>
      <c r="AB23" s="41">
        <f>IF(X23="","",ROUND(X23*Y23*IF(Z23="High",0.85,1)*IF(W23="Redesign / standardise first",0.8,1),2))</f>
        <v>12.6</v>
      </c>
      <c r="AC23" s="42">
        <f>IF(AB23="","",RANK(AB23,$AB$8:$AB$57)+COUNTIF($AB$7:AB22,AB23))</f>
        <v>12</v>
      </c>
      <c r="AD23" s="39" t="str">
        <f>IF(AH23="","",INDEX(Lists!$AV$2:$AV$5,AH23))</f>
        <v>H1 - Now (0-6 months)</v>
      </c>
      <c r="AE23" s="43">
        <f>IF(AB23="","",ROUND(G23*12*INDEX(Lists!$F$2:$F$11,MATCH(R23,Lists!$B$2:$B$11,0)),0))</f>
        <v>288</v>
      </c>
      <c r="AF23" s="44" t="str">
        <f>IF(OR(B23="",R23=""),"",IF(O23="Custom",INDEX(Lists!$I$2:$I$11,MATCH(R23,Lists!$B$2:$B$11,0)),INDEX('2. Use-Case Library'!$H$5:$H$244,MATCH($O23,'2. Use-Case Library'!$A$5:$A$244,0))))</f>
        <v>GenAI-assisted copy, images and variants within brand guidelines; brand and legal approval.</v>
      </c>
      <c r="AG23" s="44" t="str">
        <f>IF(OR(B23="",O23="Custom"),"",INDEX('2. Use-Case Library'!$K$5:$K$244,MATCH($O23,'2. Use-Case Library'!$A$5:$A$244,0)))</f>
        <v>Copyright / IP; label synthetic media where required (EU AI Act Art. 50).</v>
      </c>
      <c r="AH23" s="38">
        <f>IF(AB23="","",IF(AA23="Deprioritise",4,IF(W23="AI later - close data gap first",3,IF(OR(W23="Redesign / standardise first",W23="Stretch - partner or later stage",AA23="Strategic bet",Z23="High",S23=5),2,1))))</f>
        <v>1</v>
      </c>
      <c r="AI23" s="38">
        <f>IF(AC23="","",AH23*100+AC23)</f>
        <v>112</v>
      </c>
      <c r="AJ23" s="38" t="str">
        <f>IF(B23="","",IF(O23="Custom",B23,INDEX('2. Use-Case Library'!$D$5:$D$244,MATCH($O23,'2. Use-Case Library'!$A$5:$A$244,0))))</f>
        <v>Marketing content &amp; campaigns</v>
      </c>
    </row>
    <row r="24" ht="52" customHeight="1">
      <c r="A24" s="14" t="n">
        <v>17</v>
      </c>
      <c r="B24" s="37" t="inlineStr">
        <is>
          <t>PRO-10 | Engagement workflow coordination</t>
        </is>
      </c>
      <c r="C24" s="37" t="n"/>
      <c r="D24" s="37" t="n"/>
      <c r="E24" s="37" t="n"/>
      <c r="F24" s="37" t="inlineStr">
        <is>
          <t>Medium (100 - 1,000 a month)</t>
        </is>
      </c>
      <c r="G24" s="37" t="n">
        <v>150</v>
      </c>
      <c r="H24" s="37" t="inlineStr">
        <is>
          <t>No - varies by person / team</t>
        </is>
      </c>
      <c r="I24" s="37" t="inlineStr">
        <is>
          <t>Partial or paper-based</t>
        </is>
      </c>
      <c r="J24" s="37" t="n">
        <v>4</v>
      </c>
      <c r="K24" s="37" t="n">
        <v>3</v>
      </c>
      <c r="L24" s="37" t="inlineStr">
        <is>
          <t>No</t>
        </is>
      </c>
      <c r="M24" s="37" t="inlineStr">
        <is>
          <t>Yes</t>
        </is>
      </c>
      <c r="N24" s="37" t="inlineStr">
        <is>
          <t>Human approves each AI output</t>
        </is>
      </c>
      <c r="O24" s="38" t="str">
        <f>IF(B24="","",IFERROR(INDEX('2. Use-Case Library'!$A$5:$A$244,MATCH(B24,'2. Use-Case Library'!$M$5:$M$244,0)),"Custom"))</f>
        <v>PRO-10</v>
      </c>
      <c r="P24" s="39" t="str">
        <f>IF(B24="","",IF(O24="Custom",IF(E24="","(select function in E)",E24),INDEX('2. Use-Case Library'!$C$5:$C$244,MATCH($O24,'2. Use-Case Library'!$A$5:$A$244,0))))</f>
        <v>Core operations &amp; service delivery</v>
      </c>
      <c r="Q24" s="39" t="str">
        <f>IF(B24="","",IF(D24&lt;&gt;"",D24,IF(O24="Custom","",INDEX('2. Use-Case Library'!$F$5:$F$244,MATCH($O24,'2. Use-Case Library'!$A$5:$A$244,0)))))</f>
        <v>Coordinate multi-step work across systems that needs judgement</v>
      </c>
      <c r="R24" s="39" t="str">
        <f>IF(Q24="","",INDEX(Lists!$B$2:$B$11,MATCH(Q24,Lists!$A$2:$A$11,0)))</f>
        <v>Agentic AI (supervised agents)</v>
      </c>
      <c r="S24" s="38">
        <f>IF(R24="","",INDEX(Lists!$C$2:$C$11,MATCH(R24,Lists!$B$2:$B$11,0)))</f>
        <v>5</v>
      </c>
      <c r="T24" s="38" t="str">
        <f>IF(R24="","",INDEX(Lists!$D$2:$D$11,MATCH(R24,Lists!$B$2:$B$11,0)))</f>
        <v>Yes</v>
      </c>
      <c r="U24" s="38" t="str">
        <f>IF(OR(R24="",I24=""),"",IF(INDEX(Lists!$N$2:$N$5,MATCH(I24,Lists!$M$2:$M$5,0))&gt;=INDEX(Lists!$E$2:$E$11,MATCH(R24,Lists!$B$2:$B$11,0)),"Data ready","Data gap"))</f>
        <v>Data gap</v>
      </c>
      <c r="V24" s="39" t="str">
        <f>IF(R24="","",IF(S24&lt;=IF('1. AI Position'!$C$30="",5,INDEX(Lists!$AI$2:$AI$5,'1. AI Position'!$C$30)),"Within current position","Beyond current position"))</f>
        <v>Beyond current position</v>
      </c>
      <c r="W24" s="40" t="str">
        <f>IF(B24="","",IF(OR(COUNTA(F24:N24)&lt;9,Q24=""),"Complete inputs",IF(H24="No - varies by person / team","Redesign / standardise first",IF(T24="No","Automate - AI not needed",IF(U24="Data gap","AI later - close data gap first",IF(V24="Beyond current position","Stretch - partner or later stage","AI fit now"))))))</f>
        <v>Redesign / standardise first</v>
      </c>
      <c r="X24" s="41">
        <f>IF(OR(W24="",W24="Complete inputs"),"",ROUND(0.3*INDEX(Lists!$N$8:$N$10,MATCH(F24,Lists!$M$8:$M$10,0))+0.25*IF(G24&lt;20,1,IF(G24&lt;80,2,IF(G24&lt;160,3,IF(G24&lt;480,4,5))))+0.25*J24+0.2*K24,2))</f>
        <v>3.25</v>
      </c>
      <c r="Y24" s="41">
        <f>IF(X24="","",ROUND(0.3*IF(U24="Data ready",5,IF(INDEX(Lists!$N$2:$N$5,MATCH(I24,Lists!$M$2:$M$5,0))=INDEX(Lists!$E$2:$E$11,MATCH(R24,Lists!$B$2:$B$11,0))-1,3,1))+0.25*INDEX(Lists!$N$13:$N$15,MATCH(H24,Lists!$M$13:$M$15,0))+0.25*(6-S24)+0.2*IF(V24="Within current position",5,2),2))</f>
        <v>1.8</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Medium</v>
      </c>
      <c r="AA24" s="38" t="str">
        <f>IF(X24="","",IF(AND(X24&gt;=$C$4,Y24&gt;=$C$4),"Quick win",IF(X24&gt;=$C$4,"Strategic bet",IF(Y24&gt;=$C$4,"Fill-in","Deprioritise"))))</f>
        <v>Strategic bet</v>
      </c>
      <c r="AB24" s="41">
        <f>IF(X24="","",ROUND(X24*Y24*IF(Z24="High",0.85,1)*IF(W24="Redesign / standardise first",0.8,1),2))</f>
        <v>4.68</v>
      </c>
      <c r="AC24" s="42">
        <f>IF(AB24="","",RANK(AB24,$AB$8:$AB$57)+COUNTIF($AB$7:AB23,AB24))</f>
        <v>22</v>
      </c>
      <c r="AD24" s="39" t="str">
        <f>IF(AH24="","",INDEX(Lists!$AV$2:$AV$5,AH24))</f>
        <v>H2 - Next (6-12 months)</v>
      </c>
      <c r="AE24" s="43">
        <f>IF(AB24="","",ROUND(G24*12*INDEX(Lists!$F$2:$F$11,MATCH(R24,Lists!$B$2:$B$11,0)),0))</f>
        <v>720</v>
      </c>
      <c r="AF24" s="44" t="str">
        <f>IF(OR(B24="",R24=""),"",IF(O24="Custom",INDEX(Lists!$I$2:$I$11,MATCH(R24,Lists!$B$2:$B$11,0)),INDEX('2. Use-Case Library'!$H$5:$H$244,MATCH($O24,'2. Use-Case Library'!$A$5:$A$244,0))))</f>
        <v>Supervised agent tracking requests-for-information and status across tools; staff approve client communication.</v>
      </c>
      <c r="AG24" s="44" t="str">
        <f>IF(OR(B24="",O24="Custom"),"",INDEX('2. Use-Case Library'!$K$5:$K$244,MATCH($O24,'2. Use-Case Library'!$A$5:$A$244,0)))</f>
        <v>Agent least privilege; client data boundaries.</v>
      </c>
      <c r="AH24" s="38">
        <f>IF(AB24="","",IF(AA24="Deprioritise",4,IF(W24="AI later - close data gap first",3,IF(OR(W24="Redesign / standardise first",W24="Stretch - partner or later stage",AA24="Strategic bet",Z24="High",S24=5),2,1))))</f>
        <v>2</v>
      </c>
      <c r="AI24" s="38">
        <f>IF(AC24="","",AH24*100+AC24)</f>
        <v>222</v>
      </c>
      <c r="AJ24" s="38" t="str">
        <f>IF(B24="","",IF(O24="Custom",B24,INDEX('2. Use-Case Library'!$D$5:$D$244,MATCH($O24,'2. Use-Case Library'!$A$5:$A$244,0))))</f>
        <v>Engagement workflow coordination</v>
      </c>
    </row>
    <row r="25" ht="52" customHeight="1">
      <c r="A25" s="14" t="n">
        <v>18</v>
      </c>
      <c r="B25" s="37" t="inlineStr">
        <is>
          <t>XI-53 | KPI dashboards</t>
        </is>
      </c>
      <c r="C25" s="37" t="n"/>
      <c r="D25" s="37" t="n"/>
      <c r="E25" s="37" t="n"/>
      <c r="F25" s="37" t="inlineStr">
        <is>
          <t>Low (fewer than 100 a month)</t>
        </is>
      </c>
      <c r="G25" s="37" t="n">
        <v>100</v>
      </c>
      <c r="H25" s="37" t="inlineStr">
        <is>
          <t>Partly - common steps, some variation</t>
        </is>
      </c>
      <c r="I25" s="37" t="inlineStr">
        <is>
          <t>Digital history available</t>
        </is>
      </c>
      <c r="J25" s="37" t="n">
        <v>4</v>
      </c>
      <c r="K25" s="37" t="n">
        <v>3</v>
      </c>
      <c r="L25" s="37" t="inlineStr">
        <is>
          <t>No</t>
        </is>
      </c>
      <c r="M25" s="37" t="inlineStr">
        <is>
          <t>No</t>
        </is>
      </c>
      <c r="N25" s="37" t="inlineStr">
        <is>
          <t>Human approves each AI output</t>
        </is>
      </c>
      <c r="O25" s="38" t="str">
        <f>IF(B25="","",IFERROR(INDEX('2. Use-Case Library'!$A$5:$A$244,MATCH(B25,'2. Use-Case Library'!$M$5:$M$244,0)),"Custom"))</f>
        <v>XI-53</v>
      </c>
      <c r="P25" s="39" t="str">
        <f>IF(B25="","",IF(O25="Custom",IF(E25="","(select function in E)",E25),INDEX('2. Use-Case Library'!$C$5:$C$244,MATCH($O25,'2. Use-Case Library'!$A$5:$A$244,0))))</f>
        <v>Strategy, management &amp; reporting</v>
      </c>
      <c r="Q25" s="39" t="str">
        <f>IF(B25="","",IF(D25&lt;&gt;"",D25,IF(O25="Custom","",INDEX('2. Use-Case Library'!$F$5:$F$244,MATCH($O25,'2. Use-Case Library'!$A$5:$A$244,0)))))</f>
        <v>Produce reports, dashboards or reconciliations from existing data</v>
      </c>
      <c r="R25" s="39" t="str">
        <f>IF(Q25="","",INDEX(Lists!$B$2:$B$11,MATCH(Q25,Lists!$A$2:$A$11,0)))</f>
        <v>BI, dashboards &amp; reconciliation automation</v>
      </c>
      <c r="S25" s="38">
        <f>IF(R25="","",INDEX(Lists!$C$2:$C$11,MATCH(R25,Lists!$B$2:$B$11,0)))</f>
        <v>2</v>
      </c>
      <c r="T25" s="38" t="str">
        <f>IF(R25="","",INDEX(Lists!$D$2:$D$11,MATCH(R25,Lists!$B$2:$B$11,0)))</f>
        <v>No</v>
      </c>
      <c r="U25" s="38" t="str">
        <f>IF(OR(R25="",I25=""),"",IF(INDEX(Lists!$N$2:$N$5,MATCH(I25,Lists!$M$2:$M$5,0))&gt;=INDEX(Lists!$E$2:$E$11,MATCH(R25,Lists!$B$2:$B$11,0)),"Data ready","Data gap"))</f>
        <v>Data ready</v>
      </c>
      <c r="V25" s="39" t="str">
        <f>IF(R25="","",IF(S25&lt;=IF('1. AI Position'!$C$30="",5,INDEX(Lists!$AI$2:$AI$5,'1. AI Position'!$C$30)),"Within current position","Beyond current position"))</f>
        <v>Within current position</v>
      </c>
      <c r="W25" s="40" t="str">
        <f>IF(B25="","",IF(OR(COUNTA(F25:N25)&lt;9,Q25=""),"Complete inputs",IF(H25="No - varies by person / team","Redesign / standardise first",IF(T25="No","Automate - AI not needed",IF(U25="Data gap","AI later - close data gap first",IF(V25="Beyond current position","Stretch - partner or later stage","AI fit now"))))))</f>
        <v>Automate - AI not needed</v>
      </c>
      <c r="X25" s="41">
        <f>IF(OR(W25="",W25="Complete inputs"),"",ROUND(0.3*INDEX(Lists!$N$8:$N$10,MATCH(F25,Lists!$M$8:$M$10,0))+0.25*IF(G25&lt;20,1,IF(G25&lt;80,2,IF(G25&lt;160,3,IF(G25&lt;480,4,5))))+0.25*J25+0.2*K25,2))</f>
        <v>2.65</v>
      </c>
      <c r="Y25" s="41">
        <f>IF(X25="","",ROUND(0.3*IF(U25="Data ready",5,IF(INDEX(Lists!$N$2:$N$5,MATCH(I25,Lists!$M$2:$M$5,0))=INDEX(Lists!$E$2:$E$11,MATCH(R25,Lists!$B$2:$B$11,0))-1,3,1))+0.25*INDEX(Lists!$N$13:$N$15,MATCH(H25,Lists!$M$13:$M$15,0))+0.25*(6-S25)+0.2*IF(V25="Within current position",5,2),2))</f>
        <v>4.25</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Low</v>
      </c>
      <c r="AA25" s="38" t="str">
        <f>IF(X25="","",IF(AND(X25&gt;=$C$4,Y25&gt;=$C$4),"Quick win",IF(X25&gt;=$C$4,"Strategic bet",IF(Y25&gt;=$C$4,"Fill-in","Deprioritise"))))</f>
        <v>Fill-in</v>
      </c>
      <c r="AB25" s="41">
        <f>IF(X25="","",ROUND(X25*Y25*IF(Z25="High",0.85,1)*IF(W25="Redesign / standardise first",0.8,1),2))</f>
        <v>11.26</v>
      </c>
      <c r="AC25" s="42">
        <f>IF(AB25="","",RANK(AB25,$AB$8:$AB$57)+COUNTIF($AB$7:AB24,AB25))</f>
        <v>16</v>
      </c>
      <c r="AD25" s="39" t="str">
        <f>IF(AH25="","",INDEX(Lists!$AV$2:$AV$5,AH25))</f>
        <v>H1 - Now (0-6 months)</v>
      </c>
      <c r="AE25" s="43">
        <f>IF(AB25="","",ROUND(G25*12*INDEX(Lists!$F$2:$F$11,MATCH(R25,Lists!$B$2:$B$11,0)),0))</f>
        <v>300</v>
      </c>
      <c r="AF25" s="44" t="str">
        <f>IF(OR(B25="",R25=""),"",IF(O25="Custom",INDEX(Lists!$I$2:$I$11,MATCH(R25,Lists!$B$2:$B$11,0)),INDEX('2. Use-Case Library'!$H$5:$H$244,MATCH($O25,'2. Use-Case Library'!$A$5:$A$244,0))))</f>
        <v>Governed KPI definitions and dashboards on a common data model; GenAI 'ask your data' later.</v>
      </c>
      <c r="AG25" s="44" t="str">
        <f>IF(OR(B25="",O25="Custom"),"",INDEX('2. Use-Case Library'!$K$5:$K$244,MATCH($O25,'2. Use-Case Library'!$A$5:$A$244,0)))</f>
        <v>Data ownership and definitions agreed first.</v>
      </c>
      <c r="AH25" s="38">
        <f>IF(AB25="","",IF(AA25="Deprioritise",4,IF(W25="AI later - close data gap first",3,IF(OR(W25="Redesign / standardise first",W25="Stretch - partner or later stage",AA25="Strategic bet",Z25="High",S25=5),2,1))))</f>
        <v>1</v>
      </c>
      <c r="AI25" s="38">
        <f>IF(AC25="","",AH25*100+AC25)</f>
        <v>116</v>
      </c>
      <c r="AJ25" s="38" t="str">
        <f>IF(B25="","",IF(O25="Custom",B25,INDEX('2. Use-Case Library'!$D$5:$D$244,MATCH($O25,'2. Use-Case Library'!$A$5:$A$244,0))))</f>
        <v>KPI dashboards</v>
      </c>
    </row>
    <row r="26" ht="52" customHeight="1">
      <c r="A26" s="14" t="n">
        <v>19</v>
      </c>
      <c r="B26" s="37" t="inlineStr">
        <is>
          <t>PRO-13 | Assessment &amp; maturity report production</t>
        </is>
      </c>
      <c r="C26" s="37" t="n"/>
      <c r="D26" s="37" t="n"/>
      <c r="E26" s="37" t="n"/>
      <c r="F26" s="37" t="inlineStr">
        <is>
          <t>Low (fewer than 100 a month)</t>
        </is>
      </c>
      <c r="G26" s="37" t="n">
        <v>40</v>
      </c>
      <c r="H26" s="37" t="inlineStr">
        <is>
          <t>Yes - documented and consistent</t>
        </is>
      </c>
      <c r="I26" s="37" t="inlineStr">
        <is>
          <t>Digital history available</t>
        </is>
      </c>
      <c r="J26" s="37" t="n">
        <v>4</v>
      </c>
      <c r="K26" s="37" t="n">
        <v>4</v>
      </c>
      <c r="L26" s="37" t="inlineStr">
        <is>
          <t>No</t>
        </is>
      </c>
      <c r="M26" s="37" t="inlineStr">
        <is>
          <t>No</t>
        </is>
      </c>
      <c r="N26" s="37" t="inlineStr">
        <is>
          <t>Human approves each AI output</t>
        </is>
      </c>
      <c r="O26" s="38" t="str">
        <f>IF(B26="","",IFERROR(INDEX('2. Use-Case Library'!$A$5:$A$244,MATCH(B26,'2. Use-Case Library'!$M$5:$M$244,0)),"Custom"))</f>
        <v>PRO-13</v>
      </c>
      <c r="P26" s="39" t="str">
        <f>IF(B26="","",IF(O26="Custom",IF(E26="","(select function in E)",E26),INDEX('2. Use-Case Library'!$C$5:$C$244,MATCH($O26,'2. Use-Case Library'!$A$5:$A$244,0))))</f>
        <v>Core operations &amp; service delivery</v>
      </c>
      <c r="Q26" s="39" t="str">
        <f>IF(B26="","",IF(D26&lt;&gt;"",D26,IF(O26="Custom","",INDEX('2. Use-Case Library'!$F$5:$F$244,MATCH($O26,'2. Use-Case Library'!$A$5:$A$244,0)))))</f>
        <v>Move or re-key data between systems following fixed rules</v>
      </c>
      <c r="R26" s="39" t="str">
        <f>IF(Q26="","",INDEX(Lists!$B$2:$B$11,MATCH(Q26,Lists!$A$2:$A$11,0)))</f>
        <v>Workflow automation / RPA</v>
      </c>
      <c r="S26" s="38">
        <f>IF(R26="","",INDEX(Lists!$C$2:$C$11,MATCH(R26,Lists!$B$2:$B$11,0)))</f>
        <v>2</v>
      </c>
      <c r="T26" s="38" t="str">
        <f>IF(R26="","",INDEX(Lists!$D$2:$D$11,MATCH(R26,Lists!$B$2:$B$11,0)))</f>
        <v>No</v>
      </c>
      <c r="U26" s="38" t="str">
        <f>IF(OR(R26="",I26=""),"",IF(INDEX(Lists!$N$2:$N$5,MATCH(I26,Lists!$M$2:$M$5,0))&gt;=INDEX(Lists!$E$2:$E$11,MATCH(R26,Lists!$B$2:$B$11,0)),"Data ready","Data gap"))</f>
        <v>Data ready</v>
      </c>
      <c r="V26" s="39" t="str">
        <f>IF(R26="","",IF(S26&lt;=IF('1. AI Position'!$C$30="",5,INDEX(Lists!$AI$2:$AI$5,'1. AI Position'!$C$30)),"Within current position","Beyond current position"))</f>
        <v>Within current position</v>
      </c>
      <c r="W26" s="40" t="str">
        <f>IF(B26="","",IF(OR(COUNTA(F26:N26)&lt;9,Q26=""),"Complete inputs",IF(H26="No - varies by person / team","Redesign / standardise first",IF(T26="No","Automate - AI not needed",IF(U26="Data gap","AI later - close data gap first",IF(V26="Beyond current position","Stretch - partner or later stage","AI fit now"))))))</f>
        <v>Automate - AI not needed</v>
      </c>
      <c r="X26" s="41">
        <f>IF(OR(W26="",W26="Complete inputs"),"",ROUND(0.3*INDEX(Lists!$N$8:$N$10,MATCH(F26,Lists!$M$8:$M$10,0))+0.25*IF(G26&lt;20,1,IF(G26&lt;80,2,IF(G26&lt;160,3,IF(G26&lt;480,4,5))))+0.25*J26+0.2*K26,2))</f>
        <v>2.6</v>
      </c>
      <c r="Y26" s="41">
        <f>IF(X26="","",ROUND(0.3*IF(U26="Data ready",5,IF(INDEX(Lists!$N$2:$N$5,MATCH(I26,Lists!$M$2:$M$5,0))=INDEX(Lists!$E$2:$E$11,MATCH(R26,Lists!$B$2:$B$11,0))-1,3,1))+0.25*INDEX(Lists!$N$13:$N$15,MATCH(H26,Lists!$M$13:$M$15,0))+0.25*(6-S26)+0.2*IF(V26="Within current position",5,2),2))</f>
        <v>4.75</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Low</v>
      </c>
      <c r="AA26" s="38" t="str">
        <f>IF(X26="","",IF(AND(X26&gt;=$C$4,Y26&gt;=$C$4),"Quick win",IF(X26&gt;=$C$4,"Strategic bet",IF(Y26&gt;=$C$4,"Fill-in","Deprioritise"))))</f>
        <v>Fill-in</v>
      </c>
      <c r="AB26" s="41">
        <f>IF(X26="","",ROUND(X26*Y26*IF(Z26="High",0.85,1)*IF(W26="Redesign / standardise first",0.8,1),2))</f>
        <v>12.35</v>
      </c>
      <c r="AC26" s="42">
        <f>IF(AB26="","",RANK(AB26,$AB$8:$AB$57)+COUNTIF($AB$7:AB25,AB26))</f>
        <v>13</v>
      </c>
      <c r="AD26" s="39" t="str">
        <f>IF(AH26="","",INDEX(Lists!$AV$2:$AV$5,AH26))</f>
        <v>H1 - Now (0-6 months)</v>
      </c>
      <c r="AE26" s="43">
        <f>IF(AB26="","",ROUND(G26*12*INDEX(Lists!$F$2:$F$11,MATCH(R26,Lists!$B$2:$B$11,0)),0))</f>
        <v>288</v>
      </c>
      <c r="AF26" s="44" t="str">
        <f>IF(OR(B26="",R26=""),"",IF(O26="Custom",INDEX(Lists!$I$2:$I$11,MATCH(R26,Lists!$B$2:$B$11,0)),INDEX('2. Use-Case Library'!$H$5:$H$244,MATCH($O26,'2. Use-Case Library'!$A$5:$A$244,0))))</f>
        <v>Questionnaire-driven automated report generation with professional review (as for the GT AI Readiness Assessment).</v>
      </c>
      <c r="AG26" s="44" t="str">
        <f>IF(OR(B26="",O26="Custom"),"",INDEX('2. Use-Case Library'!$K$5:$K$244,MATCH($O26,'2. Use-Case Library'!$A$5:$A$244,0)))</f>
        <v>Quality review before issue.</v>
      </c>
      <c r="AH26" s="38">
        <f>IF(AB26="","",IF(AA26="Deprioritise",4,IF(W26="AI later - close data gap first",3,IF(OR(W26="Redesign / standardise first",W26="Stretch - partner or later stage",AA26="Strategic bet",Z26="High",S26=5),2,1))))</f>
        <v>1</v>
      </c>
      <c r="AI26" s="38">
        <f>IF(AC26="","",AH26*100+AC26)</f>
        <v>113</v>
      </c>
      <c r="AJ26" s="38" t="str">
        <f>IF(B26="","",IF(O26="Custom",B26,INDEX('2. Use-Case Library'!$D$5:$D$244,MATCH($O26,'2. Use-Case Library'!$A$5:$A$244,0))))</f>
        <v>Assessment &amp; maturity report production</v>
      </c>
    </row>
    <row r="27" ht="52" customHeight="1">
      <c r="A27" s="14" t="n">
        <v>20</v>
      </c>
      <c r="B27" s="37" t="inlineStr">
        <is>
          <t>PRO-12 | Client BCP &amp; business impact analysis (GT AI BCP tool - in preparation)</t>
        </is>
      </c>
      <c r="C27" s="37" t="n"/>
      <c r="D27" s="37" t="n"/>
      <c r="E27" s="37" t="n"/>
      <c r="F27" s="37" t="inlineStr">
        <is>
          <t>Low (fewer than 100 a month)</t>
        </is>
      </c>
      <c r="G27" s="37" t="n">
        <v>200</v>
      </c>
      <c r="H27" s="37" t="inlineStr">
        <is>
          <t>Partly - common steps, some variation</t>
        </is>
      </c>
      <c r="I27" s="37" t="inlineStr">
        <is>
          <t>Partial or paper-based</t>
        </is>
      </c>
      <c r="J27" s="37" t="n">
        <v>5</v>
      </c>
      <c r="K27" s="37" t="n">
        <v>4</v>
      </c>
      <c r="L27" s="37" t="inlineStr">
        <is>
          <t>No</t>
        </is>
      </c>
      <c r="M27" s="37" t="inlineStr">
        <is>
          <t>Yes</t>
        </is>
      </c>
      <c r="N27" s="37" t="inlineStr">
        <is>
          <t>Human approves each AI output</t>
        </is>
      </c>
      <c r="O27" s="38" t="str">
        <f>IF(B27="","",IFERROR(INDEX('2. Use-Case Library'!$A$5:$A$244,MATCH(B27,'2. Use-Case Library'!$M$5:$M$244,0)),"Custom"))</f>
        <v>PRO-12</v>
      </c>
      <c r="P27" s="39" t="str">
        <f>IF(B27="","",IF(O27="Custom",IF(E27="","(select function in E)",E27),INDEX('2. Use-Case Library'!$C$5:$C$244,MATCH($O27,'2. Use-Case Library'!$A$5:$A$244,0))))</f>
        <v>Risk, compliance &amp; legal</v>
      </c>
      <c r="Q27" s="39" t="str">
        <f>IF(B27="","",IF(D27&lt;&gt;"",D27,IF(O27="Custom","",INDEX('2. Use-Case Library'!$F$5:$F$244,MATCH($O27,'2. Use-Case Library'!$A$5:$A$244,0)))))</f>
        <v>Draft, summarise, translate or review text</v>
      </c>
      <c r="R27" s="39" t="str">
        <f>IF(Q27="","",INDEX(Lists!$B$2:$B$11,MATCH(Q27,Lists!$A$2:$A$11,0)))</f>
        <v>Generative AI assistant (off-the-shelf)</v>
      </c>
      <c r="S27" s="38">
        <f>IF(R27="","",INDEX(Lists!$C$2:$C$11,MATCH(R27,Lists!$B$2:$B$11,0)))</f>
        <v>3</v>
      </c>
      <c r="T27" s="38" t="str">
        <f>IF(R27="","",INDEX(Lists!$D$2:$D$11,MATCH(R27,Lists!$B$2:$B$11,0)))</f>
        <v>Yes</v>
      </c>
      <c r="U27" s="38" t="str">
        <f>IF(OR(R27="",I27=""),"",IF(INDEX(Lists!$N$2:$N$5,MATCH(I27,Lists!$M$2:$M$5,0))&gt;=INDEX(Lists!$E$2:$E$11,MATCH(R27,Lists!$B$2:$B$11,0)),"Data ready","Data gap"))</f>
        <v>Data ready</v>
      </c>
      <c r="V27" s="39" t="str">
        <f>IF(R27="","",IF(S27&lt;=IF('1. AI Position'!$C$30="",5,INDEX(Lists!$AI$2:$AI$5,'1. AI Position'!$C$30)),"Within current position","Beyond current position"))</f>
        <v>Within current position</v>
      </c>
      <c r="W27" s="40" t="str">
        <f>IF(B27="","",IF(OR(COUNTA(F27:N27)&lt;9,Q27=""),"Complete inputs",IF(H27="No - varies by person / team","Redesign / standardise first",IF(T27="No","Automate - AI not needed",IF(U27="Data gap","AI later - close data gap first",IF(V27="Beyond current position","Stretch - partner or later stage","AI fit now"))))))</f>
        <v>AI fit now</v>
      </c>
      <c r="X27" s="41">
        <f>IF(OR(W27="",W27="Complete inputs"),"",ROUND(0.3*INDEX(Lists!$N$8:$N$10,MATCH(F27,Lists!$M$8:$M$10,0))+0.25*IF(G27&lt;20,1,IF(G27&lt;80,2,IF(G27&lt;160,3,IF(G27&lt;480,4,5))))+0.25*J27+0.2*K27,2))</f>
        <v>3.35</v>
      </c>
      <c r="Y27" s="41">
        <f>IF(X27="","",ROUND(0.3*IF(U27="Data ready",5,IF(INDEX(Lists!$N$2:$N$5,MATCH(I27,Lists!$M$2:$M$5,0))=INDEX(Lists!$E$2:$E$11,MATCH(R27,Lists!$B$2:$B$11,0))-1,3,1))+0.25*INDEX(Lists!$N$13:$N$15,MATCH(H27,Lists!$M$13:$M$15,0))+0.25*(6-S27)+0.2*IF(V27="Within current position",5,2),2))</f>
        <v>4</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Medium</v>
      </c>
      <c r="AA27" s="38" t="str">
        <f>IF(X27="","",IF(AND(X27&gt;=$C$4,Y27&gt;=$C$4),"Quick win",IF(X27&gt;=$C$4,"Strategic bet",IF(Y27&gt;=$C$4,"Fill-in","Deprioritise"))))</f>
        <v>Quick win</v>
      </c>
      <c r="AB27" s="41">
        <f>IF(X27="","",ROUND(X27*Y27*IF(Z27="High",0.85,1)*IF(W27="Redesign / standardise first",0.8,1),2))</f>
        <v>13.4</v>
      </c>
      <c r="AC27" s="42">
        <f>IF(AB27="","",RANK(AB27,$AB$8:$AB$57)+COUNTIF($AB$7:AB26,AB27))</f>
        <v>11</v>
      </c>
      <c r="AD27" s="39" t="str">
        <f>IF(AH27="","",INDEX(Lists!$AV$2:$AV$5,AH27))</f>
        <v>H1 - Now (0-6 months)</v>
      </c>
      <c r="AE27" s="43">
        <f>IF(AB27="","",ROUND(G27*12*INDEX(Lists!$F$2:$F$11,MATCH(R27,Lists!$B$2:$B$11,0)),0))</f>
        <v>720</v>
      </c>
      <c r="AF27" s="44" t="str">
        <f>IF(OR(B27="",R27=""),"",IF(O27="Custom",INDEX(Lists!$I$2:$I$11,MATCH(R27,Lists!$B$2:$B$11,0)),INDEX('2. Use-Case Library'!$H$5:$H$244,MATCH($O27,'2. Use-Case Library'!$A$5:$A$244,0))))</f>
        <v>AI-assisted BIA and ISO 22301-aligned plan drafting (GT AI-powered BCP tool - in preparation).</v>
      </c>
      <c r="AG27" s="44" t="str">
        <f>IF(OR(B27="",O27="Custom"),"",INDEX('2. Use-Case Library'!$K$5:$K$244,MATCH($O27,'2. Use-Case Library'!$A$5:$A$244,0)))</f>
        <v>Client validation of plans; confidentiality.</v>
      </c>
      <c r="AH27" s="38">
        <f>IF(AB27="","",IF(AA27="Deprioritise",4,IF(W27="AI later - close data gap first",3,IF(OR(W27="Redesign / standardise first",W27="Stretch - partner or later stage",AA27="Strategic bet",Z27="High",S27=5),2,1))))</f>
        <v>1</v>
      </c>
      <c r="AI27" s="38">
        <f>IF(AC27="","",AH27*100+AC27)</f>
        <v>111</v>
      </c>
      <c r="AJ27" s="38" t="str">
        <f>IF(B27="","",IF(O27="Custom",B27,INDEX('2. Use-Case Library'!$D$5:$D$244,MATCH($O27,'2. Use-Case Library'!$A$5:$A$244,0))))</f>
        <v>Client BCP &amp; business impact analysis (GT AI BCP tool - in preparation)</v>
      </c>
    </row>
    <row r="28" ht="52" customHeight="1">
      <c r="A28" s="14" t="n">
        <v>21</v>
      </c>
      <c r="B28" s="37" t="inlineStr">
        <is>
          <t>PRO-11 | Financial statements preparation (GT AI FS tool - in preparation)</t>
        </is>
      </c>
      <c r="C28" s="37" t="n"/>
      <c r="D28" s="37" t="n"/>
      <c r="E28" s="37" t="n"/>
      <c r="F28" s="37" t="inlineStr">
        <is>
          <t>Medium (100 - 1,000 a month)</t>
        </is>
      </c>
      <c r="G28" s="37" t="n">
        <v>260</v>
      </c>
      <c r="H28" s="37" t="inlineStr">
        <is>
          <t>Yes - documented and consistent</t>
        </is>
      </c>
      <c r="I28" s="37" t="inlineStr">
        <is>
          <t>Digital history available</t>
        </is>
      </c>
      <c r="J28" s="37" t="n">
        <v>5</v>
      </c>
      <c r="K28" s="37" t="n">
        <v>5</v>
      </c>
      <c r="L28" s="37" t="inlineStr">
        <is>
          <t>No</t>
        </is>
      </c>
      <c r="M28" s="37" t="inlineStr">
        <is>
          <t>Yes</t>
        </is>
      </c>
      <c r="N28" s="37" t="inlineStr">
        <is>
          <t>Human approves each AI output</t>
        </is>
      </c>
      <c r="O28" s="38" t="str">
        <f>IF(B28="","",IFERROR(INDEX('2. Use-Case Library'!$A$5:$A$244,MATCH(B28,'2. Use-Case Library'!$M$5:$M$244,0)),"Custom"))</f>
        <v>PRO-11</v>
      </c>
      <c r="P28" s="39" t="str">
        <f>IF(B28="","",IF(O28="Custom",IF(E28="","(select function in E)",E28),INDEX('2. Use-Case Library'!$C$5:$C$244,MATCH($O28,'2. Use-Case Library'!$A$5:$A$244,0))))</f>
        <v>Core operations &amp; service delivery</v>
      </c>
      <c r="Q28" s="39" t="str">
        <f>IF(B28="","",IF(D28&lt;&gt;"",D28,IF(O28="Custom","",INDEX('2. Use-Case Library'!$F$5:$F$244,MATCH($O28,'2. Use-Case Library'!$A$5:$A$244,0)))))</f>
        <v>Forecast, score, classify or detect anomalies from historical data</v>
      </c>
      <c r="R28" s="39" t="str">
        <f>IF(Q28="","",INDEX(Lists!$B$2:$B$11,MATCH(Q28,Lists!$A$2:$A$11,0)))</f>
        <v>Predictive analytics / machine learning</v>
      </c>
      <c r="S28" s="38">
        <f>IF(R28="","",INDEX(Lists!$C$2:$C$11,MATCH(R28,Lists!$B$2:$B$11,0)))</f>
        <v>5</v>
      </c>
      <c r="T28" s="38" t="str">
        <f>IF(R28="","",INDEX(Lists!$D$2:$D$11,MATCH(R28,Lists!$B$2:$B$11,0)))</f>
        <v>Yes</v>
      </c>
      <c r="U28" s="38" t="str">
        <f>IF(OR(R28="",I28=""),"",IF(INDEX(Lists!$N$2:$N$5,MATCH(I28,Lists!$M$2:$M$5,0))&gt;=INDEX(Lists!$E$2:$E$11,MATCH(R28,Lists!$B$2:$B$11,0)),"Data ready","Data gap"))</f>
        <v>Data ready</v>
      </c>
      <c r="V28" s="39" t="str">
        <f>IF(R28="","",IF(S28&lt;=IF('1. AI Position'!$C$30="",5,INDEX(Lists!$AI$2:$AI$5,'1. AI Position'!$C$30)),"Within current position","Beyond current position"))</f>
        <v>Beyond current position</v>
      </c>
      <c r="W28" s="40" t="str">
        <f>IF(B28="","",IF(OR(COUNTA(F28:N28)&lt;9,Q28=""),"Complete inputs",IF(H28="No - varies by person / team","Redesign / standardise first",IF(T28="No","Automate - AI not needed",IF(U28="Data gap","AI later - close data gap first",IF(V28="Beyond current position","Stretch - partner or later stage","AI fit now"))))))</f>
        <v>Stretch - partner or later stage</v>
      </c>
      <c r="X28" s="41">
        <f>IF(OR(W28="",W28="Complete inputs"),"",ROUND(0.3*INDEX(Lists!$N$8:$N$10,MATCH(F28,Lists!$M$8:$M$10,0))+0.25*IF(G28&lt;20,1,IF(G28&lt;80,2,IF(G28&lt;160,3,IF(G28&lt;480,4,5))))+0.25*J28+0.2*K28,2))</f>
        <v>4.15</v>
      </c>
      <c r="Y28" s="41">
        <f>IF(X28="","",ROUND(0.3*IF(U28="Data ready",5,IF(INDEX(Lists!$N$2:$N$5,MATCH(I28,Lists!$M$2:$M$5,0))=INDEX(Lists!$E$2:$E$11,MATCH(R28,Lists!$B$2:$B$11,0))-1,3,1))+0.25*INDEX(Lists!$N$13:$N$15,MATCH(H28,Lists!$M$13:$M$15,0))+0.25*(6-S28)+0.2*IF(V28="Within current position",5,2),2))</f>
        <v>3.4</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High</v>
      </c>
      <c r="AA28" s="38" t="str">
        <f>IF(X28="","",IF(AND(X28&gt;=$C$4,Y28&gt;=$C$4),"Quick win",IF(X28&gt;=$C$4,"Strategic bet",IF(Y28&gt;=$C$4,"Fill-in","Deprioritise"))))</f>
        <v>Quick win</v>
      </c>
      <c r="AB28" s="41">
        <f>IF(X28="","",ROUND(X28*Y28*IF(Z28="High",0.85,1)*IF(W28="Redesign / standardise first",0.8,1),2))</f>
        <v>11.99</v>
      </c>
      <c r="AC28" s="42">
        <f>IF(AB28="","",RANK(AB28,$AB$8:$AB$57)+COUNTIF($AB$7:AB27,AB28))</f>
        <v>14</v>
      </c>
      <c r="AD28" s="39" t="str">
        <f>IF(AH28="","",INDEX(Lists!$AV$2:$AV$5,AH28))</f>
        <v>H2 - Next (6-12 months)</v>
      </c>
      <c r="AE28" s="43">
        <f>IF(AB28="","",ROUND(G28*12*INDEX(Lists!$F$2:$F$11,MATCH(R28,Lists!$B$2:$B$11,0)),0))</f>
        <v>624</v>
      </c>
      <c r="AF28" s="44" t="str">
        <f>IF(OR(B28="",R28=""),"",IF(O28="Custom",INDEX(Lists!$I$2:$I$11,MATCH(R28,Lists!$B$2:$B$11,0)),INDEX('2. Use-Case Library'!$H$5:$H$244,MATCH($O28,'2. Use-Case Library'!$A$5:$A$244,0))))</f>
        <v>AI-assisted TB mapping and notes drafting with mandatory accountant review (GT AI-powered Financial Statements tool - in preparation).</v>
      </c>
      <c r="AG28" s="44" t="str">
        <f>IF(OR(B28="",O28="Custom"),"",INDEX('2. Use-Case Library'!$K$5:$K$244,MATCH($O28,'2. Use-Case Library'!$A$5:$A$244,0)))</f>
        <v>IFRS; IESBA independence for audit clients; professional sign-off.</v>
      </c>
      <c r="AH28" s="38">
        <f>IF(AB28="","",IF(AA28="Deprioritise",4,IF(W28="AI later - close data gap first",3,IF(OR(W28="Redesign / standardise first",W28="Stretch - partner or later stage",AA28="Strategic bet",Z28="High",S28=5),2,1))))</f>
        <v>2</v>
      </c>
      <c r="AI28" s="38">
        <f>IF(AC28="","",AH28*100+AC28)</f>
        <v>214</v>
      </c>
      <c r="AJ28" s="38" t="str">
        <f>IF(B28="","",IF(O28="Custom",B28,INDEX('2. Use-Case Library'!$D$5:$D$244,MATCH($O28,'2. Use-Case Library'!$A$5:$A$244,0))))</f>
        <v>Financial statements preparation (GT AI FS tool - in preparation)</v>
      </c>
    </row>
    <row r="29" ht="52" customHeight="1">
      <c r="A29" s="14" t="n">
        <v>22</v>
      </c>
      <c r="B29" s="37" t="inlineStr">
        <is>
          <t>XI-28 | Customer churn prediction</t>
        </is>
      </c>
      <c r="C29" s="37" t="n"/>
      <c r="D29" s="37" t="n"/>
      <c r="E29" s="37" t="n"/>
      <c r="F29" s="37" t="inlineStr">
        <is>
          <t>Medium (100 - 1,000 a month)</t>
        </is>
      </c>
      <c r="G29" s="37" t="n">
        <v>200</v>
      </c>
      <c r="H29" s="37" t="inlineStr">
        <is>
          <t>Partly - common steps, some variation</t>
        </is>
      </c>
      <c r="I29" s="37" t="inlineStr">
        <is>
          <t>Partial or paper-based</t>
        </is>
      </c>
      <c r="J29" s="37" t="n">
        <v>4</v>
      </c>
      <c r="K29" s="37" t="n">
        <v>4</v>
      </c>
      <c r="L29" s="37" t="inlineStr">
        <is>
          <t>No</t>
        </is>
      </c>
      <c r="M29" s="37" t="inlineStr">
        <is>
          <t>Yes</t>
        </is>
      </c>
      <c r="N29" s="37" t="inlineStr">
        <is>
          <t>Assist - AI suggests, a person does the work</t>
        </is>
      </c>
      <c r="O29" s="38" t="str">
        <f>IF(B29="","",IFERROR(INDEX('2. Use-Case Library'!$A$5:$A$244,MATCH(B29,'2. Use-Case Library'!$M$5:$M$244,0)),"Custom"))</f>
        <v>XI-28</v>
      </c>
      <c r="P29" s="39" t="str">
        <f>IF(B29="","",IF(O29="Custom",IF(E29="","(select function in E)",E29),INDEX('2. Use-Case Library'!$C$5:$C$244,MATCH($O29,'2. Use-Case Library'!$A$5:$A$244,0))))</f>
        <v>Sales &amp; marketing</v>
      </c>
      <c r="Q29" s="39" t="str">
        <f>IF(B29="","",IF(D29&lt;&gt;"",D29,IF(O29="Custom","",INDEX('2. Use-Case Library'!$F$5:$F$244,MATCH($O29,'2. Use-Case Library'!$A$5:$A$244,0)))))</f>
        <v>Forecast, score, classify or detect anomalies from historical data</v>
      </c>
      <c r="R29" s="39" t="str">
        <f>IF(Q29="","",INDEX(Lists!$B$2:$B$11,MATCH(Q29,Lists!$A$2:$A$11,0)))</f>
        <v>Predictive analytics / machine learning</v>
      </c>
      <c r="S29" s="38">
        <f>IF(R29="","",INDEX(Lists!$C$2:$C$11,MATCH(R29,Lists!$B$2:$B$11,0)))</f>
        <v>5</v>
      </c>
      <c r="T29" s="38" t="str">
        <f>IF(R29="","",INDEX(Lists!$D$2:$D$11,MATCH(R29,Lists!$B$2:$B$11,0)))</f>
        <v>Yes</v>
      </c>
      <c r="U29" s="38" t="str">
        <f>IF(OR(R29="",I29=""),"",IF(INDEX(Lists!$N$2:$N$5,MATCH(I29,Lists!$M$2:$M$5,0))&gt;=INDEX(Lists!$E$2:$E$11,MATCH(R29,Lists!$B$2:$B$11,0)),"Data ready","Data gap"))</f>
        <v>Data gap</v>
      </c>
      <c r="V29" s="39" t="str">
        <f>IF(R29="","",IF(S29&lt;=IF('1. AI Position'!$C$30="",5,INDEX(Lists!$AI$2:$AI$5,'1. AI Position'!$C$30)),"Within current position","Beyond current position"))</f>
        <v>Beyond current position</v>
      </c>
      <c r="W29" s="40" t="str">
        <f>IF(B29="","",IF(OR(COUNTA(F29:N29)&lt;9,Q29=""),"Complete inputs",IF(H29="No - varies by person / team","Redesign / standardise first",IF(T29="No","Automate - AI not needed",IF(U29="Data gap","AI later - close data gap first",IF(V29="Beyond current position","Stretch - partner or later stage","AI fit now"))))))</f>
        <v>AI later - close data gap first</v>
      </c>
      <c r="X29" s="41">
        <f>IF(OR(W29="",W29="Complete inputs"),"",ROUND(0.3*INDEX(Lists!$N$8:$N$10,MATCH(F29,Lists!$M$8:$M$10,0))+0.25*IF(G29&lt;20,1,IF(G29&lt;80,2,IF(G29&lt;160,3,IF(G29&lt;480,4,5))))+0.25*J29+0.2*K29,2))</f>
        <v>3.7</v>
      </c>
      <c r="Y29" s="41">
        <f>IF(X29="","",ROUND(0.3*IF(U29="Data ready",5,IF(INDEX(Lists!$N$2:$N$5,MATCH(I29,Lists!$M$2:$M$5,0))=INDEX(Lists!$E$2:$E$11,MATCH(R29,Lists!$B$2:$B$11,0))-1,3,1))+0.25*INDEX(Lists!$N$13:$N$15,MATCH(H29,Lists!$M$13:$M$15,0))+0.25*(6-S29)+0.2*IF(V29="Within current position",5,2),2))</f>
        <v>2.3</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Medium</v>
      </c>
      <c r="AA29" s="38" t="str">
        <f>IF(X29="","",IF(AND(X29&gt;=$C$4,Y29&gt;=$C$4),"Quick win",IF(X29&gt;=$C$4,"Strategic bet",IF(Y29&gt;=$C$4,"Fill-in","Deprioritise"))))</f>
        <v>Strategic bet</v>
      </c>
      <c r="AB29" s="41">
        <f>IF(X29="","",ROUND(X29*Y29*IF(Z29="High",0.85,1)*IF(W29="Redesign / standardise first",0.8,1),2))</f>
        <v>8.51</v>
      </c>
      <c r="AC29" s="42">
        <f>IF(AB29="","",RANK(AB29,$AB$8:$AB$57)+COUNTIF($AB$7:AB28,AB29))</f>
        <v>19</v>
      </c>
      <c r="AD29" s="39" t="str">
        <f>IF(AH29="","",INDEX(Lists!$AV$2:$AV$5,AH29))</f>
        <v>H3 - Later (12-24 months)</v>
      </c>
      <c r="AE29" s="43">
        <f>IF(AB29="","",ROUND(G29*12*INDEX(Lists!$F$2:$F$11,MATCH(R29,Lists!$B$2:$B$11,0)),0))</f>
        <v>480</v>
      </c>
      <c r="AF29" s="44" t="str">
        <f>IF(OR(B29="",R29=""),"",IF(O29="Custom",INDEX(Lists!$I$2:$I$11,MATCH(R29,Lists!$B$2:$B$11,0)),INDEX('2. Use-Case Library'!$H$5:$H$244,MATCH($O29,'2. Use-Case Library'!$A$5:$A$244,0))))</f>
        <v>Churn model on usage and service history feeding retention campaigns; measure uplift with control groups.</v>
      </c>
      <c r="AG29" s="44" t="str">
        <f>IF(OR(B29="",O29="Custom"),"",INDEX('2. Use-Case Library'!$K$5:$K$244,MATCH($O29,'2. Use-Case Library'!$A$5:$A$244,0)))</f>
        <v>Consent for marketing use; fairness of offers.</v>
      </c>
      <c r="AH29" s="38">
        <f>IF(AB29="","",IF(AA29="Deprioritise",4,IF(W29="AI later - close data gap first",3,IF(OR(W29="Redesign / standardise first",W29="Stretch - partner or later stage",AA29="Strategic bet",Z29="High",S29=5),2,1))))</f>
        <v>3</v>
      </c>
      <c r="AI29" s="38">
        <f>IF(AC29="","",AH29*100+AC29)</f>
        <v>319</v>
      </c>
      <c r="AJ29" s="38" t="str">
        <f>IF(B29="","",IF(O29="Custom",B29,INDEX('2. Use-Case Library'!$D$5:$D$244,MATCH($O29,'2. Use-Case Library'!$A$5:$A$244,0))))</f>
        <v>Customer churn prediction</v>
      </c>
    </row>
    <row r="30" ht="52" customHeight="1">
      <c r="A30" s="14" t="n">
        <v>23</v>
      </c>
      <c r="B30" s="37" t="n"/>
      <c r="C30" s="37" t="n"/>
      <c r="D30" s="37" t="n"/>
      <c r="E30" s="37" t="n"/>
      <c r="F30" s="37" t="n"/>
      <c r="G30" s="37" t="n"/>
      <c r="H30" s="37" t="n"/>
      <c r="I30" s="37" t="n"/>
      <c r="J30" s="37" t="n"/>
      <c r="K30" s="37" t="n"/>
      <c r="L30" s="37" t="n"/>
      <c r="M30" s="37" t="n"/>
      <c r="N30" s="37" t="n"/>
      <c r="O30" s="38" t="str">
        <f>IF(B30="","",IFERROR(INDEX('2. Use-Case Library'!$A$5:$A$244,MATCH(B30,'2. Use-Case Library'!$M$5:$M$244,0)),"Custom"))</f>
        <v/>
      </c>
      <c r="P30" s="39" t="str">
        <f>IF(B30="","",IF(O30="Custom",IF(E30="","(select function in E)",E30),INDEX('2. Use-Case Library'!$C$5:$C$244,MATCH($O30,'2. Use-Case Library'!$A$5:$A$244,0))))</f>
        <v/>
      </c>
      <c r="Q30" s="39" t="str">
        <f>IF(B30="","",IF(D30&lt;&gt;"",D30,IF(O30="Custom","",INDEX('2. Use-Case Library'!$F$5:$F$244,MATCH($O30,'2. Use-Case Library'!$A$5:$A$244,0)))))</f>
        <v/>
      </c>
      <c r="R30" s="39" t="str">
        <f>IF(Q30="","",INDEX(Lists!$B$2:$B$11,MATCH(Q30,Lists!$A$2:$A$11,0)))</f>
        <v/>
      </c>
      <c r="S30" s="38" t="str">
        <f>IF(R30="","",INDEX(Lists!$C$2:$C$11,MATCH(R30,Lists!$B$2:$B$11,0)))</f>
        <v/>
      </c>
      <c r="T30" s="38" t="str">
        <f>IF(R30="","",INDEX(Lists!$D$2:$D$11,MATCH(R30,Lists!$B$2:$B$11,0)))</f>
        <v/>
      </c>
      <c r="U30" s="38" t="str">
        <f>IF(OR(R30="",I30=""),"",IF(INDEX(Lists!$N$2:$N$5,MATCH(I30,Lists!$M$2:$M$5,0))&gt;=INDEX(Lists!$E$2:$E$11,MATCH(R30,Lists!$B$2:$B$11,0)),"Data ready","Data gap"))</f>
        <v/>
      </c>
      <c r="V30" s="39" t="str">
        <f>IF(R30="","",IF(S30&lt;=IF('1. AI Position'!$C$30="",5,INDEX(Lists!$AI$2:$AI$5,'1. AI Position'!$C$30)),"Within current position","Beyond current position"))</f>
        <v/>
      </c>
      <c r="W30" s="40" t="str">
        <f>IF(B30="","",IF(OR(COUNTA(F30:N30)&lt;9,Q30=""),"Complete inputs",IF(H30="No - varies by person / team","Redesign / standardise first",IF(T30="No","Automate - AI not needed",IF(U30="Data gap","AI later - close data gap first",IF(V30="Beyond current position","Stretch - partner or later stage","AI fit now"))))))</f>
        <v/>
      </c>
      <c r="X30" s="41" t="str">
        <f>IF(OR(W30="",W30="Complete inputs"),"",ROUND(0.3*INDEX(Lists!$N$8:$N$10,MATCH(F30,Lists!$M$8:$M$10,0))+0.25*IF(G30&lt;20,1,IF(G30&lt;80,2,IF(G30&lt;160,3,IF(G30&lt;480,4,5))))+0.25*J30+0.2*K30,2))</f>
        <v/>
      </c>
      <c r="Y30" s="41" t="str">
        <f>IF(X30="","",ROUND(0.3*IF(U30="Data ready",5,IF(INDEX(Lists!$N$2:$N$5,MATCH(I30,Lists!$M$2:$M$5,0))=INDEX(Lists!$E$2:$E$11,MATCH(R30,Lists!$B$2:$B$11,0))-1,3,1))+0.25*INDEX(Lists!$N$13:$N$15,MATCH(H30,Lists!$M$13:$M$15,0))+0.25*(6-S30)+0.2*IF(V30="Within current position",5,2),2))</f>
        <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
      </c>
      <c r="AA30" s="38" t="str">
        <f>IF(X30="","",IF(AND(X30&gt;=$C$4,Y30&gt;=$C$4),"Quick win",IF(X30&gt;=$C$4,"Strategic bet",IF(Y30&gt;=$C$4,"Fill-in","Deprioritise"))))</f>
        <v/>
      </c>
      <c r="AB30" s="41" t="str">
        <f>IF(X30="","",ROUND(X30*Y30*IF(Z30="High",0.85,1)*IF(W30="Redesign / standardise first",0.8,1),2))</f>
        <v/>
      </c>
      <c r="AC30" s="42" t="str">
        <f>IF(AB30="","",RANK(AB30,$AB$8:$AB$57)+COUNTIF($AB$7:AB29,AB30))</f>
        <v/>
      </c>
      <c r="AD30" s="39" t="str">
        <f>IF(AH30="","",INDEX(Lists!$AV$2:$AV$5,AH30))</f>
        <v/>
      </c>
      <c r="AE30" s="43" t="str">
        <f>IF(AB30="","",ROUND(G30*12*INDEX(Lists!$F$2:$F$11,MATCH(R30,Lists!$B$2:$B$11,0)),0))</f>
        <v/>
      </c>
      <c r="AF30" s="44" t="str">
        <f>IF(OR(B30="",R30=""),"",IF(O30="Custom",INDEX(Lists!$I$2:$I$11,MATCH(R30,Lists!$B$2:$B$11,0)),INDEX('2. Use-Case Library'!$H$5:$H$244,MATCH($O30,'2. Use-Case Library'!$A$5:$A$244,0))))</f>
        <v/>
      </c>
      <c r="AG30" s="44" t="str">
        <f>IF(OR(B30="",O30="Custom"),"",INDEX('2. Use-Case Library'!$K$5:$K$244,MATCH($O30,'2. Use-Case Library'!$A$5:$A$244,0)))</f>
        <v/>
      </c>
      <c r="AH30" s="38" t="str">
        <f>IF(AB30="","",IF(AA30="Deprioritise",4,IF(W30="AI later - close data gap first",3,IF(OR(W30="Redesign / standardise first",W30="Stretch - partner or later stage",AA30="Strategic bet",Z30="High",S30=5),2,1))))</f>
        <v/>
      </c>
      <c r="AI30" s="38" t="str">
        <f>IF(AC30="","",AH30*100+AC30)</f>
        <v/>
      </c>
      <c r="AJ30" s="38" t="str">
        <f>IF(B30="","",IF(O30="Custom",B30,INDEX('2. Use-Case Library'!$D$5:$D$244,MATCH($O30,'2. Use-Case Library'!$A$5:$A$244,0))))</f>
        <v/>
      </c>
    </row>
    <row r="31" ht="52" customHeight="1">
      <c r="A31" s="14" t="n">
        <v>24</v>
      </c>
      <c r="B31" s="37" t="n"/>
      <c r="C31" s="37" t="n"/>
      <c r="D31" s="37" t="n"/>
      <c r="E31" s="37" t="n"/>
      <c r="F31" s="37" t="n"/>
      <c r="G31" s="37" t="n"/>
      <c r="H31" s="37" t="n"/>
      <c r="I31" s="37" t="n"/>
      <c r="J31" s="37" t="n"/>
      <c r="K31" s="37" t="n"/>
      <c r="L31" s="37" t="n"/>
      <c r="M31" s="37" t="n"/>
      <c r="N31" s="37" t="n"/>
      <c r="O31" s="38" t="str">
        <f>IF(B31="","",IFERROR(INDEX('2. Use-Case Library'!$A$5:$A$244,MATCH(B31,'2. Use-Case Library'!$M$5:$M$244,0)),"Custom"))</f>
        <v/>
      </c>
      <c r="P31" s="39" t="str">
        <f>IF(B31="","",IF(O31="Custom",IF(E31="","(select function in E)",E31),INDEX('2. Use-Case Library'!$C$5:$C$244,MATCH($O31,'2. Use-Case Library'!$A$5:$A$244,0))))</f>
        <v/>
      </c>
      <c r="Q31" s="39" t="str">
        <f>IF(B31="","",IF(D31&lt;&gt;"",D31,IF(O31="Custom","",INDEX('2. Use-Case Library'!$F$5:$F$244,MATCH($O31,'2. Use-Case Library'!$A$5:$A$244,0)))))</f>
        <v/>
      </c>
      <c r="R31" s="39" t="str">
        <f>IF(Q31="","",INDEX(Lists!$B$2:$B$11,MATCH(Q31,Lists!$A$2:$A$11,0)))</f>
        <v/>
      </c>
      <c r="S31" s="38" t="str">
        <f>IF(R31="","",INDEX(Lists!$C$2:$C$11,MATCH(R31,Lists!$B$2:$B$11,0)))</f>
        <v/>
      </c>
      <c r="T31" s="38" t="str">
        <f>IF(R31="","",INDEX(Lists!$D$2:$D$11,MATCH(R31,Lists!$B$2:$B$11,0)))</f>
        <v/>
      </c>
      <c r="U31" s="38" t="str">
        <f>IF(OR(R31="",I31=""),"",IF(INDEX(Lists!$N$2:$N$5,MATCH(I31,Lists!$M$2:$M$5,0))&gt;=INDEX(Lists!$E$2:$E$11,MATCH(R31,Lists!$B$2:$B$11,0)),"Data ready","Data gap"))</f>
        <v/>
      </c>
      <c r="V31" s="39" t="str">
        <f>IF(R31="","",IF(S31&lt;=IF('1. AI Position'!$C$30="",5,INDEX(Lists!$AI$2:$AI$5,'1. AI Position'!$C$30)),"Within current position","Beyond current position"))</f>
        <v/>
      </c>
      <c r="W31" s="40" t="str">
        <f>IF(B31="","",IF(OR(COUNTA(F31:N31)&lt;9,Q31=""),"Complete inputs",IF(H31="No - varies by person / team","Redesign / standardise first",IF(T31="No","Automate - AI not needed",IF(U31="Data gap","AI later - close data gap first",IF(V31="Beyond current position","Stretch - partner or later stage","AI fit now"))))))</f>
        <v/>
      </c>
      <c r="X31" s="41" t="str">
        <f>IF(OR(W31="",W31="Complete inputs"),"",ROUND(0.3*INDEX(Lists!$N$8:$N$10,MATCH(F31,Lists!$M$8:$M$10,0))+0.25*IF(G31&lt;20,1,IF(G31&lt;80,2,IF(G31&lt;160,3,IF(G31&lt;480,4,5))))+0.25*J31+0.2*K31,2))</f>
        <v/>
      </c>
      <c r="Y31" s="41" t="str">
        <f>IF(X31="","",ROUND(0.3*IF(U31="Data ready",5,IF(INDEX(Lists!$N$2:$N$5,MATCH(I31,Lists!$M$2:$M$5,0))=INDEX(Lists!$E$2:$E$11,MATCH(R31,Lists!$B$2:$B$11,0))-1,3,1))+0.25*INDEX(Lists!$N$13:$N$15,MATCH(H31,Lists!$M$13:$M$15,0))+0.25*(6-S31)+0.2*IF(V31="Within current position",5,2),2))</f>
        <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
      </c>
      <c r="AA31" s="38" t="str">
        <f>IF(X31="","",IF(AND(X31&gt;=$C$4,Y31&gt;=$C$4),"Quick win",IF(X31&gt;=$C$4,"Strategic bet",IF(Y31&gt;=$C$4,"Fill-in","Deprioritise"))))</f>
        <v/>
      </c>
      <c r="AB31" s="41" t="str">
        <f>IF(X31="","",ROUND(X31*Y31*IF(Z31="High",0.85,1)*IF(W31="Redesign / standardise first",0.8,1),2))</f>
        <v/>
      </c>
      <c r="AC31" s="42" t="str">
        <f>IF(AB31="","",RANK(AB31,$AB$8:$AB$57)+COUNTIF($AB$7:AB30,AB31))</f>
        <v/>
      </c>
      <c r="AD31" s="39" t="str">
        <f>IF(AH31="","",INDEX(Lists!$AV$2:$AV$5,AH31))</f>
        <v/>
      </c>
      <c r="AE31" s="43" t="str">
        <f>IF(AB31="","",ROUND(G31*12*INDEX(Lists!$F$2:$F$11,MATCH(R31,Lists!$B$2:$B$11,0)),0))</f>
        <v/>
      </c>
      <c r="AF31" s="44" t="str">
        <f>IF(OR(B31="",R31=""),"",IF(O31="Custom",INDEX(Lists!$I$2:$I$11,MATCH(R31,Lists!$B$2:$B$11,0)),INDEX('2. Use-Case Library'!$H$5:$H$244,MATCH($O31,'2. Use-Case Library'!$A$5:$A$244,0))))</f>
        <v/>
      </c>
      <c r="AG31" s="44" t="str">
        <f>IF(OR(B31="",O31="Custom"),"",INDEX('2. Use-Case Library'!$K$5:$K$244,MATCH($O31,'2. Use-Case Library'!$A$5:$A$244,0)))</f>
        <v/>
      </c>
      <c r="AH31" s="38" t="str">
        <f>IF(AB31="","",IF(AA31="Deprioritise",4,IF(W31="AI later - close data gap first",3,IF(OR(W31="Redesign / standardise first",W31="Stretch - partner or later stage",AA31="Strategic bet",Z31="High",S31=5),2,1))))</f>
        <v/>
      </c>
      <c r="AI31" s="38" t="str">
        <f>IF(AC31="","",AH31*100+AC31)</f>
        <v/>
      </c>
      <c r="AJ31" s="38" t="str">
        <f>IF(B31="","",IF(O31="Custom",B31,INDEX('2. Use-Case Library'!$D$5:$D$244,MATCH($O31,'2. Use-Case Library'!$A$5:$A$244,0))))</f>
        <v/>
      </c>
    </row>
    <row r="32" ht="52" customHeight="1">
      <c r="A32" s="14" t="n">
        <v>25</v>
      </c>
      <c r="B32" s="37" t="n"/>
      <c r="C32" s="37" t="n"/>
      <c r="D32" s="37" t="n"/>
      <c r="E32" s="37" t="n"/>
      <c r="F32" s="37" t="n"/>
      <c r="G32" s="37" t="n"/>
      <c r="H32" s="37" t="n"/>
      <c r="I32" s="37" t="n"/>
      <c r="J32" s="37" t="n"/>
      <c r="K32" s="37" t="n"/>
      <c r="L32" s="37" t="n"/>
      <c r="M32" s="37" t="n"/>
      <c r="N32" s="37" t="n"/>
      <c r="O32" s="38" t="str">
        <f>IF(B32="","",IFERROR(INDEX('2. Use-Case Library'!$A$5:$A$244,MATCH(B32,'2. Use-Case Library'!$M$5:$M$244,0)),"Custom"))</f>
        <v/>
      </c>
      <c r="P32" s="39" t="str">
        <f>IF(B32="","",IF(O32="Custom",IF(E32="","(select function in E)",E32),INDEX('2. Use-Case Library'!$C$5:$C$244,MATCH($O32,'2. Use-Case Library'!$A$5:$A$244,0))))</f>
        <v/>
      </c>
      <c r="Q32" s="39" t="str">
        <f>IF(B32="","",IF(D32&lt;&gt;"",D32,IF(O32="Custom","",INDEX('2. Use-Case Library'!$F$5:$F$244,MATCH($O32,'2. Use-Case Library'!$A$5:$A$244,0)))))</f>
        <v/>
      </c>
      <c r="R32" s="39" t="str">
        <f>IF(Q32="","",INDEX(Lists!$B$2:$B$11,MATCH(Q32,Lists!$A$2:$A$11,0)))</f>
        <v/>
      </c>
      <c r="S32" s="38" t="str">
        <f>IF(R32="","",INDEX(Lists!$C$2:$C$11,MATCH(R32,Lists!$B$2:$B$11,0)))</f>
        <v/>
      </c>
      <c r="T32" s="38" t="str">
        <f>IF(R32="","",INDEX(Lists!$D$2:$D$11,MATCH(R32,Lists!$B$2:$B$11,0)))</f>
        <v/>
      </c>
      <c r="U32" s="38" t="str">
        <f>IF(OR(R32="",I32=""),"",IF(INDEX(Lists!$N$2:$N$5,MATCH(I32,Lists!$M$2:$M$5,0))&gt;=INDEX(Lists!$E$2:$E$11,MATCH(R32,Lists!$B$2:$B$11,0)),"Data ready","Data gap"))</f>
        <v/>
      </c>
      <c r="V32" s="39" t="str">
        <f>IF(R32="","",IF(S32&lt;=IF('1. AI Position'!$C$30="",5,INDEX(Lists!$AI$2:$AI$5,'1. AI Position'!$C$30)),"Within current position","Beyond current position"))</f>
        <v/>
      </c>
      <c r="W32" s="40" t="str">
        <f>IF(B32="","",IF(OR(COUNTA(F32:N32)&lt;9,Q32=""),"Complete inputs",IF(H32="No - varies by person / team","Redesign / standardise first",IF(T32="No","Automate - AI not needed",IF(U32="Data gap","AI later - close data gap first",IF(V32="Beyond current position","Stretch - partner or later stage","AI fit now"))))))</f>
        <v/>
      </c>
      <c r="X32" s="41" t="str">
        <f>IF(OR(W32="",W32="Complete inputs"),"",ROUND(0.3*INDEX(Lists!$N$8:$N$10,MATCH(F32,Lists!$M$8:$M$10,0))+0.25*IF(G32&lt;20,1,IF(G32&lt;80,2,IF(G32&lt;160,3,IF(G32&lt;480,4,5))))+0.25*J32+0.2*K32,2))</f>
        <v/>
      </c>
      <c r="Y32" s="41" t="str">
        <f>IF(X32="","",ROUND(0.3*IF(U32="Data ready",5,IF(INDEX(Lists!$N$2:$N$5,MATCH(I32,Lists!$M$2:$M$5,0))=INDEX(Lists!$E$2:$E$11,MATCH(R32,Lists!$B$2:$B$11,0))-1,3,1))+0.25*INDEX(Lists!$N$13:$N$15,MATCH(H32,Lists!$M$13:$M$15,0))+0.25*(6-S32)+0.2*IF(V32="Within current position",5,2),2))</f>
        <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
      </c>
      <c r="AA32" s="38" t="str">
        <f>IF(X32="","",IF(AND(X32&gt;=$C$4,Y32&gt;=$C$4),"Quick win",IF(X32&gt;=$C$4,"Strategic bet",IF(Y32&gt;=$C$4,"Fill-in","Deprioritise"))))</f>
        <v/>
      </c>
      <c r="AB32" s="41" t="str">
        <f>IF(X32="","",ROUND(X32*Y32*IF(Z32="High",0.85,1)*IF(W32="Redesign / standardise first",0.8,1),2))</f>
        <v/>
      </c>
      <c r="AC32" s="42" t="str">
        <f>IF(AB32="","",RANK(AB32,$AB$8:$AB$57)+COUNTIF($AB$7:AB31,AB32))</f>
        <v/>
      </c>
      <c r="AD32" s="39" t="str">
        <f>IF(AH32="","",INDEX(Lists!$AV$2:$AV$5,AH32))</f>
        <v/>
      </c>
      <c r="AE32" s="43" t="str">
        <f>IF(AB32="","",ROUND(G32*12*INDEX(Lists!$F$2:$F$11,MATCH(R32,Lists!$B$2:$B$11,0)),0))</f>
        <v/>
      </c>
      <c r="AF32" s="44" t="str">
        <f>IF(OR(B32="",R32=""),"",IF(O32="Custom",INDEX(Lists!$I$2:$I$11,MATCH(R32,Lists!$B$2:$B$11,0)),INDEX('2. Use-Case Library'!$H$5:$H$244,MATCH($O32,'2. Use-Case Library'!$A$5:$A$244,0))))</f>
        <v/>
      </c>
      <c r="AG32" s="44" t="str">
        <f>IF(OR(B32="",O32="Custom"),"",INDEX('2. Use-Case Library'!$K$5:$K$244,MATCH($O32,'2. Use-Case Library'!$A$5:$A$244,0)))</f>
        <v/>
      </c>
      <c r="AH32" s="38" t="str">
        <f>IF(AB32="","",IF(AA32="Deprioritise",4,IF(W32="AI later - close data gap first",3,IF(OR(W32="Redesign / standardise first",W32="Stretch - partner or later stage",AA32="Strategic bet",Z32="High",S32=5),2,1))))</f>
        <v/>
      </c>
      <c r="AI32" s="38" t="str">
        <f>IF(AC32="","",AH32*100+AC32)</f>
        <v/>
      </c>
      <c r="AJ32" s="38" t="str">
        <f>IF(B32="","",IF(O32="Custom",B32,INDEX('2. Use-Case Library'!$D$5:$D$244,MATCH($O32,'2. Use-Case Library'!$A$5:$A$244,0))))</f>
        <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t="str">
        <f>'1. AI Position'!C4</f>
        <v>Grant Thornton Bahrain (illustrative)</v>
      </c>
      <c r="D5" s="15" t="n"/>
      <c r="E5" s="15" t="n"/>
      <c r="F5" s="15" t="n"/>
      <c r="G5" s="15" t="n"/>
      <c r="H5" s="15" t="n"/>
      <c r="I5" s="15" t="n"/>
      <c r="J5" s="15" t="n"/>
      <c r="K5" s="15" t="n"/>
    </row>
    <row r="6" ht="18" customHeight="1">
      <c r="A6" s="4" t="inlineStr">
        <is>
          <t>Sector</t>
        </is>
      </c>
      <c r="B6" s="28" t="n"/>
      <c r="C6" s="5" t="str">
        <f>'1. AI Position'!$C$5&amp;""</f>
        <v>Professional services</v>
      </c>
      <c r="D6" s="15" t="n"/>
      <c r="E6" s="15" t="n"/>
      <c r="F6" s="15" t="n"/>
      <c r="G6" s="15" t="n"/>
      <c r="H6" s="15" t="n"/>
      <c r="I6" s="15" t="n"/>
      <c r="J6" s="15" t="n"/>
      <c r="K6" s="15" t="n"/>
    </row>
    <row r="7" ht="18" customHeight="1">
      <c r="A7" s="4" t="inlineStr">
        <is>
          <t>AI position (archetype)</t>
        </is>
      </c>
      <c r="B7" s="28" t="n"/>
      <c r="C7" s="19" t="str">
        <f>'1. AI Position'!$C$31</f>
        <v>Buy and configure AI</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56%  /  44%</v>
      </c>
      <c r="D8" s="15" t="n"/>
      <c r="E8" s="15" t="n"/>
      <c r="F8" s="15" t="n"/>
      <c r="G8" s="15" t="n"/>
      <c r="H8" s="15" t="n"/>
      <c r="I8" s="15" t="n"/>
      <c r="J8" s="15" t="n"/>
      <c r="K8" s="15" t="n"/>
    </row>
    <row r="9" ht="30" customHeight="1">
      <c r="A9" s="4" t="inlineStr">
        <is>
          <t>What it means</t>
        </is>
      </c>
      <c r="B9" s="28" t="n"/>
      <c r="C9" s="5" t="str">
        <f>'1. AI Position'!C33</f>
        <v>Good data, limited scale / capacity: adopt and configure proven AI products rather than build.</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11</v>
      </c>
      <c r="D14" s="48">
        <f>IF(SUM($C$14:$C$18)=0,"",C14/SUM($C$14:$C$18))</f>
        <v>0.5</v>
      </c>
      <c r="E14" s="49">
        <f>SUMIF('3. AI Fit Diagnostic'!$W$8:$W$57,B14,'3. AI Fit Diagnostic'!$AE$8:$AE$57)</f>
        <v>7566</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5</v>
      </c>
      <c r="D15" s="48">
        <f>IF(SUM($C$14:$C$18)=0,"",C15/SUM($C$14:$C$18))</f>
        <v>0.227272727272727</v>
      </c>
      <c r="E15" s="49">
        <f>SUMIF('3. AI Fit Diagnostic'!$W$8:$W$57,B15,'3. AI Fit Diagnostic'!$AE$8:$AE$57)</f>
        <v>4164</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2</v>
      </c>
      <c r="D16" s="48">
        <f>IF(SUM($C$14:$C$18)=0,"",C16/SUM($C$14:$C$18))</f>
        <v>0.0909090909090909</v>
      </c>
      <c r="E16" s="49">
        <f>SUMIF('3. AI Fit Diagnostic'!$W$8:$W$57,B16,'3. AI Fit Diagnostic'!$AE$8:$AE$57)</f>
        <v>672</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3</v>
      </c>
      <c r="D17" s="48">
        <f>IF(SUM($C$14:$C$18)=0,"",C17/SUM($C$14:$C$18))</f>
        <v>0.136363636363636</v>
      </c>
      <c r="E17" s="49">
        <f>SUMIF('3. AI Fit Diagnostic'!$W$8:$W$57,B17,'3. AI Fit Diagnostic'!$AE$8:$AE$57)</f>
        <v>1536</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1</v>
      </c>
      <c r="D18" s="48">
        <f>IF(SUM($C$14:$C$18)=0,"",C18/SUM($C$14:$C$18))</f>
        <v>0.0454545454545455</v>
      </c>
      <c r="E18" s="49">
        <f>SUMIF('3. AI Fit Diagnostic'!$W$8:$W$57,B18,'3. AI Fit Diagnostic'!$AE$8:$AE$57)</f>
        <v>720</v>
      </c>
      <c r="F18" s="25" t="inlineStr">
        <is>
          <t>The process varies by person or team; automating or adding AI would scale inconsistency.</t>
        </is>
      </c>
      <c r="G18" s="15" t="n"/>
      <c r="H18" s="15" t="n"/>
      <c r="I18" s="15" t="n"/>
      <c r="J18" s="15" t="n"/>
      <c r="K18" s="15" t="n"/>
    </row>
    <row r="19">
      <c r="B19" s="4" t="inlineStr">
        <is>
          <t>Total assessed</t>
        </is>
      </c>
      <c r="C19" s="11">
        <f>SUM(C14:C18)</f>
        <v>22</v>
      </c>
      <c r="D19" s="6" t="inlineStr"/>
      <c r="E19" s="54">
        <f>SUM(E14:E18)</f>
        <v>14658</v>
      </c>
    </row>
    <row r="20" ht="30" customHeight="1">
      <c r="B20" s="55" t="str">
        <f>IF(C19=0,"",TEXT((C14+C17)/C19,"0%")&amp;" of assessed processes are AI opportunities (now or with a partner); "&amp;TEXT(C15/C19,"0%")&amp;" are better served by automation without AI; "&amp;TEXT((C16+C18)/C19,"0%")&amp;" need data or process foundations first.")</f>
        <v>64% of assessed processes are AI opportunities (now or with a partner); 23% are better served by automation without AI; 14% need data or process foundations first.</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4</v>
      </c>
      <c r="D24" s="21">
        <f>COUNTIFS('3. AI Fit Diagnostic'!$P$8:$P$57,$B24,'3. AI Fit Diagnostic'!$W$8:$W$57,"Stretch - partner or later stage")</f>
        <v>3</v>
      </c>
      <c r="E24" s="21">
        <f>COUNTIFS('3. AI Fit Diagnostic'!$P$8:$P$57,$B24,'3. AI Fit Diagnostic'!$W$8:$W$57,"AI later - close data gap first")</f>
        <v>0</v>
      </c>
      <c r="F24" s="21">
        <f>COUNTIFS('3. AI Fit Diagnostic'!$P$8:$P$57,$B24,'3. AI Fit Diagnostic'!$W$8:$W$57,"Automate - AI not needed")</f>
        <v>2</v>
      </c>
      <c r="G24" s="21">
        <f>COUNTIFS('3. AI Fit Diagnostic'!$P$8:$P$57,$B24,'3. AI Fit Diagnostic'!$W$8:$W$57,"Redesign / standardise first")</f>
        <v>1</v>
      </c>
      <c r="H24" s="57">
        <f>SUM(C24:G24)</f>
        <v>10</v>
      </c>
      <c r="I24" s="49">
        <f>SUMIF('3. AI Fit Diagnostic'!$P$8:$P$57,$B24,'3. AI Fit Diagnostic'!$AE$8:$AE$57)</f>
        <v>7416</v>
      </c>
      <c r="J24" s="21">
        <f>COUNTIFS('3. AI Fit Diagnostic'!$P$8:$P$57,$B24,'3. AI Fit Diagnostic'!$Z$8:$Z$57,"High")</f>
        <v>2</v>
      </c>
      <c r="K24" s="42" t="str">
        <f>IF(H24=0,"",IF(C24+D24&gt;=MAX(E24,F24,G24),"AI opportunity",IF(F24&gt;=MAX(E24,G24),"Automation is enough",IF(E24&gt;=G24,"Fix data first","Redesign first"))))</f>
        <v>AI opportunity</v>
      </c>
    </row>
    <row r="25">
      <c r="B25" s="56" t="inlineStr">
        <is>
          <t>Customer service</t>
        </is>
      </c>
      <c r="C25" s="21">
        <f>COUNTIFS('3. AI Fit Diagnostic'!$P$8:$P$57,$B25,'3. AI Fit Diagnostic'!$W$8:$W$57,"AI fit now")</f>
        <v>0</v>
      </c>
      <c r="D25" s="21">
        <f>COUNTIFS('3. AI Fit Diagnostic'!$P$8:$P$57,$B25,'3. AI Fit Diagnostic'!$W$8:$W$57,"Stretch - partner or later stage")</f>
        <v>0</v>
      </c>
      <c r="E25" s="21">
        <f>COUNTIFS('3. AI Fit Diagnostic'!$P$8:$P$57,$B25,'3. AI Fit Diagnostic'!$W$8:$W$57,"AI later - close data gap first")</f>
        <v>0</v>
      </c>
      <c r="F25" s="21">
        <f>COUNTIFS('3. AI Fit Diagnostic'!$P$8:$P$57,$B25,'3. AI Fit Diagnostic'!$W$8:$W$57,"Automate - AI not needed")</f>
        <v>0</v>
      </c>
      <c r="G25" s="21">
        <f>COUNTIFS('3. AI Fit Diagnostic'!$P$8:$P$57,$B25,'3. AI Fit Diagnostic'!$W$8:$W$57,"Redesign / standardise first")</f>
        <v>0</v>
      </c>
      <c r="H25" s="57">
        <f>SUM(C25:G25)</f>
        <v>0</v>
      </c>
      <c r="I25" s="49">
        <f>SUMIF('3. AI Fit Diagnostic'!$P$8:$P$57,$B25,'3. AI Fit Diagnostic'!$AE$8:$AE$57)</f>
        <v>0</v>
      </c>
      <c r="J25" s="21">
        <f>COUNTIFS('3. AI Fit Diagnostic'!$P$8:$P$57,$B25,'3. AI Fit Diagnostic'!$Z$8:$Z$57,"High")</f>
        <v>0</v>
      </c>
      <c r="K25" s="42" t="str">
        <f>IF(H25=0,"",IF(C25+D25&gt;=MAX(E25,F25,G25),"AI opportunity",IF(F25&gt;=MAX(E25,G25),"Automation is enough",IF(E25&gt;=G25,"Fix data first","Redesign first"))))</f>
        <v/>
      </c>
    </row>
    <row r="26">
      <c r="B26" s="56" t="inlineStr">
        <is>
          <t>Sales &amp; marketing</t>
        </is>
      </c>
      <c r="C26" s="21">
        <f>COUNTIFS('3. AI Fit Diagnostic'!$P$8:$P$57,$B26,'3. AI Fit Diagnostic'!$W$8:$W$57,"AI fit now")</f>
        <v>2</v>
      </c>
      <c r="D26" s="21">
        <f>COUNTIFS('3. AI Fit Diagnostic'!$P$8:$P$57,$B26,'3. AI Fit Diagnostic'!$W$8:$W$57,"Stretch - partner or later stage")</f>
        <v>0</v>
      </c>
      <c r="E26" s="21">
        <f>COUNTIFS('3. AI Fit Diagnostic'!$P$8:$P$57,$B26,'3. AI Fit Diagnostic'!$W$8:$W$57,"AI later - close data gap first")</f>
        <v>1</v>
      </c>
      <c r="F26" s="21">
        <f>COUNTIFS('3. AI Fit Diagnostic'!$P$8:$P$57,$B26,'3. AI Fit Diagnostic'!$W$8:$W$57,"Automate - AI not needed")</f>
        <v>0</v>
      </c>
      <c r="G26" s="21">
        <f>COUNTIFS('3. AI Fit Diagnostic'!$P$8:$P$57,$B26,'3. AI Fit Diagnostic'!$W$8:$W$57,"Redesign / standardise first")</f>
        <v>0</v>
      </c>
      <c r="H26" s="57">
        <f>SUM(C26:G26)</f>
        <v>3</v>
      </c>
      <c r="I26" s="49">
        <f>SUMIF('3. AI Fit Diagnostic'!$P$8:$P$57,$B26,'3. AI Fit Diagnostic'!$AE$8:$AE$57)</f>
        <v>1818</v>
      </c>
      <c r="J26" s="21">
        <f>COUNTIFS('3. AI Fit Diagnostic'!$P$8:$P$57,$B26,'3. AI Fit Diagnostic'!$Z$8:$Z$57,"High")</f>
        <v>0</v>
      </c>
      <c r="K26" s="42" t="str">
        <f>IF(H26=0,"",IF(C26+D26&gt;=MAX(E26,F26,G26),"AI opportunity",IF(F26&gt;=MAX(E26,G26),"Automation is enough",IF(E26&gt;=G26,"Fix data first","Redesign first"))))</f>
        <v>AI opportunity</v>
      </c>
    </row>
    <row r="27">
      <c r="B27" s="56" t="inlineStr">
        <is>
          <t>Finance &amp; accounting</t>
        </is>
      </c>
      <c r="C27" s="21">
        <f>COUNTIFS('3. AI Fit Diagnostic'!$P$8:$P$57,$B27,'3. AI Fit Diagnostic'!$W$8:$W$57,"AI fit now")</f>
        <v>1</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1</v>
      </c>
      <c r="G27" s="21">
        <f>COUNTIFS('3. AI Fit Diagnostic'!$P$8:$P$57,$B27,'3. AI Fit Diagnostic'!$W$8:$W$57,"Redesign / standardise first")</f>
        <v>0</v>
      </c>
      <c r="H27" s="57">
        <f>SUM(C27:G27)</f>
        <v>2</v>
      </c>
      <c r="I27" s="49">
        <f>SUMIF('3. AI Fit Diagnostic'!$P$8:$P$57,$B27,'3. AI Fit Diagnostic'!$AE$8:$AE$57)</f>
        <v>1656</v>
      </c>
      <c r="J27" s="21">
        <f>COUNTIFS('3. AI Fit Diagnostic'!$P$8:$P$57,$B27,'3. AI Fit Diagnostic'!$Z$8:$Z$57,"High")</f>
        <v>0</v>
      </c>
      <c r="K27" s="42" t="str">
        <f>IF(H27=0,"",IF(C27+D27&gt;=MAX(E27,F27,G27),"AI opportunity",IF(F27&gt;=MAX(E27,G27),"Automation is enough",IF(E27&gt;=G27,"Fix data first","Redesign first"))))</f>
        <v>AI opportunity</v>
      </c>
    </row>
    <row r="28">
      <c r="B28" s="56" t="inlineStr">
        <is>
          <t>HR &amp; people</t>
        </is>
      </c>
      <c r="C28" s="21">
        <f>COUNTIFS('3. AI Fit Diagnostic'!$P$8:$P$57,$B28,'3. AI Fit Diagnostic'!$W$8:$W$57,"AI fit now")</f>
        <v>1</v>
      </c>
      <c r="D28" s="21">
        <f>COUNTIFS('3. AI Fit Diagnostic'!$P$8:$P$57,$B28,'3. AI Fit Diagnostic'!$W$8:$W$57,"Stretch - partner or later stage")</f>
        <v>0</v>
      </c>
      <c r="E28" s="21">
        <f>COUNTIFS('3. AI Fit Diagnostic'!$P$8:$P$57,$B28,'3. AI Fit Diagnostic'!$W$8:$W$57,"AI later - close data gap first")</f>
        <v>1</v>
      </c>
      <c r="F28" s="21">
        <f>COUNTIFS('3. AI Fit Diagnostic'!$P$8:$P$57,$B28,'3. AI Fit Diagnostic'!$W$8:$W$57,"Automate - AI not needed")</f>
        <v>0</v>
      </c>
      <c r="G28" s="21">
        <f>COUNTIFS('3. AI Fit Diagnostic'!$P$8:$P$57,$B28,'3. AI Fit Diagnostic'!$W$8:$W$57,"Redesign / standardise first")</f>
        <v>0</v>
      </c>
      <c r="H28" s="57">
        <f>SUM(C28:G28)</f>
        <v>2</v>
      </c>
      <c r="I28" s="49">
        <f>SUMIF('3. AI Fit Diagnostic'!$P$8:$P$57,$B28,'3. AI Fit Diagnostic'!$AE$8:$AE$57)</f>
        <v>408</v>
      </c>
      <c r="J28" s="21">
        <f>COUNTIFS('3. AI Fit Diagnostic'!$P$8:$P$57,$B28,'3. AI Fit Diagnostic'!$Z$8:$Z$57,"High")</f>
        <v>1</v>
      </c>
      <c r="K28" s="42" t="str">
        <f>IF(H28=0,"",IF(C28+D28&gt;=MAX(E28,F28,G28),"AI opportunity",IF(F28&gt;=MAX(E28,G28),"Automation is enough",IF(E28&gt;=G28,"Fix data first","Redesign first"))))</f>
        <v>AI opportunity</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1</v>
      </c>
      <c r="D30" s="21">
        <f>COUNTIFS('3. AI Fit Diagnostic'!$P$8:$P$57,$B30,'3. AI Fit Diagnostic'!$W$8:$W$57,"Stretch - partner or later stage")</f>
        <v>0</v>
      </c>
      <c r="E30" s="21">
        <f>COUNTIFS('3. AI Fit Diagnostic'!$P$8:$P$57,$B30,'3. AI Fit Diagnostic'!$W$8:$W$57,"AI later - close data gap first")</f>
        <v>0</v>
      </c>
      <c r="F30" s="21">
        <f>COUNTIFS('3. AI Fit Diagnostic'!$P$8:$P$57,$B30,'3. AI Fit Diagnostic'!$W$8:$W$57,"Automate - AI not needed")</f>
        <v>1</v>
      </c>
      <c r="G30" s="21">
        <f>COUNTIFS('3. AI Fit Diagnostic'!$P$8:$P$57,$B30,'3. AI Fit Diagnostic'!$W$8:$W$57,"Redesign / standardise first")</f>
        <v>0</v>
      </c>
      <c r="H30" s="57">
        <f>SUM(C30:G30)</f>
        <v>2</v>
      </c>
      <c r="I30" s="49">
        <f>SUMIF('3. AI Fit Diagnostic'!$P$8:$P$57,$B30,'3. AI Fit Diagnostic'!$AE$8:$AE$57)</f>
        <v>1560</v>
      </c>
      <c r="J30" s="21">
        <f>COUNTIFS('3. AI Fit Diagnostic'!$P$8:$P$57,$B30,'3. AI Fit Diagnostic'!$Z$8:$Z$57,"High")</f>
        <v>0</v>
      </c>
      <c r="K30" s="42" t="str">
        <f>IF(H30=0,"",IF(C30+D30&gt;=MAX(E30,F30,G30),"AI opportunity",IF(F30&gt;=MAX(E30,G30),"Automation is enough",IF(E30&gt;=G30,"Fix data first","Redesign first"))))</f>
        <v>AI opportunity</v>
      </c>
    </row>
    <row r="31">
      <c r="B31" s="56" t="inlineStr">
        <is>
          <t>IT &amp; cybersecurity</t>
        </is>
      </c>
      <c r="C31" s="21">
        <f>COUNTIFS('3. AI Fit Diagnostic'!$P$8:$P$57,$B31,'3. AI Fit Diagnostic'!$W$8:$W$57,"AI fit now")</f>
        <v>0</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0</v>
      </c>
      <c r="I31" s="49">
        <f>SUMIF('3. AI Fit Diagnostic'!$P$8:$P$57,$B31,'3. AI Fit Diagnostic'!$AE$8:$AE$57)</f>
        <v>0</v>
      </c>
      <c r="J31" s="21">
        <f>COUNTIFS('3. AI Fit Diagnostic'!$P$8:$P$57,$B31,'3. AI Fit Diagnostic'!$Z$8:$Z$57,"High")</f>
        <v>0</v>
      </c>
      <c r="K31" s="42" t="str">
        <f>IF(H31=0,"",IF(C31+D31&gt;=MAX(E31,F31,G31),"AI opportunity",IF(F31&gt;=MAX(E31,G31),"Automation is enough",IF(E31&gt;=G31,"Fix data first","Redesign first"))))</f>
        <v/>
      </c>
    </row>
    <row r="32">
      <c r="B32" s="56" t="inlineStr">
        <is>
          <t>Assets, facilities &amp; maintenance</t>
        </is>
      </c>
      <c r="C32" s="21">
        <f>COUNTIFS('3. AI Fit Diagnostic'!$P$8:$P$57,$B32,'3. AI Fit Diagnostic'!$W$8:$W$57,"AI fit now")</f>
        <v>0</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0</v>
      </c>
      <c r="I32" s="49">
        <f>SUMIF('3. AI Fit Diagnostic'!$P$8:$P$57,$B32,'3. AI Fit Diagnostic'!$AE$8:$AE$57)</f>
        <v>0</v>
      </c>
      <c r="J32" s="21">
        <f>COUNTIFS('3. AI Fit Diagnostic'!$P$8:$P$57,$B32,'3. AI Fit Diagnostic'!$Z$8:$Z$57,"High")</f>
        <v>0</v>
      </c>
      <c r="K32" s="42" t="str">
        <f>IF(H32=0,"",IF(C32+D32&gt;=MAX(E32,F32,G32),"AI opportunity",IF(F32&gt;=MAX(E32,G32),"Automation is enough",IF(E32&gt;=G32,"Fix data first","Redesign first"))))</f>
        <v/>
      </c>
    </row>
    <row r="33">
      <c r="B33" s="56" t="inlineStr">
        <is>
          <t>Strategy, management &amp; reporting</t>
        </is>
      </c>
      <c r="C33" s="21">
        <f>COUNTIFS('3. AI Fit Diagnostic'!$P$8:$P$57,$B33,'3. AI Fit Diagnostic'!$W$8:$W$57,"AI fit now")</f>
        <v>1</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1</v>
      </c>
      <c r="G33" s="21">
        <f>COUNTIFS('3. AI Fit Diagnostic'!$P$8:$P$57,$B33,'3. AI Fit Diagnostic'!$W$8:$W$57,"Redesign / standardise first")</f>
        <v>0</v>
      </c>
      <c r="H33" s="57">
        <f>SUM(C33:G33)</f>
        <v>2</v>
      </c>
      <c r="I33" s="49">
        <f>SUMIF('3. AI Fit Diagnostic'!$P$8:$P$57,$B33,'3. AI Fit Diagnostic'!$AE$8:$AE$57)</f>
        <v>1200</v>
      </c>
      <c r="J33" s="21">
        <f>COUNTIFS('3. AI Fit Diagnostic'!$P$8:$P$57,$B33,'3. AI Fit Diagnostic'!$Z$8:$Z$57,"High")</f>
        <v>0</v>
      </c>
      <c r="K33" s="42" t="str">
        <f>IF(H33=0,"",IF(C33+D33&gt;=MAX(E33,F33,G33),"AI opportunity",IF(F33&gt;=MAX(E33,G33),"Automation is enough",IF(E33&gt;=G33,"Fix data first","Redesign first"))))</f>
        <v>AI opportunity</v>
      </c>
    </row>
    <row r="34">
      <c r="B34" s="56" t="inlineStr">
        <is>
          <t>Knowledge &amp; collaboration</t>
        </is>
      </c>
      <c r="C34" s="21">
        <f>COUNTIFS('3. AI Fit Diagnostic'!$P$8:$P$57,$B34,'3. AI Fit Diagnostic'!$W$8:$W$57,"AI fit now")</f>
        <v>1</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1</v>
      </c>
      <c r="I34" s="49">
        <f>SUMIF('3. AI Fit Diagnostic'!$P$8:$P$57,$B34,'3. AI Fit Diagnostic'!$AE$8:$AE$57)</f>
        <v>600</v>
      </c>
      <c r="J34" s="21">
        <f>COUNTIFS('3. AI Fit Diagnostic'!$P$8:$P$57,$B34,'3. AI Fit Diagnostic'!$Z$8:$Z$57,"High")</f>
        <v>0</v>
      </c>
      <c r="K34" s="42" t="str">
        <f>IF(H34=0,"",IF(C34+D34&gt;=MAX(E34,F34,G34),"AI opportunity",IF(F34&gt;=MAX(E34,G34),"Automation is enough",IF(E34&gt;=G34,"Fix data first","Redesign first"))))</f>
        <v>AI opportunity</v>
      </c>
    </row>
    <row r="35">
      <c r="B35" s="4" t="inlineStr">
        <is>
          <t>Total</t>
        </is>
      </c>
      <c r="C35" s="11">
        <f>SUM(C24:C34)</f>
        <v>11</v>
      </c>
      <c r="D35" s="11">
        <f>SUM(D24:D34)</f>
        <v>3</v>
      </c>
      <c r="E35" s="11">
        <f>SUM(E24:E34)</f>
        <v>2</v>
      </c>
      <c r="F35" s="11">
        <f>SUM(F24:F34)</f>
        <v>5</v>
      </c>
      <c r="G35" s="11">
        <f>SUM(G24:G34)</f>
        <v>1</v>
      </c>
      <c r="H35" s="11">
        <f>SUM(H24:H34)</f>
        <v>22</v>
      </c>
      <c r="I35" s="54">
        <f>SUM(I24:I34)</f>
        <v>14658</v>
      </c>
      <c r="J35" s="11">
        <f>SUM(J24:J34)</f>
        <v>3</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Tax - VAT / tax return data preparation</v>
      </c>
      <c r="C59" s="58" t="str">
        <f>IFERROR(INDEX('3. AI Fit Diagnostic'!$R$8:$R$57,MATCH(1,'3. AI Fit Diagnostic'!$AC$8:$AC$57,0)),"")</f>
        <v>Workflow automation / RPA</v>
      </c>
      <c r="D59" s="15" t="n"/>
      <c r="E59" s="59" t="str">
        <f>IFERROR(INDEX('3. AI Fit Diagnostic'!$W$8:$W$57,MATCH(1,'3. AI Fit Diagnostic'!$AC$8:$AC$57,0)),"")</f>
        <v>Automate - AI not needed</v>
      </c>
      <c r="F59" s="15" t="n"/>
      <c r="G59" s="38" t="str">
        <f>IFERROR(INDEX('3. AI Fit Diagnostic'!$Z$8:$Z$57,MATCH(1,'3. AI Fit Diagnostic'!$AC$8:$AC$57,0)),"")</f>
        <v>Low</v>
      </c>
      <c r="H59" s="58" t="str">
        <f>IFERROR(INDEX('3. AI Fit Diagnostic'!$AD$8:$AD$57,MATCH(1,'3. AI Fit Diagnostic'!$AC$8:$AC$57,0)),"")</f>
        <v>H1 - Now (0-6 months)</v>
      </c>
      <c r="I59" s="60" t="str">
        <f>IFERROR(INDEX('3. AI Fit Diagnostic'!$AF$8:$AF$57,MATCH(1,'3. AI Fit Diagnostic'!$AC$8:$AC$57,0)),"")</f>
        <v>Automated extraction, mapping and validation of client data into returns.</v>
      </c>
      <c r="J59" s="15" t="n"/>
      <c r="K59" s="15" t="n"/>
    </row>
    <row r="60" ht="46" customHeight="1">
      <c r="A60" s="11" t="n">
        <v>2</v>
      </c>
      <c r="B60" s="26" t="str">
        <f>IFERROR(INDEX('3. AI Fit Diagnostic'!$AJ$8:$AJ$57,MATCH(2,'3. AI Fit Diagnostic'!$AC$8:$AC$57,0)),"")</f>
        <v>Timesheets, WIP &amp; billing</v>
      </c>
      <c r="C60" s="58" t="str">
        <f>IFERROR(INDEX('3. AI Fit Diagnostic'!$R$8:$R$57,MATCH(2,'3. AI Fit Diagnostic'!$AC$8:$AC$57,0)),"")</f>
        <v>Workflow automation / RPA</v>
      </c>
      <c r="D60" s="15" t="n"/>
      <c r="E60" s="59" t="str">
        <f>IFERROR(INDEX('3. AI Fit Diagnostic'!$W$8:$W$57,MATCH(2,'3. AI Fit Diagnostic'!$AC$8:$AC$57,0)),"")</f>
        <v>Automate - AI not needed</v>
      </c>
      <c r="F60" s="15" t="n"/>
      <c r="G60" s="38" t="str">
        <f>IFERROR(INDEX('3. AI Fit Diagnostic'!$Z$8:$Z$57,MATCH(2,'3. AI Fit Diagnostic'!$AC$8:$AC$57,0)),"")</f>
        <v>Low</v>
      </c>
      <c r="H60" s="58" t="str">
        <f>IFERROR(INDEX('3. AI Fit Diagnostic'!$AD$8:$AD$57,MATCH(2,'3. AI Fit Diagnostic'!$AC$8:$AC$57,0)),"")</f>
        <v>H1 - Now (0-6 months)</v>
      </c>
      <c r="I60" s="60" t="str">
        <f>IFERROR(INDEX('3. AI Fit Diagnostic'!$AF$8:$AF$57,MATCH(2,'3. AI Fit Diagnostic'!$AC$8:$AC$57,0)),"")</f>
        <v>Automated timesheet reminders, WIP reports and draft billing narratives.</v>
      </c>
      <c r="J60" s="15" t="n"/>
      <c r="K60" s="15" t="n"/>
    </row>
    <row r="61" ht="46" customHeight="1">
      <c r="A61" s="11" t="n">
        <v>3</v>
      </c>
      <c r="B61" s="26" t="str">
        <f>IFERROR(INDEX('3. AI Fit Diagnostic'!$AJ$8:$AJ$57,MATCH(3,'3. AI Fit Diagnostic'!$AC$8:$AC$57,0)),"")</f>
        <v>Meeting minutes &amp; action tracking</v>
      </c>
      <c r="C61" s="58" t="str">
        <f>IFERROR(INDEX('3. AI Fit Diagnostic'!$R$8:$R$57,MATCH(3,'3. AI Fit Diagnostic'!$AC$8:$AC$57,0)),"")</f>
        <v>Generative AI assistant (off-the-shelf)</v>
      </c>
      <c r="D61" s="15" t="n"/>
      <c r="E61" s="59" t="str">
        <f>IFERROR(INDEX('3. AI Fit Diagnostic'!$W$8:$W$57,MATCH(3,'3. AI Fit Diagnostic'!$AC$8:$AC$57,0)),"")</f>
        <v>AI fit now</v>
      </c>
      <c r="F61" s="15" t="n"/>
      <c r="G61" s="38" t="str">
        <f>IFERROR(INDEX('3. AI Fit Diagnostic'!$Z$8:$Z$57,MATCH(3,'3. AI Fit Diagnostic'!$AC$8:$AC$57,0)),"")</f>
        <v>Low</v>
      </c>
      <c r="H61" s="58" t="str">
        <f>IFERROR(INDEX('3. AI Fit Diagnostic'!$AD$8:$AD$57,MATCH(3,'3. AI Fit Diagnostic'!$AC$8:$AC$57,0)),"")</f>
        <v>H1 - Now (0-6 months)</v>
      </c>
      <c r="I61" s="60" t="str">
        <f>IFERROR(INDEX('3. AI Fit Diagnostic'!$AF$8:$AF$57,MATCH(3,'3. AI Fit Diagnostic'!$AC$8:$AC$57,0)),"")</f>
        <v>Enterprise meeting assistant for transcripts, summaries and action tracking (with participant notice).</v>
      </c>
      <c r="J61" s="15" t="n"/>
      <c r="K61" s="15" t="n"/>
    </row>
    <row r="62" ht="46" customHeight="1">
      <c r="A62" s="11" t="n">
        <v>4</v>
      </c>
      <c r="B62" s="26" t="str">
        <f>IFERROR(INDEX('3. AI Fit Diagnostic'!$AJ$8:$AJ$57,MATCH(4,'3. AI Fit Diagnostic'!$AC$8:$AC$57,0)),"")</f>
        <v>Audit - working papers &amp; memo drafting</v>
      </c>
      <c r="C62" s="58" t="str">
        <f>IFERROR(INDEX('3. AI Fit Diagnostic'!$R$8:$R$57,MATCH(4,'3. AI Fit Diagnostic'!$AC$8:$AC$57,0)),"")</f>
        <v>Generative AI assistant (off-the-shelf)</v>
      </c>
      <c r="D62" s="15" t="n"/>
      <c r="E62" s="59" t="str">
        <f>IFERROR(INDEX('3. AI Fit Diagnostic'!$W$8:$W$57,MATCH(4,'3. AI Fit Diagnostic'!$AC$8:$AC$57,0)),"")</f>
        <v>AI fit now</v>
      </c>
      <c r="F62" s="15" t="n"/>
      <c r="G62" s="38" t="str">
        <f>IFERROR(INDEX('3. AI Fit Diagnostic'!$Z$8:$Z$57,MATCH(4,'3. AI Fit Diagnostic'!$AC$8:$AC$57,0)),"")</f>
        <v>Medium</v>
      </c>
      <c r="H62" s="58" t="str">
        <f>IFERROR(INDEX('3. AI Fit Diagnostic'!$AD$8:$AD$57,MATCH(4,'3. AI Fit Diagnostic'!$AC$8:$AC$57,0)),"")</f>
        <v>H1 - Now (0-6 months)</v>
      </c>
      <c r="I62" s="60" t="str">
        <f>IFERROR(INDEX('3. AI Fit Diagnostic'!$AF$8:$AF$57,MATCH(4,'3. AI Fit Diagnostic'!$AC$8:$AC$57,0)),"")</f>
        <v>GenAI drafting within methodology templates in an approved environment; reviewer sign-off.</v>
      </c>
      <c r="J62" s="15" t="n"/>
      <c r="K62" s="15" t="n"/>
    </row>
    <row r="63" ht="46" customHeight="1">
      <c r="A63" s="11" t="n">
        <v>5</v>
      </c>
      <c r="B63" s="26" t="str">
        <f>IFERROR(INDEX('3. AI Fit Diagnostic'!$AJ$8:$AJ$57,MATCH(5,'3. AI Fit Diagnostic'!$AC$8:$AC$57,0)),"")</f>
        <v>Client acceptance &amp; independence checks</v>
      </c>
      <c r="C63" s="58" t="str">
        <f>IFERROR(INDEX('3. AI Fit Diagnostic'!$R$8:$R$57,MATCH(5,'3. AI Fit Diagnostic'!$AC$8:$AC$57,0)),"")</f>
        <v>Rules engine / workflow automation</v>
      </c>
      <c r="D63" s="15" t="n"/>
      <c r="E63" s="59" t="str">
        <f>IFERROR(INDEX('3. AI Fit Diagnostic'!$W$8:$W$57,MATCH(5,'3. AI Fit Diagnostic'!$AC$8:$AC$57,0)),"")</f>
        <v>Automate - AI not needed</v>
      </c>
      <c r="F63" s="15" t="n"/>
      <c r="G63" s="38" t="str">
        <f>IFERROR(INDEX('3. AI Fit Diagnostic'!$Z$8:$Z$57,MATCH(5,'3. AI Fit Diagnostic'!$AC$8:$AC$57,0)),"")</f>
        <v>Low</v>
      </c>
      <c r="H63" s="58" t="str">
        <f>IFERROR(INDEX('3. AI Fit Diagnostic'!$AD$8:$AD$57,MATCH(5,'3. AI Fit Diagnostic'!$AC$8:$AC$57,0)),"")</f>
        <v>H1 - Now (0-6 months)</v>
      </c>
      <c r="I63" s="60" t="str">
        <f>IFERROR(INDEX('3. AI Fit Diagnostic'!$AF$8:$AF$57,MATCH(5,'3. AI Fit Diagnostic'!$AC$8:$AC$57,0)),"")</f>
        <v>Workflow with rules-based independence and conflict checks against the client database.</v>
      </c>
      <c r="J63" s="15" t="n"/>
      <c r="K63" s="15" t="n"/>
    </row>
    <row r="64" ht="46" customHeight="1">
      <c r="A64" s="11" t="n">
        <v>6</v>
      </c>
      <c r="B64" s="26" t="str">
        <f>IFERROR(INDEX('3. AI Fit Diagnostic'!$AJ$8:$AJ$57,MATCH(6,'3. AI Fit Diagnostic'!$AC$8:$AC$57,0)),"")</f>
        <v>Audit - bank &amp; external confirmations</v>
      </c>
      <c r="C64" s="58" t="str">
        <f>IFERROR(INDEX('3. AI Fit Diagnostic'!$R$8:$R$57,MATCH(6,'3. AI Fit Diagnostic'!$AC$8:$AC$57,0)),"")</f>
        <v>Intelligent document processing (IDP)</v>
      </c>
      <c r="D64" s="15" t="n"/>
      <c r="E64" s="59" t="str">
        <f>IFERROR(INDEX('3. AI Fit Diagnostic'!$W$8:$W$57,MATCH(6,'3. AI Fit Diagnostic'!$AC$8:$AC$57,0)),"")</f>
        <v>AI fit now</v>
      </c>
      <c r="F64" s="15" t="n"/>
      <c r="G64" s="38" t="str">
        <f>IFERROR(INDEX('3. AI Fit Diagnostic'!$Z$8:$Z$57,MATCH(6,'3. AI Fit Diagnostic'!$AC$8:$AC$57,0)),"")</f>
        <v>Medium</v>
      </c>
      <c r="H64" s="58" t="str">
        <f>IFERROR(INDEX('3. AI Fit Diagnostic'!$AD$8:$AD$57,MATCH(6,'3. AI Fit Diagnostic'!$AC$8:$AC$57,0)),"")</f>
        <v>H1 - Now (0-6 months)</v>
      </c>
      <c r="I64" s="60" t="str">
        <f>IFERROR(INDEX('3. AI Fit Diagnostic'!$AF$8:$AF$57,MATCH(6,'3. AI Fit Diagnostic'!$AC$8:$AC$57,0)),"")</f>
        <v>IDP of confirmation responses with automatic agreement to records.</v>
      </c>
      <c r="J64" s="15" t="n"/>
      <c r="K64" s="15" t="n"/>
    </row>
    <row r="65" ht="46" customHeight="1">
      <c r="A65" s="11" t="n">
        <v>7</v>
      </c>
      <c r="B65" s="26" t="str">
        <f>IFERROR(INDEX('3. AI Fit Diagnostic'!$AJ$8:$AJ$57,MATCH(7,'3. AI Fit Diagnostic'!$AC$8:$AC$57,0)),"")</f>
        <v>Methodology &amp; knowledge Q&amp;A</v>
      </c>
      <c r="C65" s="58" t="str">
        <f>IFERROR(INDEX('3. AI Fit Diagnostic'!$R$8:$R$57,MATCH(7,'3. AI Fit Diagnostic'!$AC$8:$AC$57,0)),"")</f>
        <v>GenAI knowledge assistant (RAG on own content)</v>
      </c>
      <c r="D65" s="15" t="n"/>
      <c r="E65" s="59" t="str">
        <f>IFERROR(INDEX('3. AI Fit Diagnostic'!$W$8:$W$57,MATCH(7,'3. AI Fit Diagnostic'!$AC$8:$AC$57,0)),"")</f>
        <v>AI fit now</v>
      </c>
      <c r="F65" s="15" t="n"/>
      <c r="G65" s="38" t="str">
        <f>IFERROR(INDEX('3. AI Fit Diagnostic'!$Z$8:$Z$57,MATCH(7,'3. AI Fit Diagnostic'!$AC$8:$AC$57,0)),"")</f>
        <v>Low</v>
      </c>
      <c r="H65" s="58" t="str">
        <f>IFERROR(INDEX('3. AI Fit Diagnostic'!$AD$8:$AD$57,MATCH(7,'3. AI Fit Diagnostic'!$AC$8:$AC$57,0)),"")</f>
        <v>H1 - Now (0-6 months)</v>
      </c>
      <c r="I65" s="60" t="str">
        <f>IFERROR(INDEX('3. AI Fit Diagnostic'!$AF$8:$AF$57,MATCH(7,'3. AI Fit Diagnostic'!$AC$8:$AC$57,0)),"")</f>
        <v>Grounded assistant over firm methodologies and sanitised precedents.</v>
      </c>
      <c r="J65" s="15" t="n"/>
      <c r="K65" s="15" t="n"/>
    </row>
    <row r="66" ht="46" customHeight="1">
      <c r="A66" s="11" t="n">
        <v>8</v>
      </c>
      <c r="B66" s="26" t="str">
        <f>IFERROR(INDEX('3. AI Fit Diagnostic'!$AJ$8:$AJ$57,MATCH(8,'3. AI Fit Diagnostic'!$AC$8:$AC$57,0)),"")</f>
        <v>Advisory - due-diligence data-room review</v>
      </c>
      <c r="C66" s="58" t="str">
        <f>IFERROR(INDEX('3. AI Fit Diagnostic'!$R$8:$R$57,MATCH(8,'3. AI Fit Diagnostic'!$AC$8:$AC$57,0)),"")</f>
        <v>Generative AI assistant (off-the-shelf)</v>
      </c>
      <c r="D66" s="15" t="n"/>
      <c r="E66" s="59" t="str">
        <f>IFERROR(INDEX('3. AI Fit Diagnostic'!$W$8:$W$57,MATCH(8,'3. AI Fit Diagnostic'!$AC$8:$AC$57,0)),"")</f>
        <v>AI fit now</v>
      </c>
      <c r="F66" s="15" t="n"/>
      <c r="G66" s="38" t="str">
        <f>IFERROR(INDEX('3. AI Fit Diagnostic'!$Z$8:$Z$57,MATCH(8,'3. AI Fit Diagnostic'!$AC$8:$AC$57,0)),"")</f>
        <v>Medium</v>
      </c>
      <c r="H66" s="58" t="str">
        <f>IFERROR(INDEX('3. AI Fit Diagnostic'!$AD$8:$AD$57,MATCH(8,'3. AI Fit Diagnostic'!$AC$8:$AC$57,0)),"")</f>
        <v>H1 - Now (0-6 months)</v>
      </c>
      <c r="I66" s="60" t="str">
        <f>IFERROR(INDEX('3. AI Fit Diagnostic'!$AF$8:$AF$57,MATCH(8,'3. AI Fit Diagnostic'!$AC$8:$AC$57,0)),"")</f>
        <v>GenAI review of data-room documents against DD checklists with red-flag summaries.</v>
      </c>
      <c r="J66" s="15" t="n"/>
      <c r="K66" s="15" t="n"/>
    </row>
    <row r="67" ht="46" customHeight="1">
      <c r="A67" s="11" t="n">
        <v>9</v>
      </c>
      <c r="B67" s="26" t="str">
        <f>IFERROR(INDEX('3. AI Fit Diagnostic'!$AJ$8:$AJ$57,MATCH(9,'3. AI Fit Diagnostic'!$AC$8:$AC$57,0)),"")</f>
        <v>Tax research &amp; technical Q&amp;A</v>
      </c>
      <c r="C67" s="58" t="str">
        <f>IFERROR(INDEX('3. AI Fit Diagnostic'!$R$8:$R$57,MATCH(9,'3. AI Fit Diagnostic'!$AC$8:$AC$57,0)),"")</f>
        <v>GenAI knowledge assistant (RAG on own content)</v>
      </c>
      <c r="D67" s="15" t="n"/>
      <c r="E67" s="59" t="str">
        <f>IFERROR(INDEX('3. AI Fit Diagnostic'!$W$8:$W$57,MATCH(9,'3. AI Fit Diagnostic'!$AC$8:$AC$57,0)),"")</f>
        <v>AI fit now</v>
      </c>
      <c r="F67" s="15" t="n"/>
      <c r="G67" s="38" t="str">
        <f>IFERROR(INDEX('3. AI Fit Diagnostic'!$Z$8:$Z$57,MATCH(9,'3. AI Fit Diagnostic'!$AC$8:$AC$57,0)),"")</f>
        <v>Low</v>
      </c>
      <c r="H67" s="58" t="str">
        <f>IFERROR(INDEX('3. AI Fit Diagnostic'!$AD$8:$AD$57,MATCH(9,'3. AI Fit Diagnostic'!$AC$8:$AC$57,0)),"")</f>
        <v>H1 - Now (0-6 months)</v>
      </c>
      <c r="I67" s="60" t="str">
        <f>IFERROR(INDEX('3. AI Fit Diagnostic'!$AF$8:$AF$57,MATCH(9,'3. AI Fit Diagnostic'!$AC$8:$AC$57,0)),"")</f>
        <v>Grounded tax assistant over Bahrain / GCC tax law, NBR guidance and approved internal positions with citations.</v>
      </c>
      <c r="J67" s="15" t="n"/>
      <c r="K67" s="15" t="n"/>
    </row>
    <row r="68" ht="46" customHeight="1">
      <c r="A68" s="11" t="n">
        <v>10</v>
      </c>
      <c r="B68" s="26" t="str">
        <f>IFERROR(INDEX('3. AI Fit Diagnostic'!$AJ$8:$AJ$57,MATCH(10,'3. AI Fit Diagnostic'!$AC$8:$AC$57,0)),"")</f>
        <v>Proposal, quotation &amp; tender responses</v>
      </c>
      <c r="C68" s="58" t="str">
        <f>IFERROR(INDEX('3. AI Fit Diagnostic'!$R$8:$R$57,MATCH(10,'3. AI Fit Diagnostic'!$AC$8:$AC$57,0)),"")</f>
        <v>GenAI knowledge assistant (RAG on own content)</v>
      </c>
      <c r="D68" s="15" t="n"/>
      <c r="E68" s="59" t="str">
        <f>IFERROR(INDEX('3. AI Fit Diagnostic'!$W$8:$W$57,MATCH(10,'3. AI Fit Diagnostic'!$AC$8:$AC$57,0)),"")</f>
        <v>AI fit now</v>
      </c>
      <c r="F68" s="15" t="n"/>
      <c r="G68" s="38" t="str">
        <f>IFERROR(INDEX('3. AI Fit Diagnostic'!$Z$8:$Z$57,MATCH(10,'3. AI Fit Diagnostic'!$AC$8:$AC$57,0)),"")</f>
        <v>Low</v>
      </c>
      <c r="H68" s="58" t="str">
        <f>IFERROR(INDEX('3. AI Fit Diagnostic'!$AD$8:$AD$57,MATCH(10,'3. AI Fit Diagnostic'!$AC$8:$AC$57,0)),"")</f>
        <v>H1 - Now (0-6 months)</v>
      </c>
      <c r="I68" s="60" t="str">
        <f>IFERROR(INDEX('3. AI Fit Diagnostic'!$AF$8:$AF$57,MATCH(10,'3. AI Fit Diagnostic'!$AC$8:$AC$57,0)),"")</f>
        <v>Knowledge assistant over approved credentials, CVs and past proposals to draft responses; bid manager review.</v>
      </c>
      <c r="J68" s="15" t="n"/>
      <c r="K68" s="15" t="n"/>
    </row>
    <row r="70" ht="22" customHeight="1">
      <c r="A70" s="3" t="inlineStr">
        <is>
          <t>E. SECTOR LENS</t>
        </is>
      </c>
    </row>
    <row r="71" ht="18" customHeight="1">
      <c r="A71" s="4" t="inlineStr">
        <is>
          <t>Value at stake by 2030</t>
        </is>
      </c>
      <c r="B71" s="28" t="n"/>
      <c r="C71" s="61" t="str">
        <f>IFERROR(INDEX('7. Sector Profiles'!$B$5:$B$18,MATCH('1. AI Position'!$C$5,'7. Sector Profiles'!$A$5:$A$18,0)),"Select a sector on sheet 1")</f>
        <v>-</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High</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Audit analytics, drafting, tax research, DD review, practice operations</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ISQM 1; IESBA Code; ISAs; client confidentiality; PDPL</v>
      </c>
      <c r="D74" s="15" t="n"/>
      <c r="E74" s="15" t="n"/>
      <c r="F74" s="15" t="n"/>
      <c r="G74" s="15" t="n"/>
      <c r="H74" s="15" t="n"/>
      <c r="I74" s="15" t="n"/>
      <c r="J74" s="15" t="n"/>
      <c r="K74" s="15" t="n"/>
    </row>
    <row r="75" ht="18" customHeight="1">
      <c r="A75" s="4" t="inlineStr">
        <is>
          <t>Library entries for this sector</t>
        </is>
      </c>
      <c r="B75" s="28" t="n"/>
      <c r="C75" s="61">
        <f>IFERROR(INDEX('7. Sector Profiles'!$F$5:$F$18,MATCH('1. AI Position'!$C$5,'7. Sector Profiles'!$A$5:$A$18,0)),"Select a sector on sheet 1")</f>
        <v>15</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f>IF($H6="","",INDEX('3. AI Fit Diagnostic'!$AC$8:$AC$57,MATCH($H6,'3. AI Fit Diagnostic'!$AI$8:$AI$57,0)))</f>
        <v>1</v>
      </c>
      <c r="B6" s="26" t="str">
        <f>IF($H6="","",INDEX('3. AI Fit Diagnostic'!$AJ$8:$AJ$57,MATCH($H6,'3. AI Fit Diagnostic'!$AI$8:$AI$57,0)))</f>
        <v>Tax - VAT / tax return data preparation</v>
      </c>
      <c r="C6" s="25" t="str">
        <f>IF($H6="","",INDEX('3. AI Fit Diagnostic'!$P$8:$P$57,MATCH($H6,'3. AI Fit Diagnostic'!$AI$8:$AI$57,0)))</f>
        <v>Core operations &amp; service delivery</v>
      </c>
      <c r="D6" s="25" t="str">
        <f>IF($H6="","",INDEX('3. AI Fit Diagnostic'!$R$8:$R$57,MATCH($H6,'3. AI Fit Diagnostic'!$AI$8:$AI$57,0)))</f>
        <v>Workflow automation / RPA</v>
      </c>
      <c r="E6" s="25" t="str">
        <f>IF($H6="","",INDEX('3. AI Fit Diagnostic'!$W$8:$W$57,MATCH($H6,'3. AI Fit Diagnostic'!$AI$8:$AI$57,0)))</f>
        <v>Automate - AI not needed</v>
      </c>
      <c r="F6" s="38" t="str">
        <f>IF($H6="","",INDEX('3. AI Fit Diagnostic'!$Z$8:$Z$57,MATCH($H6,'3. AI Fit Diagnostic'!$AI$8:$AI$57,0)))</f>
        <v>Low</v>
      </c>
      <c r="G6" s="43">
        <f>IF($H6="","",INDEX('3. AI Fit Diagnostic'!$AE$8:$AE$57,MATCH($H6,'3. AI Fit Diagnostic'!$AI$8:$AI$57,0)))</f>
        <v>1440</v>
      </c>
      <c r="H6">
        <f>IF(IFERROR(SMALL('3. AI Fit Diagnostic'!$AI$8:$AI$57,COUNTIF('3. AI Fit Diagnostic'!$AI$8:$AI$57,"&lt;"&amp;100)+1),"")="","",IF(IFERROR(SMALL('3. AI Fit Diagnostic'!$AI$8:$AI$57,COUNTIF('3. AI Fit Diagnostic'!$AI$8:$AI$57,"&lt;"&amp;100)+1),"")&lt;200,IFERROR(SMALL('3. AI Fit Diagnostic'!$AI$8:$AI$57,COUNTIF('3. AI Fit Diagnostic'!$AI$8:$AI$57,"&lt;"&amp;100)+1),""),""))</f>
        <v>101</v>
      </c>
    </row>
    <row r="7" ht="26" customHeight="1">
      <c r="A7" s="42">
        <f>IF($H7="","",INDEX('3. AI Fit Diagnostic'!$AC$8:$AC$57,MATCH($H7,'3. AI Fit Diagnostic'!$AI$8:$AI$57,0)))</f>
        <v>2</v>
      </c>
      <c r="B7" s="26" t="str">
        <f>IF($H7="","",INDEX('3. AI Fit Diagnostic'!$AJ$8:$AJ$57,MATCH($H7,'3. AI Fit Diagnostic'!$AI$8:$AI$57,0)))</f>
        <v>Timesheets, WIP &amp; billing</v>
      </c>
      <c r="C7" s="25" t="str">
        <f>IF($H7="","",INDEX('3. AI Fit Diagnostic'!$P$8:$P$57,MATCH($H7,'3. AI Fit Diagnostic'!$AI$8:$AI$57,0)))</f>
        <v>Finance &amp; accounting</v>
      </c>
      <c r="D7" s="25" t="str">
        <f>IF($H7="","",INDEX('3. AI Fit Diagnostic'!$R$8:$R$57,MATCH($H7,'3. AI Fit Diagnostic'!$AI$8:$AI$57,0)))</f>
        <v>Workflow automation / RPA</v>
      </c>
      <c r="E7" s="25" t="str">
        <f>IF($H7="","",INDEX('3. AI Fit Diagnostic'!$W$8:$W$57,MATCH($H7,'3. AI Fit Diagnostic'!$AI$8:$AI$57,0)))</f>
        <v>Automate - AI not needed</v>
      </c>
      <c r="F7" s="38" t="str">
        <f>IF($H7="","",INDEX('3. AI Fit Diagnostic'!$Z$8:$Z$57,MATCH($H7,'3. AI Fit Diagnostic'!$AI$8:$AI$57,0)))</f>
        <v>Low</v>
      </c>
      <c r="G7" s="43">
        <f>IF($H7="","",INDEX('3. AI Fit Diagnostic'!$AE$8:$AE$57,MATCH($H7,'3. AI Fit Diagnostic'!$AI$8:$AI$57,0)))</f>
        <v>1296</v>
      </c>
      <c r="H7">
        <f>IF(IFERROR(SMALL('3. AI Fit Diagnostic'!$AI$8:$AI$57,COUNTIF('3. AI Fit Diagnostic'!$AI$8:$AI$57,"&lt;"&amp;100)+2),"")="","",IF(IFERROR(SMALL('3. AI Fit Diagnostic'!$AI$8:$AI$57,COUNTIF('3. AI Fit Diagnostic'!$AI$8:$AI$57,"&lt;"&amp;100)+2),"")&lt;200,IFERROR(SMALL('3. AI Fit Diagnostic'!$AI$8:$AI$57,COUNTIF('3. AI Fit Diagnostic'!$AI$8:$AI$57,"&lt;"&amp;100)+2),""),""))</f>
        <v>102</v>
      </c>
    </row>
    <row r="8" ht="26" customHeight="1">
      <c r="A8" s="42">
        <f>IF($H8="","",INDEX('3. AI Fit Diagnostic'!$AC$8:$AC$57,MATCH($H8,'3. AI Fit Diagnostic'!$AI$8:$AI$57,0)))</f>
        <v>3</v>
      </c>
      <c r="B8" s="26" t="str">
        <f>IF($H8="","",INDEX('3. AI Fit Diagnostic'!$AJ$8:$AJ$57,MATCH($H8,'3. AI Fit Diagnostic'!$AI$8:$AI$57,0)))</f>
        <v>Meeting minutes &amp; action tracking</v>
      </c>
      <c r="C8" s="25" t="str">
        <f>IF($H8="","",INDEX('3. AI Fit Diagnostic'!$P$8:$P$57,MATCH($H8,'3. AI Fit Diagnostic'!$AI$8:$AI$57,0)))</f>
        <v>Strategy, management &amp; reporting</v>
      </c>
      <c r="D8" s="25" t="str">
        <f>IF($H8="","",INDEX('3. AI Fit Diagnostic'!$R$8:$R$57,MATCH($H8,'3. AI Fit Diagnostic'!$AI$8:$AI$57,0)))</f>
        <v>Generative AI assistant (off-the-shelf)</v>
      </c>
      <c r="E8" s="25" t="str">
        <f>IF($H8="","",INDEX('3. AI Fit Diagnostic'!$W$8:$W$57,MATCH($H8,'3. AI Fit Diagnostic'!$AI$8:$AI$57,0)))</f>
        <v>AI fit now</v>
      </c>
      <c r="F8" s="38" t="str">
        <f>IF($H8="","",INDEX('3. AI Fit Diagnostic'!$Z$8:$Z$57,MATCH($H8,'3. AI Fit Diagnostic'!$AI$8:$AI$57,0)))</f>
        <v>Low</v>
      </c>
      <c r="G8" s="43">
        <f>IF($H8="","",INDEX('3. AI Fit Diagnostic'!$AE$8:$AE$57,MATCH($H8,'3. AI Fit Diagnostic'!$AI$8:$AI$57,0)))</f>
        <v>900</v>
      </c>
      <c r="H8">
        <f>IF(IFERROR(SMALL('3. AI Fit Diagnostic'!$AI$8:$AI$57,COUNTIF('3. AI Fit Diagnostic'!$AI$8:$AI$57,"&lt;"&amp;100)+3),"")="","",IF(IFERROR(SMALL('3. AI Fit Diagnostic'!$AI$8:$AI$57,COUNTIF('3. AI Fit Diagnostic'!$AI$8:$AI$57,"&lt;"&amp;100)+3),"")&lt;200,IFERROR(SMALL('3. AI Fit Diagnostic'!$AI$8:$AI$57,COUNTIF('3. AI Fit Diagnostic'!$AI$8:$AI$57,"&lt;"&amp;100)+3),""),""))</f>
        <v>103</v>
      </c>
    </row>
    <row r="9" ht="26" customHeight="1">
      <c r="A9" s="42">
        <f>IF($H9="","",INDEX('3. AI Fit Diagnostic'!$AC$8:$AC$57,MATCH($H9,'3. AI Fit Diagnostic'!$AI$8:$AI$57,0)))</f>
        <v>4</v>
      </c>
      <c r="B9" s="26" t="str">
        <f>IF($H9="","",INDEX('3. AI Fit Diagnostic'!$AJ$8:$AJ$57,MATCH($H9,'3. AI Fit Diagnostic'!$AI$8:$AI$57,0)))</f>
        <v>Audit - working papers &amp; memo drafting</v>
      </c>
      <c r="C9" s="25" t="str">
        <f>IF($H9="","",INDEX('3. AI Fit Diagnostic'!$P$8:$P$57,MATCH($H9,'3. AI Fit Diagnostic'!$AI$8:$AI$57,0)))</f>
        <v>Core operations &amp; service delivery</v>
      </c>
      <c r="D9" s="25" t="str">
        <f>IF($H9="","",INDEX('3. AI Fit Diagnostic'!$R$8:$R$57,MATCH($H9,'3. AI Fit Diagnostic'!$AI$8:$AI$57,0)))</f>
        <v>Generative AI assistant (off-the-shelf)</v>
      </c>
      <c r="E9" s="25" t="str">
        <f>IF($H9="","",INDEX('3. AI Fit Diagnostic'!$W$8:$W$57,MATCH($H9,'3. AI Fit Diagnostic'!$AI$8:$AI$57,0)))</f>
        <v>AI fit now</v>
      </c>
      <c r="F9" s="38" t="str">
        <f>IF($H9="","",INDEX('3. AI Fit Diagnostic'!$Z$8:$Z$57,MATCH($H9,'3. AI Fit Diagnostic'!$AI$8:$AI$57,0)))</f>
        <v>Medium</v>
      </c>
      <c r="G9" s="43">
        <f>IF($H9="","",INDEX('3. AI Fit Diagnostic'!$AE$8:$AE$57,MATCH($H9,'3. AI Fit Diagnostic'!$AI$8:$AI$57,0)))</f>
        <v>1440</v>
      </c>
      <c r="H9">
        <f>IF(IFERROR(SMALL('3. AI Fit Diagnostic'!$AI$8:$AI$57,COUNTIF('3. AI Fit Diagnostic'!$AI$8:$AI$57,"&lt;"&amp;100)+4),"")="","",IF(IFERROR(SMALL('3. AI Fit Diagnostic'!$AI$8:$AI$57,COUNTIF('3. AI Fit Diagnostic'!$AI$8:$AI$57,"&lt;"&amp;100)+4),"")&lt;200,IFERROR(SMALL('3. AI Fit Diagnostic'!$AI$8:$AI$57,COUNTIF('3. AI Fit Diagnostic'!$AI$8:$AI$57,"&lt;"&amp;100)+4),""),""))</f>
        <v>104</v>
      </c>
    </row>
    <row r="10" ht="26" customHeight="1">
      <c r="A10" s="42">
        <f>IF($H10="","",INDEX('3. AI Fit Diagnostic'!$AC$8:$AC$57,MATCH($H10,'3. AI Fit Diagnostic'!$AI$8:$AI$57,0)))</f>
        <v>5</v>
      </c>
      <c r="B10" s="26" t="str">
        <f>IF($H10="","",INDEX('3. AI Fit Diagnostic'!$AJ$8:$AJ$57,MATCH($H10,'3. AI Fit Diagnostic'!$AI$8:$AI$57,0)))</f>
        <v>Client acceptance &amp; independence checks</v>
      </c>
      <c r="C10" s="25" t="str">
        <f>IF($H10="","",INDEX('3. AI Fit Diagnostic'!$P$8:$P$57,MATCH($H10,'3. AI Fit Diagnostic'!$AI$8:$AI$57,0)))</f>
        <v>Risk, compliance &amp; legal</v>
      </c>
      <c r="D10" s="25" t="str">
        <f>IF($H10="","",INDEX('3. AI Fit Diagnostic'!$R$8:$R$57,MATCH($H10,'3. AI Fit Diagnostic'!$AI$8:$AI$57,0)))</f>
        <v>Rules engine / workflow automation</v>
      </c>
      <c r="E10" s="25" t="str">
        <f>IF($H10="","",INDEX('3. AI Fit Diagnostic'!$W$8:$W$57,MATCH($H10,'3. AI Fit Diagnostic'!$AI$8:$AI$57,0)))</f>
        <v>Automate - AI not needed</v>
      </c>
      <c r="F10" s="38" t="str">
        <f>IF($H10="","",INDEX('3. AI Fit Diagnostic'!$Z$8:$Z$57,MATCH($H10,'3. AI Fit Diagnostic'!$AI$8:$AI$57,0)))</f>
        <v>Low</v>
      </c>
      <c r="G10" s="43">
        <f>IF($H10="","",INDEX('3. AI Fit Diagnostic'!$AE$8:$AE$57,MATCH($H10,'3. AI Fit Diagnostic'!$AI$8:$AI$57,0)))</f>
        <v>840</v>
      </c>
      <c r="H10">
        <f>IF(IFERROR(SMALL('3. AI Fit Diagnostic'!$AI$8:$AI$57,COUNTIF('3. AI Fit Diagnostic'!$AI$8:$AI$57,"&lt;"&amp;100)+5),"")="","",IF(IFERROR(SMALL('3. AI Fit Diagnostic'!$AI$8:$AI$57,COUNTIF('3. AI Fit Diagnostic'!$AI$8:$AI$57,"&lt;"&amp;100)+5),"")&lt;200,IFERROR(SMALL('3. AI Fit Diagnostic'!$AI$8:$AI$57,COUNTIF('3. AI Fit Diagnostic'!$AI$8:$AI$57,"&lt;"&amp;100)+5),""),""))</f>
        <v>105</v>
      </c>
    </row>
    <row r="11" ht="26" customHeight="1">
      <c r="A11" s="42">
        <f>IF($H11="","",INDEX('3. AI Fit Diagnostic'!$AC$8:$AC$57,MATCH($H11,'3. AI Fit Diagnostic'!$AI$8:$AI$57,0)))</f>
        <v>6</v>
      </c>
      <c r="B11" s="26" t="str">
        <f>IF($H11="","",INDEX('3. AI Fit Diagnostic'!$AJ$8:$AJ$57,MATCH($H11,'3. AI Fit Diagnostic'!$AI$8:$AI$57,0)))</f>
        <v>Audit - bank &amp; external confirmations</v>
      </c>
      <c r="C11" s="25" t="str">
        <f>IF($H11="","",INDEX('3. AI Fit Diagnostic'!$P$8:$P$57,MATCH($H11,'3. AI Fit Diagnostic'!$AI$8:$AI$57,0)))</f>
        <v>Core operations &amp; service delivery</v>
      </c>
      <c r="D11" s="25" t="str">
        <f>IF($H11="","",INDEX('3. AI Fit Diagnostic'!$R$8:$R$57,MATCH($H11,'3. AI Fit Diagnostic'!$AI$8:$AI$57,0)))</f>
        <v>Intelligent document processing (IDP)</v>
      </c>
      <c r="E11" s="25" t="str">
        <f>IF($H11="","",INDEX('3. AI Fit Diagnostic'!$W$8:$W$57,MATCH($H11,'3. AI Fit Diagnostic'!$AI$8:$AI$57,0)))</f>
        <v>AI fit now</v>
      </c>
      <c r="F11" s="38" t="str">
        <f>IF($H11="","",INDEX('3. AI Fit Diagnostic'!$Z$8:$Z$57,MATCH($H11,'3. AI Fit Diagnostic'!$AI$8:$AI$57,0)))</f>
        <v>Medium</v>
      </c>
      <c r="G11" s="43">
        <f>IF($H11="","",INDEX('3. AI Fit Diagnostic'!$AE$8:$AE$57,MATCH($H11,'3. AI Fit Diagnostic'!$AI$8:$AI$57,0)))</f>
        <v>720</v>
      </c>
      <c r="H11">
        <f>IF(IFERROR(SMALL('3. AI Fit Diagnostic'!$AI$8:$AI$57,COUNTIF('3. AI Fit Diagnostic'!$AI$8:$AI$57,"&lt;"&amp;100)+6),"")="","",IF(IFERROR(SMALL('3. AI Fit Diagnostic'!$AI$8:$AI$57,COUNTIF('3. AI Fit Diagnostic'!$AI$8:$AI$57,"&lt;"&amp;100)+6),"")&lt;200,IFERROR(SMALL('3. AI Fit Diagnostic'!$AI$8:$AI$57,COUNTIF('3. AI Fit Diagnostic'!$AI$8:$AI$57,"&lt;"&amp;100)+6),""),""))</f>
        <v>106</v>
      </c>
    </row>
    <row r="12" ht="26" customHeight="1">
      <c r="A12" s="42">
        <f>IF($H12="","",INDEX('3. AI Fit Diagnostic'!$AC$8:$AC$57,MATCH($H12,'3. AI Fit Diagnostic'!$AI$8:$AI$57,0)))</f>
        <v>7</v>
      </c>
      <c r="B12" s="26" t="str">
        <f>IF($H12="","",INDEX('3. AI Fit Diagnostic'!$AJ$8:$AJ$57,MATCH($H12,'3. AI Fit Diagnostic'!$AI$8:$AI$57,0)))</f>
        <v>Methodology &amp; knowledge Q&amp;A</v>
      </c>
      <c r="C12" s="25" t="str">
        <f>IF($H12="","",INDEX('3. AI Fit Diagnostic'!$P$8:$P$57,MATCH($H12,'3. AI Fit Diagnostic'!$AI$8:$AI$57,0)))</f>
        <v>Knowledge &amp; collaboration</v>
      </c>
      <c r="D12" s="25" t="str">
        <f>IF($H12="","",INDEX('3. AI Fit Diagnostic'!$R$8:$R$57,MATCH($H12,'3. AI Fit Diagnostic'!$AI$8:$AI$57,0)))</f>
        <v>GenAI knowledge assistant (RAG on own content)</v>
      </c>
      <c r="E12" s="25" t="str">
        <f>IF($H12="","",INDEX('3. AI Fit Diagnostic'!$W$8:$W$57,MATCH($H12,'3. AI Fit Diagnostic'!$AI$8:$AI$57,0)))</f>
        <v>AI fit now</v>
      </c>
      <c r="F12" s="38" t="str">
        <f>IF($H12="","",INDEX('3. AI Fit Diagnostic'!$Z$8:$Z$57,MATCH($H12,'3. AI Fit Diagnostic'!$AI$8:$AI$57,0)))</f>
        <v>Low</v>
      </c>
      <c r="G12" s="43">
        <f>IF($H12="","",INDEX('3. AI Fit Diagnostic'!$AE$8:$AE$57,MATCH($H12,'3. AI Fit Diagnostic'!$AI$8:$AI$57,0)))</f>
        <v>600</v>
      </c>
      <c r="H12">
        <f>IF(IFERROR(SMALL('3. AI Fit Diagnostic'!$AI$8:$AI$57,COUNTIF('3. AI Fit Diagnostic'!$AI$8:$AI$57,"&lt;"&amp;100)+7),"")="","",IF(IFERROR(SMALL('3. AI Fit Diagnostic'!$AI$8:$AI$57,COUNTIF('3. AI Fit Diagnostic'!$AI$8:$AI$57,"&lt;"&amp;100)+7),"")&lt;200,IFERROR(SMALL('3. AI Fit Diagnostic'!$AI$8:$AI$57,COUNTIF('3. AI Fit Diagnostic'!$AI$8:$AI$57,"&lt;"&amp;100)+7),""),""))</f>
        <v>107</v>
      </c>
    </row>
    <row r="13" ht="26" customHeight="1">
      <c r="A13" s="42">
        <f>IF($H13="","",INDEX('3. AI Fit Diagnostic'!$AC$8:$AC$57,MATCH($H13,'3. AI Fit Diagnostic'!$AI$8:$AI$57,0)))</f>
        <v>8</v>
      </c>
      <c r="B13" s="26" t="str">
        <f>IF($H13="","",INDEX('3. AI Fit Diagnostic'!$AJ$8:$AJ$57,MATCH($H13,'3. AI Fit Diagnostic'!$AI$8:$AI$57,0)))</f>
        <v>Advisory - due-diligence data-room review</v>
      </c>
      <c r="C13" s="25" t="str">
        <f>IF($H13="","",INDEX('3. AI Fit Diagnostic'!$P$8:$P$57,MATCH($H13,'3. AI Fit Diagnostic'!$AI$8:$AI$57,0)))</f>
        <v>Core operations &amp; service delivery</v>
      </c>
      <c r="D13" s="25" t="str">
        <f>IF($H13="","",INDEX('3. AI Fit Diagnostic'!$R$8:$R$57,MATCH($H13,'3. AI Fit Diagnostic'!$AI$8:$AI$57,0)))</f>
        <v>Generative AI assistant (off-the-shelf)</v>
      </c>
      <c r="E13" s="25" t="str">
        <f>IF($H13="","",INDEX('3. AI Fit Diagnostic'!$W$8:$W$57,MATCH($H13,'3. AI Fit Diagnostic'!$AI$8:$AI$57,0)))</f>
        <v>AI fit now</v>
      </c>
      <c r="F13" s="38" t="str">
        <f>IF($H13="","",INDEX('3. AI Fit Diagnostic'!$Z$8:$Z$57,MATCH($H13,'3. AI Fit Diagnostic'!$AI$8:$AI$57,0)))</f>
        <v>Medium</v>
      </c>
      <c r="G13" s="43">
        <f>IF($H13="","",INDEX('3. AI Fit Diagnostic'!$AE$8:$AE$57,MATCH($H13,'3. AI Fit Diagnostic'!$AI$8:$AI$57,0)))</f>
        <v>792</v>
      </c>
      <c r="H13">
        <f>IF(IFERROR(SMALL('3. AI Fit Diagnostic'!$AI$8:$AI$57,COUNTIF('3. AI Fit Diagnostic'!$AI$8:$AI$57,"&lt;"&amp;100)+8),"")="","",IF(IFERROR(SMALL('3. AI Fit Diagnostic'!$AI$8:$AI$57,COUNTIF('3. AI Fit Diagnostic'!$AI$8:$AI$57,"&lt;"&amp;100)+8),"")&lt;200,IFERROR(SMALL('3. AI Fit Diagnostic'!$AI$8:$AI$57,COUNTIF('3. AI Fit Diagnostic'!$AI$8:$AI$57,"&lt;"&amp;100)+8),""),""))</f>
        <v>108</v>
      </c>
    </row>
    <row r="14" ht="26" customHeight="1">
      <c r="A14" s="42">
        <f>IF($H14="","",INDEX('3. AI Fit Diagnostic'!$AC$8:$AC$57,MATCH($H14,'3. AI Fit Diagnostic'!$AI$8:$AI$57,0)))</f>
        <v>9</v>
      </c>
      <c r="B14" s="26" t="str">
        <f>IF($H14="","",INDEX('3. AI Fit Diagnostic'!$AJ$8:$AJ$57,MATCH($H14,'3. AI Fit Diagnostic'!$AI$8:$AI$57,0)))</f>
        <v>Tax research &amp; technical Q&amp;A</v>
      </c>
      <c r="C14" s="25" t="str">
        <f>IF($H14="","",INDEX('3. AI Fit Diagnostic'!$P$8:$P$57,MATCH($H14,'3. AI Fit Diagnostic'!$AI$8:$AI$57,0)))</f>
        <v>Core operations &amp; service delivery</v>
      </c>
      <c r="D14" s="25" t="str">
        <f>IF($H14="","",INDEX('3. AI Fit Diagnostic'!$R$8:$R$57,MATCH($H14,'3. AI Fit Diagnostic'!$AI$8:$AI$57,0)))</f>
        <v>GenAI knowledge assistant (RAG on own content)</v>
      </c>
      <c r="E14" s="25" t="str">
        <f>IF($H14="","",INDEX('3. AI Fit Diagnostic'!$W$8:$W$57,MATCH($H14,'3. AI Fit Diagnostic'!$AI$8:$AI$57,0)))</f>
        <v>AI fit now</v>
      </c>
      <c r="F14" s="38" t="str">
        <f>IF($H14="","",INDEX('3. AI Fit Diagnostic'!$Z$8:$Z$57,MATCH($H14,'3. AI Fit Diagnostic'!$AI$8:$AI$57,0)))</f>
        <v>Low</v>
      </c>
      <c r="G14" s="43">
        <f>IF($H14="","",INDEX('3. AI Fit Diagnostic'!$AE$8:$AE$57,MATCH($H14,'3. AI Fit Diagnostic'!$AI$8:$AI$57,0)))</f>
        <v>480</v>
      </c>
      <c r="H14">
        <f>IF(IFERROR(SMALL('3. AI Fit Diagnostic'!$AI$8:$AI$57,COUNTIF('3. AI Fit Diagnostic'!$AI$8:$AI$57,"&lt;"&amp;100)+9),"")="","",IF(IFERROR(SMALL('3. AI Fit Diagnostic'!$AI$8:$AI$57,COUNTIF('3. AI Fit Diagnostic'!$AI$8:$AI$57,"&lt;"&amp;100)+9),"")&lt;200,IFERROR(SMALL('3. AI Fit Diagnostic'!$AI$8:$AI$57,COUNTIF('3. AI Fit Diagnostic'!$AI$8:$AI$57,"&lt;"&amp;100)+9),""),""))</f>
        <v>109</v>
      </c>
    </row>
    <row r="15" ht="26" customHeight="1">
      <c r="A15" s="42">
        <f>IF($H15="","",INDEX('3. AI Fit Diagnostic'!$AC$8:$AC$57,MATCH($H15,'3. AI Fit Diagnostic'!$AI$8:$AI$57,0)))</f>
        <v>10</v>
      </c>
      <c r="B15" s="26" t="str">
        <f>IF($H15="","",INDEX('3. AI Fit Diagnostic'!$AJ$8:$AJ$57,MATCH($H15,'3. AI Fit Diagnostic'!$AI$8:$AI$57,0)))</f>
        <v>Proposal, quotation &amp; tender responses</v>
      </c>
      <c r="C15" s="25" t="str">
        <f>IF($H15="","",INDEX('3. AI Fit Diagnostic'!$P$8:$P$57,MATCH($H15,'3. AI Fit Diagnostic'!$AI$8:$AI$57,0)))</f>
        <v>Sales &amp; marketing</v>
      </c>
      <c r="D15" s="25" t="str">
        <f>IF($H15="","",INDEX('3. AI Fit Diagnostic'!$R$8:$R$57,MATCH($H15,'3. AI Fit Diagnostic'!$AI$8:$AI$57,0)))</f>
        <v>GenAI knowledge assistant (RAG on own content)</v>
      </c>
      <c r="E15" s="25" t="str">
        <f>IF($H15="","",INDEX('3. AI Fit Diagnostic'!$W$8:$W$57,MATCH($H15,'3. AI Fit Diagnostic'!$AI$8:$AI$57,0)))</f>
        <v>AI fit now</v>
      </c>
      <c r="F15" s="38" t="str">
        <f>IF($H15="","",INDEX('3. AI Fit Diagnostic'!$Z$8:$Z$57,MATCH($H15,'3. AI Fit Diagnostic'!$AI$8:$AI$57,0)))</f>
        <v>Low</v>
      </c>
      <c r="G15" s="43">
        <f>IF($H15="","",INDEX('3. AI Fit Diagnostic'!$AE$8:$AE$57,MATCH($H15,'3. AI Fit Diagnostic'!$AI$8:$AI$57,0)))</f>
        <v>1050</v>
      </c>
      <c r="H15">
        <f>IF(IFERROR(SMALL('3. AI Fit Diagnostic'!$AI$8:$AI$57,COUNTIF('3. AI Fit Diagnostic'!$AI$8:$AI$57,"&lt;"&amp;100)+10),"")="","",IF(IFERROR(SMALL('3. AI Fit Diagnostic'!$AI$8:$AI$57,COUNTIF('3. AI Fit Diagnostic'!$AI$8:$AI$57,"&lt;"&amp;100)+10),"")&lt;200,IFERROR(SMALL('3. AI Fit Diagnostic'!$AI$8:$AI$57,COUNTIF('3. AI Fit Diagnostic'!$AI$8:$AI$57,"&lt;"&amp;100)+10),""),""))</f>
        <v>110</v>
      </c>
    </row>
    <row r="16" ht="26" customHeight="1">
      <c r="A16" s="42">
        <f>IF($H16="","",INDEX('3. AI Fit Diagnostic'!$AC$8:$AC$57,MATCH($H16,'3. AI Fit Diagnostic'!$AI$8:$AI$57,0)))</f>
        <v>11</v>
      </c>
      <c r="B16" s="26" t="str">
        <f>IF($H16="","",INDEX('3. AI Fit Diagnostic'!$AJ$8:$AJ$57,MATCH($H16,'3. AI Fit Diagnostic'!$AI$8:$AI$57,0)))</f>
        <v>Client BCP &amp; business impact analysis (GT AI BCP tool - in preparation)</v>
      </c>
      <c r="C16" s="25" t="str">
        <f>IF($H16="","",INDEX('3. AI Fit Diagnostic'!$P$8:$P$57,MATCH($H16,'3. AI Fit Diagnostic'!$AI$8:$AI$57,0)))</f>
        <v>Risk, compliance &amp; legal</v>
      </c>
      <c r="D16" s="25" t="str">
        <f>IF($H16="","",INDEX('3. AI Fit Diagnostic'!$R$8:$R$57,MATCH($H16,'3. AI Fit Diagnostic'!$AI$8:$AI$57,0)))</f>
        <v>Generative AI assistant (off-the-shelf)</v>
      </c>
      <c r="E16" s="25" t="str">
        <f>IF($H16="","",INDEX('3. AI Fit Diagnostic'!$W$8:$W$57,MATCH($H16,'3. AI Fit Diagnostic'!$AI$8:$AI$57,0)))</f>
        <v>AI fit now</v>
      </c>
      <c r="F16" s="38" t="str">
        <f>IF($H16="","",INDEX('3. AI Fit Diagnostic'!$Z$8:$Z$57,MATCH($H16,'3. AI Fit Diagnostic'!$AI$8:$AI$57,0)))</f>
        <v>Medium</v>
      </c>
      <c r="G16" s="43">
        <f>IF($H16="","",INDEX('3. AI Fit Diagnostic'!$AE$8:$AE$57,MATCH($H16,'3. AI Fit Diagnostic'!$AI$8:$AI$57,0)))</f>
        <v>720</v>
      </c>
      <c r="H16">
        <f>IF(IFERROR(SMALL('3. AI Fit Diagnostic'!$AI$8:$AI$57,COUNTIF('3. AI Fit Diagnostic'!$AI$8:$AI$57,"&lt;"&amp;100)+11),"")="","",IF(IFERROR(SMALL('3. AI Fit Diagnostic'!$AI$8:$AI$57,COUNTIF('3. AI Fit Diagnostic'!$AI$8:$AI$57,"&lt;"&amp;100)+11),"")&lt;200,IFERROR(SMALL('3. AI Fit Diagnostic'!$AI$8:$AI$57,COUNTIF('3. AI Fit Diagnostic'!$AI$8:$AI$57,"&lt;"&amp;100)+11),""),""))</f>
        <v>111</v>
      </c>
    </row>
    <row r="17" ht="26" customHeight="1">
      <c r="A17" s="42">
        <f>IF($H17="","",INDEX('3. AI Fit Diagnostic'!$AC$8:$AC$57,MATCH($H17,'3. AI Fit Diagnostic'!$AI$8:$AI$57,0)))</f>
        <v>12</v>
      </c>
      <c r="B17" s="26" t="str">
        <f>IF($H17="","",INDEX('3. AI Fit Diagnostic'!$AJ$8:$AJ$57,MATCH($H17,'3. AI Fit Diagnostic'!$AI$8:$AI$57,0)))</f>
        <v>Marketing content &amp; campaigns</v>
      </c>
      <c r="C17" s="25" t="str">
        <f>IF($H17="","",INDEX('3. AI Fit Diagnostic'!$P$8:$P$57,MATCH($H17,'3. AI Fit Diagnostic'!$AI$8:$AI$57,0)))</f>
        <v>Sales &amp; marketing</v>
      </c>
      <c r="D17" s="25" t="str">
        <f>IF($H17="","",INDEX('3. AI Fit Diagnostic'!$R$8:$R$57,MATCH($H17,'3. AI Fit Diagnostic'!$AI$8:$AI$57,0)))</f>
        <v>Generative AI assistant (off-the-shelf)</v>
      </c>
      <c r="E17" s="25" t="str">
        <f>IF($H17="","",INDEX('3. AI Fit Diagnostic'!$W$8:$W$57,MATCH($H17,'3. AI Fit Diagnostic'!$AI$8:$AI$57,0)))</f>
        <v>AI fit now</v>
      </c>
      <c r="F17" s="38" t="str">
        <f>IF($H17="","",INDEX('3. AI Fit Diagnostic'!$Z$8:$Z$57,MATCH($H17,'3. AI Fit Diagnostic'!$AI$8:$AI$57,0)))</f>
        <v>Low</v>
      </c>
      <c r="G17" s="43">
        <f>IF($H17="","",INDEX('3. AI Fit Diagnostic'!$AE$8:$AE$57,MATCH($H17,'3. AI Fit Diagnostic'!$AI$8:$AI$57,0)))</f>
        <v>288</v>
      </c>
      <c r="H17">
        <f>IF(IFERROR(SMALL('3. AI Fit Diagnostic'!$AI$8:$AI$57,COUNTIF('3. AI Fit Diagnostic'!$AI$8:$AI$57,"&lt;"&amp;100)+12),"")="","",IF(IFERROR(SMALL('3. AI Fit Diagnostic'!$AI$8:$AI$57,COUNTIF('3. AI Fit Diagnostic'!$AI$8:$AI$57,"&lt;"&amp;100)+12),"")&lt;200,IFERROR(SMALL('3. AI Fit Diagnostic'!$AI$8:$AI$57,COUNTIF('3. AI Fit Diagnostic'!$AI$8:$AI$57,"&lt;"&amp;100)+12),""),""))</f>
        <v>112</v>
      </c>
    </row>
    <row r="18" ht="26" customHeight="1">
      <c r="A18" s="42">
        <f>IF($H18="","",INDEX('3. AI Fit Diagnostic'!$AC$8:$AC$57,MATCH($H18,'3. AI Fit Diagnostic'!$AI$8:$AI$57,0)))</f>
        <v>13</v>
      </c>
      <c r="B18" s="26" t="str">
        <f>IF($H18="","",INDEX('3. AI Fit Diagnostic'!$AJ$8:$AJ$57,MATCH($H18,'3. AI Fit Diagnostic'!$AI$8:$AI$57,0)))</f>
        <v>Assessment &amp; maturity report production</v>
      </c>
      <c r="C18" s="25" t="str">
        <f>IF($H18="","",INDEX('3. AI Fit Diagnostic'!$P$8:$P$57,MATCH($H18,'3. AI Fit Diagnostic'!$AI$8:$AI$57,0)))</f>
        <v>Core operations &amp; service delivery</v>
      </c>
      <c r="D18" s="25" t="str">
        <f>IF($H18="","",INDEX('3. AI Fit Diagnostic'!$R$8:$R$57,MATCH($H18,'3. AI Fit Diagnostic'!$AI$8:$AI$57,0)))</f>
        <v>Workflow automation / RPA</v>
      </c>
      <c r="E18" s="25" t="str">
        <f>IF($H18="","",INDEX('3. AI Fit Diagnostic'!$W$8:$W$57,MATCH($H18,'3. AI Fit Diagnostic'!$AI$8:$AI$57,0)))</f>
        <v>Automate - AI not needed</v>
      </c>
      <c r="F18" s="38" t="str">
        <f>IF($H18="","",INDEX('3. AI Fit Diagnostic'!$Z$8:$Z$57,MATCH($H18,'3. AI Fit Diagnostic'!$AI$8:$AI$57,0)))</f>
        <v>Low</v>
      </c>
      <c r="G18" s="43">
        <f>IF($H18="","",INDEX('3. AI Fit Diagnostic'!$AE$8:$AE$57,MATCH($H18,'3. AI Fit Diagnostic'!$AI$8:$AI$57,0)))</f>
        <v>288</v>
      </c>
      <c r="H18">
        <f>IF(IFERROR(SMALL('3. AI Fit Diagnostic'!$AI$8:$AI$57,COUNTIF('3. AI Fit Diagnostic'!$AI$8:$AI$57,"&lt;"&amp;100)+13),"")="","",IF(IFERROR(SMALL('3. AI Fit Diagnostic'!$AI$8:$AI$57,COUNTIF('3. AI Fit Diagnostic'!$AI$8:$AI$57,"&lt;"&amp;100)+13),"")&lt;200,IFERROR(SMALL('3. AI Fit Diagnostic'!$AI$8:$AI$57,COUNTIF('3. AI Fit Diagnostic'!$AI$8:$AI$57,"&lt;"&amp;100)+13),""),""))</f>
        <v>113</v>
      </c>
    </row>
    <row r="19" ht="26" customHeight="1">
      <c r="A19" s="42">
        <f>IF($H19="","",INDEX('3. AI Fit Diagnostic'!$AC$8:$AC$57,MATCH($H19,'3. AI Fit Diagnostic'!$AI$8:$AI$57,0)))</f>
        <v>16</v>
      </c>
      <c r="B19" s="26" t="str">
        <f>IF($H19="","",INDEX('3. AI Fit Diagnostic'!$AJ$8:$AJ$57,MATCH($H19,'3. AI Fit Diagnostic'!$AI$8:$AI$57,0)))</f>
        <v>KPI dashboards</v>
      </c>
      <c r="C19" s="25" t="str">
        <f>IF($H19="","",INDEX('3. AI Fit Diagnostic'!$P$8:$P$57,MATCH($H19,'3. AI Fit Diagnostic'!$AI$8:$AI$57,0)))</f>
        <v>Strategy, management &amp; reporting</v>
      </c>
      <c r="D19" s="25" t="str">
        <f>IF($H19="","",INDEX('3. AI Fit Diagnostic'!$R$8:$R$57,MATCH($H19,'3. AI Fit Diagnostic'!$AI$8:$AI$57,0)))</f>
        <v>BI, dashboards &amp; reconciliation automation</v>
      </c>
      <c r="E19" s="25" t="str">
        <f>IF($H19="","",INDEX('3. AI Fit Diagnostic'!$W$8:$W$57,MATCH($H19,'3. AI Fit Diagnostic'!$AI$8:$AI$57,0)))</f>
        <v>Automate - AI not needed</v>
      </c>
      <c r="F19" s="38" t="str">
        <f>IF($H19="","",INDEX('3. AI Fit Diagnostic'!$Z$8:$Z$57,MATCH($H19,'3. AI Fit Diagnostic'!$AI$8:$AI$57,0)))</f>
        <v>Low</v>
      </c>
      <c r="G19" s="43">
        <f>IF($H19="","",INDEX('3. AI Fit Diagnostic'!$AE$8:$AE$57,MATCH($H19,'3. AI Fit Diagnostic'!$AI$8:$AI$57,0)))</f>
        <v>300</v>
      </c>
      <c r="H19">
        <f>IF(IFERROR(SMALL('3. AI Fit Diagnostic'!$AI$8:$AI$57,COUNTIF('3. AI Fit Diagnostic'!$AI$8:$AI$57,"&lt;"&amp;100)+14),"")="","",IF(IFERROR(SMALL('3. AI Fit Diagnostic'!$AI$8:$AI$57,COUNTIF('3. AI Fit Diagnostic'!$AI$8:$AI$57,"&lt;"&amp;100)+14),"")&lt;200,IFERROR(SMALL('3. AI Fit Diagnostic'!$AI$8:$AI$57,COUNTIF('3. AI Fit Diagnostic'!$AI$8:$AI$57,"&lt;"&amp;100)+14),""),""))</f>
        <v>116</v>
      </c>
    </row>
    <row r="20" ht="26" customHeight="1">
      <c r="A20" s="42">
        <f>IF($H20="","",INDEX('3. AI Fit Diagnostic'!$AC$8:$AC$57,MATCH($H20,'3. AI Fit Diagnostic'!$AI$8:$AI$57,0)))</f>
        <v>17</v>
      </c>
      <c r="B20" s="26" t="str">
        <f>IF($H20="","",INDEX('3. AI Fit Diagnostic'!$AJ$8:$AJ$57,MATCH($H20,'3. AI Fit Diagnostic'!$AI$8:$AI$57,0)))</f>
        <v>Employee HR queries (leave, policies, payslips)</v>
      </c>
      <c r="C20" s="25" t="str">
        <f>IF($H20="","",INDEX('3. AI Fit Diagnostic'!$P$8:$P$57,MATCH($H20,'3. AI Fit Diagnostic'!$AI$8:$AI$57,0)))</f>
        <v>HR &amp; people</v>
      </c>
      <c r="D20" s="25" t="str">
        <f>IF($H20="","",INDEX('3. AI Fit Diagnostic'!$R$8:$R$57,MATCH($H20,'3. AI Fit Diagnostic'!$AI$8:$AI$57,0)))</f>
        <v>Conversational AI / virtual agent</v>
      </c>
      <c r="E20" s="25" t="str">
        <f>IF($H20="","",INDEX('3. AI Fit Diagnostic'!$W$8:$W$57,MATCH($H20,'3. AI Fit Diagnostic'!$AI$8:$AI$57,0)))</f>
        <v>AI fit now</v>
      </c>
      <c r="F20" s="38" t="str">
        <f>IF($H20="","",INDEX('3. AI Fit Diagnostic'!$Z$8:$Z$57,MATCH($H20,'3. AI Fit Diagnostic'!$AI$8:$AI$57,0)))</f>
        <v>Low</v>
      </c>
      <c r="G20" s="43">
        <f>IF($H20="","",INDEX('3. AI Fit Diagnostic'!$AE$8:$AE$57,MATCH($H20,'3. AI Fit Diagnostic'!$AI$8:$AI$57,0)))</f>
        <v>216</v>
      </c>
      <c r="H20">
        <f>IF(IFERROR(SMALL('3. AI Fit Diagnostic'!$AI$8:$AI$57,COUNTIF('3. AI Fit Diagnostic'!$AI$8:$AI$57,"&lt;"&amp;100)+15),"")="","",IF(IFERROR(SMALL('3. AI Fit Diagnostic'!$AI$8:$AI$57,COUNTIF('3. AI Fit Diagnostic'!$AI$8:$AI$57,"&lt;"&amp;100)+15),"")&lt;200,IFERROR(SMALL('3. AI Fit Diagnostic'!$AI$8:$AI$57,COUNTIF('3. AI Fit Diagnostic'!$AI$8:$AI$57,"&lt;"&amp;100)+15),""),""))</f>
        <v>117</v>
      </c>
    </row>
    <row r="21" ht="26" customHeight="1">
      <c r="A21" s="42">
        <f>IF($H21="","",INDEX('3. AI Fit Diagnostic'!$AC$8:$AC$57,MATCH($H21,'3. AI Fit Diagnostic'!$AI$8:$AI$57,0)))</f>
        <v>18</v>
      </c>
      <c r="B21" s="26" t="str">
        <f>IF($H21="","",INDEX('3. AI Fit Diagnostic'!$AJ$8:$AJ$57,MATCH($H21,'3. AI Fit Diagnostic'!$AI$8:$AI$57,0)))</f>
        <v>Expense claims audit</v>
      </c>
      <c r="C21" s="25" t="str">
        <f>IF($H21="","",INDEX('3. AI Fit Diagnostic'!$P$8:$P$57,MATCH($H21,'3. AI Fit Diagnostic'!$AI$8:$AI$57,0)))</f>
        <v>Finance &amp; accounting</v>
      </c>
      <c r="D21" s="25" t="str">
        <f>IF($H21="","",INDEX('3. AI Fit Diagnostic'!$R$8:$R$57,MATCH($H21,'3. AI Fit Diagnostic'!$AI$8:$AI$57,0)))</f>
        <v>Intelligent document processing (IDP)</v>
      </c>
      <c r="E21" s="25" t="str">
        <f>IF($H21="","",INDEX('3. AI Fit Diagnostic'!$W$8:$W$57,MATCH($H21,'3. AI Fit Diagnostic'!$AI$8:$AI$57,0)))</f>
        <v>AI fit now</v>
      </c>
      <c r="F21" s="38" t="str">
        <f>IF($H21="","",INDEX('3. AI Fit Diagnostic'!$Z$8:$Z$57,MATCH($H21,'3. AI Fit Diagnostic'!$AI$8:$AI$57,0)))</f>
        <v>Medium</v>
      </c>
      <c r="G21" s="43">
        <f>IF($H21="","",INDEX('3. AI Fit Diagnostic'!$AE$8:$AE$57,MATCH($H21,'3. AI Fit Diagnostic'!$AI$8:$AI$57,0)))</f>
        <v>360</v>
      </c>
      <c r="H21">
        <f>IF(IFERROR(SMALL('3. AI Fit Diagnostic'!$AI$8:$AI$57,COUNTIF('3. AI Fit Diagnostic'!$AI$8:$AI$57,"&lt;"&amp;100)+16),"")="","",IF(IFERROR(SMALL('3. AI Fit Diagnostic'!$AI$8:$AI$57,COUNTIF('3. AI Fit Diagnostic'!$AI$8:$AI$57,"&lt;"&amp;100)+16),"")&lt;200,IFERROR(SMALL('3. AI Fit Diagnostic'!$AI$8:$AI$57,COUNTIF('3. AI Fit Diagnostic'!$AI$8:$AI$57,"&lt;"&amp;100)+16),""),""))</f>
        <v>118</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f>IF($H29="","",INDEX('3. AI Fit Diagnostic'!$AC$8:$AC$57,MATCH($H29,'3. AI Fit Diagnostic'!$AI$8:$AI$57,0)))</f>
        <v>14</v>
      </c>
      <c r="B29" s="26" t="str">
        <f>IF($H29="","",INDEX('3. AI Fit Diagnostic'!$AJ$8:$AJ$57,MATCH($H29,'3. AI Fit Diagnostic'!$AI$8:$AI$57,0)))</f>
        <v>Financial statements preparation (GT AI FS tool - in preparation)</v>
      </c>
      <c r="C29" s="25" t="str">
        <f>IF($H29="","",INDEX('3. AI Fit Diagnostic'!$P$8:$P$57,MATCH($H29,'3. AI Fit Diagnostic'!$AI$8:$AI$57,0)))</f>
        <v>Core operations &amp; service delivery</v>
      </c>
      <c r="D29" s="25" t="str">
        <f>IF($H29="","",INDEX('3. AI Fit Diagnostic'!$R$8:$R$57,MATCH($H29,'3. AI Fit Diagnostic'!$AI$8:$AI$57,0)))</f>
        <v>Predictive analytics / machine learning</v>
      </c>
      <c r="E29" s="25" t="str">
        <f>IF($H29="","",INDEX('3. AI Fit Diagnostic'!$W$8:$W$57,MATCH($H29,'3. AI Fit Diagnostic'!$AI$8:$AI$57,0)))</f>
        <v>Stretch - partner or later stage</v>
      </c>
      <c r="F29" s="38" t="str">
        <f>IF($H29="","",INDEX('3. AI Fit Diagnostic'!$Z$8:$Z$57,MATCH($H29,'3. AI Fit Diagnostic'!$AI$8:$AI$57,0)))</f>
        <v>High</v>
      </c>
      <c r="G29" s="43">
        <f>IF($H29="","",INDEX('3. AI Fit Diagnostic'!$AE$8:$AE$57,MATCH($H29,'3. AI Fit Diagnostic'!$AI$8:$AI$57,0)))</f>
        <v>624</v>
      </c>
      <c r="H29">
        <f>IF(IFERROR(SMALL('3. AI Fit Diagnostic'!$AI$8:$AI$57,COUNTIF('3. AI Fit Diagnostic'!$AI$8:$AI$57,"&lt;"&amp;200)+1),"")="","",IF(IFERROR(SMALL('3. AI Fit Diagnostic'!$AI$8:$AI$57,COUNTIF('3. AI Fit Diagnostic'!$AI$8:$AI$57,"&lt;"&amp;200)+1),"")&lt;300,IFERROR(SMALL('3. AI Fit Diagnostic'!$AI$8:$AI$57,COUNTIF('3. AI Fit Diagnostic'!$AI$8:$AI$57,"&lt;"&amp;200)+1),""),""))</f>
        <v>214</v>
      </c>
    </row>
    <row r="30" ht="26" customHeight="1">
      <c r="A30" s="42">
        <f>IF($H30="","",INDEX('3. AI Fit Diagnostic'!$AC$8:$AC$57,MATCH($H30,'3. AI Fit Diagnostic'!$AI$8:$AI$57,0)))</f>
        <v>15</v>
      </c>
      <c r="B30" s="26" t="str">
        <f>IF($H30="","",INDEX('3. AI Fit Diagnostic'!$AJ$8:$AJ$57,MATCH($H30,'3. AI Fit Diagnostic'!$AI$8:$AI$57,0)))</f>
        <v>Audit - journal-entry testing (full population)</v>
      </c>
      <c r="C30" s="25" t="str">
        <f>IF($H30="","",INDEX('3. AI Fit Diagnostic'!$P$8:$P$57,MATCH($H30,'3. AI Fit Diagnostic'!$AI$8:$AI$57,0)))</f>
        <v>Core operations &amp; service delivery</v>
      </c>
      <c r="D30" s="25" t="str">
        <f>IF($H30="","",INDEX('3. AI Fit Diagnostic'!$R$8:$R$57,MATCH($H30,'3. AI Fit Diagnostic'!$AI$8:$AI$57,0)))</f>
        <v>Predictive analytics / machine learning</v>
      </c>
      <c r="E30" s="25" t="str">
        <f>IF($H30="","",INDEX('3. AI Fit Diagnostic'!$W$8:$W$57,MATCH($H30,'3. AI Fit Diagnostic'!$AI$8:$AI$57,0)))</f>
        <v>Stretch - partner or later stage</v>
      </c>
      <c r="F30" s="38" t="str">
        <f>IF($H30="","",INDEX('3. AI Fit Diagnostic'!$Z$8:$Z$57,MATCH($H30,'3. AI Fit Diagnostic'!$AI$8:$AI$57,0)))</f>
        <v>High</v>
      </c>
      <c r="G30" s="43">
        <f>IF($H30="","",INDEX('3. AI Fit Diagnostic'!$AE$8:$AE$57,MATCH($H30,'3. AI Fit Diagnostic'!$AI$8:$AI$57,0)))</f>
        <v>720</v>
      </c>
      <c r="H30">
        <f>IF(IFERROR(SMALL('3. AI Fit Diagnostic'!$AI$8:$AI$57,COUNTIF('3. AI Fit Diagnostic'!$AI$8:$AI$57,"&lt;"&amp;200)+2),"")="","",IF(IFERROR(SMALL('3. AI Fit Diagnostic'!$AI$8:$AI$57,COUNTIF('3. AI Fit Diagnostic'!$AI$8:$AI$57,"&lt;"&amp;200)+2),"")&lt;300,IFERROR(SMALL('3. AI Fit Diagnostic'!$AI$8:$AI$57,COUNTIF('3. AI Fit Diagnostic'!$AI$8:$AI$57,"&lt;"&amp;200)+2),""),""))</f>
        <v>215</v>
      </c>
    </row>
    <row r="31" ht="26" customHeight="1">
      <c r="A31" s="42">
        <f>IF($H31="","",INDEX('3. AI Fit Diagnostic'!$AC$8:$AC$57,MATCH($H31,'3. AI Fit Diagnostic'!$AI$8:$AI$57,0)))</f>
        <v>22</v>
      </c>
      <c r="B31" s="26" t="str">
        <f>IF($H31="","",INDEX('3. AI Fit Diagnostic'!$AJ$8:$AJ$57,MATCH($H31,'3. AI Fit Diagnostic'!$AI$8:$AI$57,0)))</f>
        <v>Engagement workflow coordination</v>
      </c>
      <c r="C31" s="25" t="str">
        <f>IF($H31="","",INDEX('3. AI Fit Diagnostic'!$P$8:$P$57,MATCH($H31,'3. AI Fit Diagnostic'!$AI$8:$AI$57,0)))</f>
        <v>Core operations &amp; service delivery</v>
      </c>
      <c r="D31" s="25" t="str">
        <f>IF($H31="","",INDEX('3. AI Fit Diagnostic'!$R$8:$R$57,MATCH($H31,'3. AI Fit Diagnostic'!$AI$8:$AI$57,0)))</f>
        <v>Agentic AI (supervised agents)</v>
      </c>
      <c r="E31" s="25" t="str">
        <f>IF($H31="","",INDEX('3. AI Fit Diagnostic'!$W$8:$W$57,MATCH($H31,'3. AI Fit Diagnostic'!$AI$8:$AI$57,0)))</f>
        <v>Redesign / standardise first</v>
      </c>
      <c r="F31" s="38" t="str">
        <f>IF($H31="","",INDEX('3. AI Fit Diagnostic'!$Z$8:$Z$57,MATCH($H31,'3. AI Fit Diagnostic'!$AI$8:$AI$57,0)))</f>
        <v>Medium</v>
      </c>
      <c r="G31" s="43">
        <f>IF($H31="","",INDEX('3. AI Fit Diagnostic'!$AE$8:$AE$57,MATCH($H31,'3. AI Fit Diagnostic'!$AI$8:$AI$57,0)))</f>
        <v>720</v>
      </c>
      <c r="H31">
        <f>IF(IFERROR(SMALL('3. AI Fit Diagnostic'!$AI$8:$AI$57,COUNTIF('3. AI Fit Diagnostic'!$AI$8:$AI$57,"&lt;"&amp;200)+3),"")="","",IF(IFERROR(SMALL('3. AI Fit Diagnostic'!$AI$8:$AI$57,COUNTIF('3. AI Fit Diagnostic'!$AI$8:$AI$57,"&lt;"&amp;200)+3),"")&lt;300,IFERROR(SMALL('3. AI Fit Diagnostic'!$AI$8:$AI$57,COUNTIF('3. AI Fit Diagnostic'!$AI$8:$AI$57,"&lt;"&amp;200)+3),""),""))</f>
        <v>222</v>
      </c>
    </row>
    <row r="32" ht="26" customHeight="1">
      <c r="A32" s="42" t="str">
        <f>IF($H32="","",INDEX('3. AI Fit Diagnostic'!$AC$8:$AC$57,MATCH($H32,'3. AI Fit Diagnostic'!$AI$8:$AI$57,0)))</f>
        <v/>
      </c>
      <c r="B32" s="26" t="str">
        <f>IF($H32="","",INDEX('3. AI Fit Diagnostic'!$AJ$8:$AJ$57,MATCH($H32,'3. AI Fit Diagnostic'!$AI$8:$AI$57,0)))</f>
        <v/>
      </c>
      <c r="C32" s="25" t="str">
        <f>IF($H32="","",INDEX('3. AI Fit Diagnostic'!$P$8:$P$57,MATCH($H32,'3. AI Fit Diagnostic'!$AI$8:$AI$57,0)))</f>
        <v/>
      </c>
      <c r="D32" s="25" t="str">
        <f>IF($H32="","",INDEX('3. AI Fit Diagnostic'!$R$8:$R$57,MATCH($H32,'3. AI Fit Diagnostic'!$AI$8:$AI$57,0)))</f>
        <v/>
      </c>
      <c r="E32" s="25" t="str">
        <f>IF($H32="","",INDEX('3. AI Fit Diagnostic'!$W$8:$W$57,MATCH($H32,'3. AI Fit Diagnostic'!$AI$8:$AI$57,0)))</f>
        <v/>
      </c>
      <c r="F32" s="38" t="str">
        <f>IF($H32="","",INDEX('3. AI Fit Diagnostic'!$Z$8:$Z$57,MATCH($H32,'3. AI Fit Diagnostic'!$AI$8:$AI$57,0)))</f>
        <v/>
      </c>
      <c r="G32" s="43" t="str">
        <f>IF($H32="","",INDEX('3. AI Fit Diagnostic'!$AE$8:$AE$57,MATCH($H32,'3. AI Fit Diagnostic'!$AI$8:$AI$57,0)))</f>
        <v/>
      </c>
      <c r="H32" t="str">
        <f>IF(IFERROR(SMALL('3. AI Fit Diagnostic'!$AI$8:$AI$57,COUNTIF('3. AI Fit Diagnostic'!$AI$8:$AI$57,"&lt;"&amp;200)+4),"")="","",IF(IFERROR(SMALL('3. AI Fit Diagnostic'!$AI$8:$AI$57,COUNTIF('3. AI Fit Diagnostic'!$AI$8:$AI$57,"&lt;"&amp;200)+4),"")&lt;300,IFERROR(SMALL('3. AI Fit Diagnostic'!$AI$8:$AI$57,COUNTIF('3. AI Fit Diagnostic'!$AI$8:$AI$57,"&lt;"&amp;200)+4),""),""))</f>
        <v/>
      </c>
    </row>
    <row r="33" ht="26" customHeight="1">
      <c r="A33" s="42" t="str">
        <f>IF($H33="","",INDEX('3. AI Fit Diagnostic'!$AC$8:$AC$57,MATCH($H33,'3. AI Fit Diagnostic'!$AI$8:$AI$57,0)))</f>
        <v/>
      </c>
      <c r="B33" s="26" t="str">
        <f>IF($H33="","",INDEX('3. AI Fit Diagnostic'!$AJ$8:$AJ$57,MATCH($H33,'3. AI Fit Diagnostic'!$AI$8:$AI$57,0)))</f>
        <v/>
      </c>
      <c r="C33" s="25" t="str">
        <f>IF($H33="","",INDEX('3. AI Fit Diagnostic'!$P$8:$P$57,MATCH($H33,'3. AI Fit Diagnostic'!$AI$8:$AI$57,0)))</f>
        <v/>
      </c>
      <c r="D33" s="25" t="str">
        <f>IF($H33="","",INDEX('3. AI Fit Diagnostic'!$R$8:$R$57,MATCH($H33,'3. AI Fit Diagnostic'!$AI$8:$AI$57,0)))</f>
        <v/>
      </c>
      <c r="E33" s="25" t="str">
        <f>IF($H33="","",INDEX('3. AI Fit Diagnostic'!$W$8:$W$57,MATCH($H33,'3. AI Fit Diagnostic'!$AI$8:$AI$57,0)))</f>
        <v/>
      </c>
      <c r="F33" s="38" t="str">
        <f>IF($H33="","",INDEX('3. AI Fit Diagnostic'!$Z$8:$Z$57,MATCH($H33,'3. AI Fit Diagnostic'!$AI$8:$AI$57,0)))</f>
        <v/>
      </c>
      <c r="G33" s="43" t="str">
        <f>IF($H33="","",INDEX('3. AI Fit Diagnostic'!$AE$8:$AE$57,MATCH($H33,'3. AI Fit Diagnostic'!$AI$8:$AI$57,0)))</f>
        <v/>
      </c>
      <c r="H33" t="str">
        <f>IF(IFERROR(SMALL('3. AI Fit Diagnostic'!$AI$8:$AI$57,COUNTIF('3. AI Fit Diagnostic'!$AI$8:$AI$57,"&lt;"&amp;200)+5),"")="","",IF(IFERROR(SMALL('3. AI Fit Diagnostic'!$AI$8:$AI$57,COUNTIF('3. AI Fit Diagnostic'!$AI$8:$AI$57,"&lt;"&amp;200)+5),"")&lt;300,IFERROR(SMALL('3. AI Fit Diagnostic'!$AI$8:$AI$57,COUNTIF('3. AI Fit Diagnostic'!$AI$8:$AI$57,"&lt;"&amp;200)+5),""),""))</f>
        <v/>
      </c>
    </row>
    <row r="34" ht="26" customHeight="1">
      <c r="A34" s="42" t="str">
        <f>IF($H34="","",INDEX('3. AI Fit Diagnostic'!$AC$8:$AC$57,MATCH($H34,'3. AI Fit Diagnostic'!$AI$8:$AI$57,0)))</f>
        <v/>
      </c>
      <c r="B34" s="26" t="str">
        <f>IF($H34="","",INDEX('3. AI Fit Diagnostic'!$AJ$8:$AJ$57,MATCH($H34,'3. AI Fit Diagnostic'!$AI$8:$AI$57,0)))</f>
        <v/>
      </c>
      <c r="C34" s="25" t="str">
        <f>IF($H34="","",INDEX('3. AI Fit Diagnostic'!$P$8:$P$57,MATCH($H34,'3. AI Fit Diagnostic'!$AI$8:$AI$57,0)))</f>
        <v/>
      </c>
      <c r="D34" s="25" t="str">
        <f>IF($H34="","",INDEX('3. AI Fit Diagnostic'!$R$8:$R$57,MATCH($H34,'3. AI Fit Diagnostic'!$AI$8:$AI$57,0)))</f>
        <v/>
      </c>
      <c r="E34" s="25" t="str">
        <f>IF($H34="","",INDEX('3. AI Fit Diagnostic'!$W$8:$W$57,MATCH($H34,'3. AI Fit Diagnostic'!$AI$8:$AI$57,0)))</f>
        <v/>
      </c>
      <c r="F34" s="38" t="str">
        <f>IF($H34="","",INDEX('3. AI Fit Diagnostic'!$Z$8:$Z$57,MATCH($H34,'3. AI Fit Diagnostic'!$AI$8:$AI$57,0)))</f>
        <v/>
      </c>
      <c r="G34" s="43" t="str">
        <f>IF($H34="","",INDEX('3. AI Fit Diagnostic'!$AE$8:$AE$57,MATCH($H34,'3. AI Fit Diagnostic'!$AI$8:$AI$57,0)))</f>
        <v/>
      </c>
      <c r="H34" t="str">
        <f>IF(IFERROR(SMALL('3. AI Fit Diagnostic'!$AI$8:$AI$57,COUNTIF('3. AI Fit Diagnostic'!$AI$8:$AI$57,"&lt;"&amp;200)+6),"")="","",IF(IFERROR(SMALL('3. AI Fit Diagnostic'!$AI$8:$AI$57,COUNTIF('3. AI Fit Diagnostic'!$AI$8:$AI$57,"&lt;"&amp;200)+6),"")&lt;300,IFERROR(SMALL('3. AI Fit Diagnostic'!$AI$8:$AI$57,COUNTIF('3. AI Fit Diagnostic'!$AI$8:$AI$57,"&lt;"&amp;200)+6),""),""))</f>
        <v/>
      </c>
    </row>
    <row r="35" ht="26" customHeight="1">
      <c r="A35" s="42" t="str">
        <f>IF($H35="","",INDEX('3. AI Fit Diagnostic'!$AC$8:$AC$57,MATCH($H35,'3. AI Fit Diagnostic'!$AI$8:$AI$57,0)))</f>
        <v/>
      </c>
      <c r="B35" s="26" t="str">
        <f>IF($H35="","",INDEX('3. AI Fit Diagnostic'!$AJ$8:$AJ$57,MATCH($H35,'3. AI Fit Diagnostic'!$AI$8:$AI$57,0)))</f>
        <v/>
      </c>
      <c r="C35" s="25" t="str">
        <f>IF($H35="","",INDEX('3. AI Fit Diagnostic'!$P$8:$P$57,MATCH($H35,'3. AI Fit Diagnostic'!$AI$8:$AI$57,0)))</f>
        <v/>
      </c>
      <c r="D35" s="25" t="str">
        <f>IF($H35="","",INDEX('3. AI Fit Diagnostic'!$R$8:$R$57,MATCH($H35,'3. AI Fit Diagnostic'!$AI$8:$AI$57,0)))</f>
        <v/>
      </c>
      <c r="E35" s="25" t="str">
        <f>IF($H35="","",INDEX('3. AI Fit Diagnostic'!$W$8:$W$57,MATCH($H35,'3. AI Fit Diagnostic'!$AI$8:$AI$57,0)))</f>
        <v/>
      </c>
      <c r="F35" s="38" t="str">
        <f>IF($H35="","",INDEX('3. AI Fit Diagnostic'!$Z$8:$Z$57,MATCH($H35,'3. AI Fit Diagnostic'!$AI$8:$AI$57,0)))</f>
        <v/>
      </c>
      <c r="G35" s="43" t="str">
        <f>IF($H35="","",INDEX('3. AI Fit Diagnostic'!$AE$8:$AE$57,MATCH($H35,'3. AI Fit Diagnostic'!$AI$8:$AI$57,0)))</f>
        <v/>
      </c>
      <c r="H35" t="str">
        <f>IF(IFERROR(SMALL('3. AI Fit Diagnostic'!$AI$8:$AI$57,COUNTIF('3. AI Fit Diagnostic'!$AI$8:$AI$57,"&lt;"&amp;200)+7),"")="","",IF(IFERROR(SMALL('3. AI Fit Diagnostic'!$AI$8:$AI$57,COUNTIF('3. AI Fit Diagnostic'!$AI$8:$AI$57,"&lt;"&amp;200)+7),"")&lt;300,IFERROR(SMALL('3. AI Fit Diagnostic'!$AI$8:$AI$57,COUNTIF('3. AI Fit Diagnostic'!$AI$8:$AI$57,"&lt;"&amp;200)+7),""),""))</f>
        <v/>
      </c>
    </row>
    <row r="36" ht="26" customHeight="1">
      <c r="A36" s="42" t="str">
        <f>IF($H36="","",INDEX('3. AI Fit Diagnostic'!$AC$8:$AC$57,MATCH($H36,'3. AI Fit Diagnostic'!$AI$8:$AI$57,0)))</f>
        <v/>
      </c>
      <c r="B36" s="26" t="str">
        <f>IF($H36="","",INDEX('3. AI Fit Diagnostic'!$AJ$8:$AJ$57,MATCH($H36,'3. AI Fit Diagnostic'!$AI$8:$AI$57,0)))</f>
        <v/>
      </c>
      <c r="C36" s="25" t="str">
        <f>IF($H36="","",INDEX('3. AI Fit Diagnostic'!$P$8:$P$57,MATCH($H36,'3. AI Fit Diagnostic'!$AI$8:$AI$57,0)))</f>
        <v/>
      </c>
      <c r="D36" s="25" t="str">
        <f>IF($H36="","",INDEX('3. AI Fit Diagnostic'!$R$8:$R$57,MATCH($H36,'3. AI Fit Diagnostic'!$AI$8:$AI$57,0)))</f>
        <v/>
      </c>
      <c r="E36" s="25" t="str">
        <f>IF($H36="","",INDEX('3. AI Fit Diagnostic'!$W$8:$W$57,MATCH($H36,'3. AI Fit Diagnostic'!$AI$8:$AI$57,0)))</f>
        <v/>
      </c>
      <c r="F36" s="38" t="str">
        <f>IF($H36="","",INDEX('3. AI Fit Diagnostic'!$Z$8:$Z$57,MATCH($H36,'3. AI Fit Diagnostic'!$AI$8:$AI$57,0)))</f>
        <v/>
      </c>
      <c r="G36" s="43" t="str">
        <f>IF($H36="","",INDEX('3. AI Fit Diagnostic'!$AE$8:$AE$57,MATCH($H36,'3. AI Fit Diagnostic'!$AI$8:$AI$57,0)))</f>
        <v/>
      </c>
      <c r="H36" t="str">
        <f>IF(IFERROR(SMALL('3. AI Fit Diagnostic'!$AI$8:$AI$57,COUNTIF('3. AI Fit Diagnostic'!$AI$8:$AI$57,"&lt;"&amp;200)+8),"")="","",IF(IFERROR(SMALL('3. AI Fit Diagnostic'!$AI$8:$AI$57,COUNTIF('3. AI Fit Diagnostic'!$AI$8:$AI$57,"&lt;"&amp;200)+8),"")&lt;300,IFERROR(SMALL('3. AI Fit Diagnostic'!$AI$8:$AI$57,COUNTIF('3. AI Fit Diagnostic'!$AI$8:$AI$57,"&lt;"&amp;200)+8),""),""))</f>
        <v/>
      </c>
    </row>
    <row r="37" ht="26" customHeight="1">
      <c r="A37" s="42" t="str">
        <f>IF($H37="","",INDEX('3. AI Fit Diagnostic'!$AC$8:$AC$57,MATCH($H37,'3. AI Fit Diagnostic'!$AI$8:$AI$57,0)))</f>
        <v/>
      </c>
      <c r="B37" s="26" t="str">
        <f>IF($H37="","",INDEX('3. AI Fit Diagnostic'!$AJ$8:$AJ$57,MATCH($H37,'3. AI Fit Diagnostic'!$AI$8:$AI$57,0)))</f>
        <v/>
      </c>
      <c r="C37" s="25" t="str">
        <f>IF($H37="","",INDEX('3. AI Fit Diagnostic'!$P$8:$P$57,MATCH($H37,'3. AI Fit Diagnostic'!$AI$8:$AI$57,0)))</f>
        <v/>
      </c>
      <c r="D37" s="25" t="str">
        <f>IF($H37="","",INDEX('3. AI Fit Diagnostic'!$R$8:$R$57,MATCH($H37,'3. AI Fit Diagnostic'!$AI$8:$AI$57,0)))</f>
        <v/>
      </c>
      <c r="E37" s="25" t="str">
        <f>IF($H37="","",INDEX('3. AI Fit Diagnostic'!$W$8:$W$57,MATCH($H37,'3. AI Fit Diagnostic'!$AI$8:$AI$57,0)))</f>
        <v/>
      </c>
      <c r="F37" s="38" t="str">
        <f>IF($H37="","",INDEX('3. AI Fit Diagnostic'!$Z$8:$Z$57,MATCH($H37,'3. AI Fit Diagnostic'!$AI$8:$AI$57,0)))</f>
        <v/>
      </c>
      <c r="G37" s="43" t="str">
        <f>IF($H37="","",INDEX('3. AI Fit Diagnostic'!$AE$8:$AE$57,MATCH($H37,'3. AI Fit Diagnostic'!$AI$8:$AI$57,0)))</f>
        <v/>
      </c>
      <c r="H37" t="str">
        <f>IF(IFERROR(SMALL('3. AI Fit Diagnostic'!$AI$8:$AI$57,COUNTIF('3. AI Fit Diagnostic'!$AI$8:$AI$57,"&lt;"&amp;200)+9),"")="","",IF(IFERROR(SMALL('3. AI Fit Diagnostic'!$AI$8:$AI$57,COUNTIF('3. AI Fit Diagnostic'!$AI$8:$AI$57,"&lt;"&amp;200)+9),"")&lt;300,IFERROR(SMALL('3. AI Fit Diagnostic'!$AI$8:$AI$57,COUNTIF('3. AI Fit Diagnostic'!$AI$8:$AI$57,"&lt;"&amp;200)+9),""),""))</f>
        <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f>IF($H44="","",INDEX('3. AI Fit Diagnostic'!$AC$8:$AC$57,MATCH($H44,'3. AI Fit Diagnostic'!$AI$8:$AI$57,0)))</f>
        <v>19</v>
      </c>
      <c r="B44" s="26" t="str">
        <f>IF($H44="","",INDEX('3. AI Fit Diagnostic'!$AJ$8:$AJ$57,MATCH($H44,'3. AI Fit Diagnostic'!$AI$8:$AI$57,0)))</f>
        <v>Customer churn prediction</v>
      </c>
      <c r="C44" s="25" t="str">
        <f>IF($H44="","",INDEX('3. AI Fit Diagnostic'!$P$8:$P$57,MATCH($H44,'3. AI Fit Diagnostic'!$AI$8:$AI$57,0)))</f>
        <v>Sales &amp; marketing</v>
      </c>
      <c r="D44" s="25" t="str">
        <f>IF($H44="","",INDEX('3. AI Fit Diagnostic'!$R$8:$R$57,MATCH($H44,'3. AI Fit Diagnostic'!$AI$8:$AI$57,0)))</f>
        <v>Predictive analytics / machine learning</v>
      </c>
      <c r="E44" s="25" t="str">
        <f>IF($H44="","",INDEX('3. AI Fit Diagnostic'!$W$8:$W$57,MATCH($H44,'3. AI Fit Diagnostic'!$AI$8:$AI$57,0)))</f>
        <v>AI later - close data gap first</v>
      </c>
      <c r="F44" s="38" t="str">
        <f>IF($H44="","",INDEX('3. AI Fit Diagnostic'!$Z$8:$Z$57,MATCH($H44,'3. AI Fit Diagnostic'!$AI$8:$AI$57,0)))</f>
        <v>Medium</v>
      </c>
      <c r="G44" s="43">
        <f>IF($H44="","",INDEX('3. AI Fit Diagnostic'!$AE$8:$AE$57,MATCH($H44,'3. AI Fit Diagnostic'!$AI$8:$AI$57,0)))</f>
        <v>480</v>
      </c>
      <c r="H44">
        <f>IF(IFERROR(SMALL('3. AI Fit Diagnostic'!$AI$8:$AI$57,COUNTIF('3. AI Fit Diagnostic'!$AI$8:$AI$57,"&lt;"&amp;300)+1),"")="","",IF(IFERROR(SMALL('3. AI Fit Diagnostic'!$AI$8:$AI$57,COUNTIF('3. AI Fit Diagnostic'!$AI$8:$AI$57,"&lt;"&amp;300)+1),"")&lt;400,IFERROR(SMALL('3. AI Fit Diagnostic'!$AI$8:$AI$57,COUNTIF('3. AI Fit Diagnostic'!$AI$8:$AI$57,"&lt;"&amp;300)+1),""),""))</f>
        <v>319</v>
      </c>
    </row>
    <row r="45" ht="26" customHeight="1">
      <c r="A45" s="42" t="str">
        <f>IF($H45="","",INDEX('3. AI Fit Diagnostic'!$AC$8:$AC$57,MATCH($H45,'3. AI Fit Diagnostic'!$AI$8:$AI$57,0)))</f>
        <v/>
      </c>
      <c r="B45" s="26" t="str">
        <f>IF($H45="","",INDEX('3. AI Fit Diagnostic'!$AJ$8:$AJ$57,MATCH($H45,'3. AI Fit Diagnostic'!$AI$8:$AI$57,0)))</f>
        <v/>
      </c>
      <c r="C45" s="25" t="str">
        <f>IF($H45="","",INDEX('3. AI Fit Diagnostic'!$P$8:$P$57,MATCH($H45,'3. AI Fit Diagnostic'!$AI$8:$AI$57,0)))</f>
        <v/>
      </c>
      <c r="D45" s="25" t="str">
        <f>IF($H45="","",INDEX('3. AI Fit Diagnostic'!$R$8:$R$57,MATCH($H45,'3. AI Fit Diagnostic'!$AI$8:$AI$57,0)))</f>
        <v/>
      </c>
      <c r="E45" s="25" t="str">
        <f>IF($H45="","",INDEX('3. AI Fit Diagnostic'!$W$8:$W$57,MATCH($H45,'3. AI Fit Diagnostic'!$AI$8:$AI$57,0)))</f>
        <v/>
      </c>
      <c r="F45" s="38" t="str">
        <f>IF($H45="","",INDEX('3. AI Fit Diagnostic'!$Z$8:$Z$57,MATCH($H45,'3. AI Fit Diagnostic'!$AI$8:$AI$57,0)))</f>
        <v/>
      </c>
      <c r="G45" s="43" t="str">
        <f>IF($H45="","",INDEX('3. AI Fit Diagnostic'!$AE$8:$AE$57,MATCH($H45,'3. AI Fit Diagnostic'!$AI$8:$AI$57,0)))</f>
        <v/>
      </c>
      <c r="H45" t="str">
        <f>IF(IFERROR(SMALL('3. AI Fit Diagnostic'!$AI$8:$AI$57,COUNTIF('3. AI Fit Diagnostic'!$AI$8:$AI$57,"&lt;"&amp;300)+2),"")="","",IF(IFERROR(SMALL('3. AI Fit Diagnostic'!$AI$8:$AI$57,COUNTIF('3. AI Fit Diagnostic'!$AI$8:$AI$57,"&lt;"&amp;300)+2),"")&lt;400,IFERROR(SMALL('3. AI Fit Diagnostic'!$AI$8:$AI$57,COUNTIF('3. AI Fit Diagnostic'!$AI$8:$AI$57,"&lt;"&amp;300)+2),""),""))</f>
        <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f>IF($H57="","",INDEX('3. AI Fit Diagnostic'!$AC$8:$AC$57,MATCH($H57,'3. AI Fit Diagnostic'!$AI$8:$AI$57,0)))</f>
        <v>20</v>
      </c>
      <c r="B57" s="26" t="str">
        <f>IF($H57="","",INDEX('3. AI Fit Diagnostic'!$AJ$8:$AJ$57,MATCH($H57,'3. AI Fit Diagnostic'!$AI$8:$AI$57,0)))</f>
        <v>Predictive tax scenario modelling</v>
      </c>
      <c r="C57" s="25" t="str">
        <f>IF($H57="","",INDEX('3. AI Fit Diagnostic'!$P$8:$P$57,MATCH($H57,'3. AI Fit Diagnostic'!$AI$8:$AI$57,0)))</f>
        <v>Core operations &amp; service delivery</v>
      </c>
      <c r="D57" s="25" t="str">
        <f>IF($H57="","",INDEX('3. AI Fit Diagnostic'!$R$8:$R$57,MATCH($H57,'3. AI Fit Diagnostic'!$AI$8:$AI$57,0)))</f>
        <v>Predictive analytics / machine learning</v>
      </c>
      <c r="E57" s="25" t="str">
        <f>IF($H57="","",INDEX('3. AI Fit Diagnostic'!$W$8:$W$57,MATCH($H57,'3. AI Fit Diagnostic'!$AI$8:$AI$57,0)))</f>
        <v>Stretch - partner or later stage</v>
      </c>
      <c r="F57" s="38" t="str">
        <f>IF($H57="","",INDEX('3. AI Fit Diagnostic'!$Z$8:$Z$57,MATCH($H57,'3. AI Fit Diagnostic'!$AI$8:$AI$57,0)))</f>
        <v>Medium</v>
      </c>
      <c r="G57" s="43">
        <f>IF($H57="","",INDEX('3. AI Fit Diagnostic'!$AE$8:$AE$57,MATCH($H57,'3. AI Fit Diagnostic'!$AI$8:$AI$57,0)))</f>
        <v>192</v>
      </c>
      <c r="H57">
        <f>IF(IFERROR(SMALL('3. AI Fit Diagnostic'!$AI$8:$AI$57,COUNTIF('3. AI Fit Diagnostic'!$AI$8:$AI$57,"&lt;"&amp;400)+1),"")="","",IF(IFERROR(SMALL('3. AI Fit Diagnostic'!$AI$8:$AI$57,COUNTIF('3. AI Fit Diagnostic'!$AI$8:$AI$57,"&lt;"&amp;400)+1),"")&lt;500,IFERROR(SMALL('3. AI Fit Diagnostic'!$AI$8:$AI$57,COUNTIF('3. AI Fit Diagnostic'!$AI$8:$AI$57,"&lt;"&amp;400)+1),""),""))</f>
        <v>420</v>
      </c>
    </row>
    <row r="58" ht="26" customHeight="1">
      <c r="A58" s="42">
        <f>IF($H58="","",INDEX('3. AI Fit Diagnostic'!$AC$8:$AC$57,MATCH($H58,'3. AI Fit Diagnostic'!$AI$8:$AI$57,0)))</f>
        <v>21</v>
      </c>
      <c r="B58" s="26" t="str">
        <f>IF($H58="","",INDEX('3. AI Fit Diagnostic'!$AJ$8:$AJ$57,MATCH($H58,'3. AI Fit Diagnostic'!$AI$8:$AI$57,0)))</f>
        <v>CV screening &amp; shortlisting</v>
      </c>
      <c r="C58" s="25" t="str">
        <f>IF($H58="","",INDEX('3. AI Fit Diagnostic'!$P$8:$P$57,MATCH($H58,'3. AI Fit Diagnostic'!$AI$8:$AI$57,0)))</f>
        <v>HR &amp; people</v>
      </c>
      <c r="D58" s="25" t="str">
        <f>IF($H58="","",INDEX('3. AI Fit Diagnostic'!$R$8:$R$57,MATCH($H58,'3. AI Fit Diagnostic'!$AI$8:$AI$57,0)))</f>
        <v>Predictive analytics / machine learning</v>
      </c>
      <c r="E58" s="25" t="str">
        <f>IF($H58="","",INDEX('3. AI Fit Diagnostic'!$W$8:$W$57,MATCH($H58,'3. AI Fit Diagnostic'!$AI$8:$AI$57,0)))</f>
        <v>AI later - close data gap first</v>
      </c>
      <c r="F58" s="38" t="str">
        <f>IF($H58="","",INDEX('3. AI Fit Diagnostic'!$Z$8:$Z$57,MATCH($H58,'3. AI Fit Diagnostic'!$AI$8:$AI$57,0)))</f>
        <v>High</v>
      </c>
      <c r="G58" s="43">
        <f>IF($H58="","",INDEX('3. AI Fit Diagnostic'!$AE$8:$AE$57,MATCH($H58,'3. AI Fit Diagnostic'!$AI$8:$AI$57,0)))</f>
        <v>192</v>
      </c>
      <c r="H58">
        <f>IF(IFERROR(SMALL('3. AI Fit Diagnostic'!$AI$8:$AI$57,COUNTIF('3. AI Fit Diagnostic'!$AI$8:$AI$57,"&lt;"&amp;400)+2),"")="","",IF(IFERROR(SMALL('3. AI Fit Diagnostic'!$AI$8:$AI$57,COUNTIF('3. AI Fit Diagnostic'!$AI$8:$AI$57,"&lt;"&amp;400)+2),"")&lt;500,IFERROR(SMALL('3. AI Fit Diagnostic'!$AI$8:$AI$57,COUNTIF('3. AI Fit Diagnostic'!$AI$8:$AI$57,"&lt;"&amp;400)+2),""),""))</f>
        <v>421</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3 High-risk and 8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2 process(es) are blocked by data gaps: assign data owners, digitise inputs and start recording outcomes now so they can move to AI in H3.</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1 process(es) vary by person or team: standardise and document them first, then re-diagnose.</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Automation is enough for 5 process(es): select one workflow / RPA / BI platform and automate them as a programme rather than one-offs.</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3 opportunity(ies) exceed the current position: use vendor products or a delivery partner and build skills before scaling.</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f>IFERROR(IF(INDEX('3. AI Fit Diagnostic'!$AC$8:$AC$57,MATCH($B$4,'3. AI Fit Diagnostic'!$A$8:$A$57,0))="","",INDEX('3. AI Fit Diagnostic'!$AC$8:$AC$57,MATCH($B$4,'3. AI Fit Diagnostic'!$A$8:$A$57,0))),"")</f>
        <v>15</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Audit - journal-entry testing (full population)</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PRO-01 - Professional services</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Sample-based testing of large ledgers</v>
      </c>
      <c r="C8" s="4" t="inlineStr">
        <is>
          <t>Function</t>
        </is>
      </c>
      <c r="D8" s="69" t="str">
        <f>IFERROR(IF(INDEX('3. AI Fit Diagnostic'!$P$8:$P$57,MATCH($B$4,'3. AI Fit Diagnostic'!$A$8:$A$57,0))="","",INDEX('3. AI Fit Diagnostic'!$P$8:$P$57,MATCH($B$4,'3. AI Fit Diagnostic'!$A$8:$A$57,0))),"")</f>
        <v>Core operations &amp; service delivery</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Forecast, score, classify or detect anomalies from historical data</v>
      </c>
    </row>
    <row r="10" ht="34" customHeight="1">
      <c r="A10" s="4" t="inlineStr">
        <is>
          <t>Volume</t>
        </is>
      </c>
      <c r="B10" s="69" t="str">
        <f>IFERROR(IF(INDEX('3. AI Fit Diagnostic'!$F$8:$F$57,MATCH($B$4,'3. AI Fit Diagnostic'!$A$8:$A$57,0))="","",INDEX('3. AI Fit Diagnostic'!$F$8:$F$57,MATCH($B$4,'3. AI Fit Diagnostic'!$A$8:$A$57,0))),"")</f>
        <v>High (more than 1,000 a month)</v>
      </c>
      <c r="C10" s="4" t="inlineStr">
        <is>
          <t>Effort today (hrs / month)</t>
        </is>
      </c>
      <c r="D10" s="69">
        <f>IFERROR(IF(INDEX('3. AI Fit Diagnostic'!$G$8:$G$57,MATCH($B$4,'3. AI Fit Diagnostic'!$A$8:$A$57,0))="","",INDEX('3. AI Fit Diagnostic'!$G$8:$G$57,MATCH($B$4,'3. AI Fit Diagnostic'!$A$8:$A$57,0))),"")</f>
        <v>300</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Stretch - partner or later stage</v>
      </c>
      <c r="C12" s="4" t="inlineStr">
        <is>
          <t>Solution family</t>
        </is>
      </c>
      <c r="D12" s="69" t="str">
        <f>IFERROR(IF(INDEX('3. AI Fit Diagnostic'!$R$8:$R$57,MATCH($B$4,'3. AI Fit Diagnostic'!$A$8:$A$57,0))="","",INDEX('3. AI Fit Diagnostic'!$R$8:$R$57,MATCH($B$4,'3. AI Fit Diagnostic'!$A$8:$A$57,0))),"")</f>
        <v>Predictive analytics / machine learning</v>
      </c>
    </row>
    <row r="13" ht="30" customHeight="1">
      <c r="A13" s="4" t="inlineStr">
        <is>
          <t>Data gate</t>
        </is>
      </c>
      <c r="B13" s="69" t="str">
        <f>IFERROR(IF(INDEX('3. AI Fit Diagnostic'!$U$8:$U$57,MATCH($B$4,'3. AI Fit Diagnostic'!$A$8:$A$57,0))="","",INDEX('3. AI Fit Diagnostic'!$U$8:$U$57,MATCH($B$4,'3. AI Fit Diagnostic'!$A$8:$A$57,0))),"")</f>
        <v>Data ready</v>
      </c>
      <c r="C13" s="4" t="inlineStr">
        <is>
          <t>Organisational fit</t>
        </is>
      </c>
      <c r="D13" s="69" t="str">
        <f>IFERROR(IF(INDEX('3. AI Fit Diagnostic'!$V$8:$V$57,MATCH($B$4,'3. AI Fit Diagnostic'!$A$8:$A$57,0))="","",INDEX('3. AI Fit Diagnostic'!$V$8:$V$57,MATCH($B$4,'3. AI Fit Diagnostic'!$A$8:$A$57,0))),"")</f>
        <v>Beyond current position</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4.75 / 2.90  (Strategic bet)</v>
      </c>
      <c r="C14" s="4" t="inlineStr">
        <is>
          <t>Horizon</t>
        </is>
      </c>
      <c r="D14" s="69" t="str">
        <f>IFERROR(IF(INDEX('3. AI Fit Diagnostic'!$AD$8:$AD$57,MATCH($B$4,'3. AI Fit Diagnostic'!$A$8:$A$57,0))="","",INDEX('3. AI Fit Diagnostic'!$AD$8:$AD$57,MATCH($B$4,'3. AI Fit Diagnostic'!$A$8:$A$57,0))),"")</f>
        <v>H2 - Next (6-12 months)</v>
      </c>
    </row>
    <row r="15" ht="58" customHeight="1">
      <c r="A15" s="4" t="inlineStr">
        <is>
          <t>GT recommendation</t>
        </is>
      </c>
      <c r="B15" s="70" t="str">
        <f>IFERROR(IF(INDEX('3. AI Fit Diagnostic'!$AF$8:$AF$57,MATCH($B$4,'3. AI Fit Diagnostic'!$A$8:$A$57,0))="","",INDEX('3. AI Fit Diagnostic'!$AF$8:$AF$57,MATCH($B$4,'3. AI Fit Diagnostic'!$A$8:$A$57,0))),"")</f>
        <v>Full-population JE analytics with rules and ML anomaly scoring; auditor investigates and concludes.</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Client GL / JE extracts</v>
      </c>
      <c r="C16" s="15" t="n"/>
      <c r="D16" s="15" t="n"/>
    </row>
    <row r="17" ht="30" customHeight="1">
      <c r="A17" s="4" t="inlineStr">
        <is>
          <t>Typical solutions</t>
        </is>
      </c>
      <c r="B17" s="69" t="str">
        <f>IFERROR(INDEX(Lists!$G$2:$G$11,MATCH(INDEX('3. AI Fit Diagnostic'!$R$8:$R$57,MATCH($B$4,'3. AI Fit Diagnostic'!$A$8:$A$57,0)),Lists!$B$2:$B$11,0)),"")</f>
        <v>Azure ML / Databricks / SageMaker, vendor ML modules (fraud, demand, churn), AutoML</v>
      </c>
      <c r="C17" s="15" t="n"/>
      <c r="D17" s="15" t="n"/>
    </row>
    <row r="18" ht="44" customHeight="1">
      <c r="A18" s="4" t="inlineStr">
        <is>
          <t>Design notes</t>
        </is>
      </c>
      <c r="B18" s="69" t="str">
        <f>IFERROR(INDEX(Lists!$I$2:$I$11,MATCH(INDEX('3. AI Fit Diagnostic'!$R$8:$R$57,MATCH($B$4,'3. AI Fit Diagnostic'!$A$8:$A$57,0)),Lists!$B$2:$B$11,0)),"")</f>
        <v>Needs history (D2) and ideally recorded outcomes (D6). Scoring of individuals (credit, hiring, insurance) is high-risk: impact assessment and bias testing.</v>
      </c>
      <c r="C18" s="15" t="n"/>
      <c r="D18" s="15" t="n"/>
    </row>
    <row r="19" ht="30" customHeight="1">
      <c r="A19" s="4" t="inlineStr">
        <is>
          <t>What this verdict means</t>
        </is>
      </c>
      <c r="B19" s="69" t="str">
        <f>IFERROR(INDEX(Lists!$AS$2:$AS$6,MATCH(B12,Lists!$AR$2:$AR$6,0)),"")</f>
        <v>AI fits and the data exists, but the solution is more complex than the organisation can build or run today.</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High</v>
      </c>
      <c r="C21" s="4" t="inlineStr">
        <is>
          <t>Library minimum tier</t>
        </is>
      </c>
      <c r="D21" s="21" t="str">
        <f>IFERROR(IF(INDEX('3. AI Fit Diagnostic'!$O$8:$O$57,MATCH($B$4,'3. AI Fit Diagnostic'!$A$8:$A$57,0))="Custom","-",INDEX('2. Use-Case Library'!$L$5:$L$244,MATCH(INDEX('3. AI Fit Diagnostic'!$O$8:$O$57,MATCH($B$4,'3. AI Fit Diagnostic'!$A$8:$A$57,0)),'2. Use-Case Library'!$A$5:$A$244,0))),"")</f>
        <v>Medium</v>
      </c>
    </row>
    <row r="22" ht="44" customHeight="1">
      <c r="A22" s="4" t="inlineStr">
        <is>
          <t>Regulatory &amp; risk notes</t>
        </is>
      </c>
      <c r="B22" s="69" t="str">
        <f>IFERROR(IF(INDEX('3. AI Fit Diagnostic'!$AG$8:$AG$57,MATCH($B$4,'3. AI Fit Diagnostic'!$A$8:$A$57,0))="","",INDEX('3. AI Fit Diagnostic'!$AG$8:$AG$57,MATCH($B$4,'3. AI Fit Diagnostic'!$A$8:$A$57,0))),"")</f>
        <v>ISA 240 / 330; documentation in working papers; client-data confidentiality.</v>
      </c>
      <c r="C22" s="15" t="n"/>
      <c r="D22" s="15" t="n"/>
    </row>
    <row r="23" ht="66" customHeight="1">
      <c r="A23" s="4" t="inlineStr">
        <is>
          <t>Minimum controls before go-live</t>
        </is>
      </c>
      <c r="B23" s="69" t="str">
        <f>IFERROR(INDEX(Lists!$AP$2:$AP$4,MATCH(B21,Lists!$AO$2:$AO$4,0)),"")</f>
        <v>As Medium, plus: AI system impact assessment (ISO/IEC 42005) and DPIA; bias, robustness and security testing (incl. AI red teaming); human-in-the-loop for decisions about individuals; EU AI Act / CBB obligations checked; executive / AI committee approval; GT AI RCM v2.1 controls applied.</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Coverage; exceptions investigated; audit hours</v>
      </c>
      <c r="C25" s="15" t="n"/>
      <c r="D25" s="15" t="n"/>
    </row>
    <row r="26">
      <c r="A26" s="4" t="inlineStr">
        <is>
          <t>Indicative hours released / yr</t>
        </is>
      </c>
      <c r="B26" s="49">
        <f>IFERROR(IF(INDEX('3. AI Fit Diagnostic'!$AE$8:$AE$57,MATCH($B$4,'3. AI Fit Diagnostic'!$A$8:$A$57,0))="","",INDEX('3. AI Fit Diagnostic'!$AE$8:$AE$57,MATCH($B$4,'3. AI Fit Diagnostic'!$A$8:$A$57,0))),"")</f>
        <v>720</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Use a vendor product or delivery partner, or run a time-boxed pilot; build capability before scaling.</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Value at stake: QuantumBlack &amp; PwC analysis - predictions for 2030 (as presented in GT Bahrain 'Introduction to Artificial Intelligence', 2026); insurance and capital markets share the financial-services figure; hospitality shares retail &amp; consumer. '-' = no sector figure in that analysis.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 v1.1 and GT AI RCM v2.1</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PRO-01 | Audit - journal-entry testing (full population)</v>
      </c>
    </row>
    <row r="63">
      <c r="BA63" t="str">
        <f>IFERROR(INDEX('2. Use-Case Library'!$M$5:$M$244,MATCH(62,'2. Use-Case Library'!$O$5:$O$244,0)),"")</f>
        <v>PRO-02 | Audit - working papers &amp; memo drafting</v>
      </c>
    </row>
    <row r="64">
      <c r="BA64" t="str">
        <f>IFERROR(INDEX('2. Use-Case Library'!$M$5:$M$244,MATCH(63,'2. Use-Case Library'!$O$5:$O$244,0)),"")</f>
        <v>PRO-03 | Audit - bank &amp; external confirmations</v>
      </c>
    </row>
    <row r="65">
      <c r="BA65" t="str">
        <f>IFERROR(INDEX('2. Use-Case Library'!$M$5:$M$244,MATCH(64,'2. Use-Case Library'!$O$5:$O$244,0)),"")</f>
        <v>PRO-04 | Tax research &amp; technical Q&amp;A</v>
      </c>
    </row>
    <row r="66">
      <c r="BA66" t="str">
        <f>IFERROR(INDEX('2. Use-Case Library'!$M$5:$M$244,MATCH(65,'2. Use-Case Library'!$O$5:$O$244,0)),"")</f>
        <v>PRO-05 | Tax - VAT / tax return data preparation</v>
      </c>
    </row>
    <row r="67">
      <c r="BA67" t="str">
        <f>IFERROR(INDEX('2. Use-Case Library'!$M$5:$M$244,MATCH(66,'2. Use-Case Library'!$O$5:$O$244,0)),"")</f>
        <v>PRO-06 | Predictive tax scenario modelling</v>
      </c>
    </row>
    <row r="68">
      <c r="BA68" t="str">
        <f>IFERROR(INDEX('2. Use-Case Library'!$M$5:$M$244,MATCH(67,'2. Use-Case Library'!$O$5:$O$244,0)),"")</f>
        <v>PRO-07 | Advisory - due-diligence data-room review</v>
      </c>
    </row>
    <row r="69">
      <c r="BA69" t="str">
        <f>IFERROR(INDEX('2. Use-Case Library'!$M$5:$M$244,MATCH(68,'2. Use-Case Library'!$O$5:$O$244,0)),"")</f>
        <v>PRO-08 | Client acceptance &amp; independence checks</v>
      </c>
    </row>
    <row r="70">
      <c r="BA70" t="str">
        <f>IFERROR(INDEX('2. Use-Case Library'!$M$5:$M$244,MATCH(69,'2. Use-Case Library'!$O$5:$O$244,0)),"")</f>
        <v>PRO-09 | Timesheets, WIP &amp; billing</v>
      </c>
    </row>
    <row r="71">
      <c r="BA71" t="str">
        <f>IFERROR(INDEX('2. Use-Case Library'!$M$5:$M$244,MATCH(70,'2. Use-Case Library'!$O$5:$O$244,0)),"")</f>
        <v>PRO-10 | Engagement workflow coordination</v>
      </c>
    </row>
    <row r="72">
      <c r="BA72" t="str">
        <f>IFERROR(INDEX('2. Use-Case Library'!$M$5:$M$244,MATCH(71,'2. Use-Case Library'!$O$5:$O$244,0)),"")</f>
        <v>PRO-11 | Financial statements preparation (GT AI FS tool - in preparation)</v>
      </c>
    </row>
    <row r="73">
      <c r="BA73" t="str">
        <f>IFERROR(INDEX('2. Use-Case Library'!$M$5:$M$244,MATCH(72,'2. Use-Case Library'!$O$5:$O$244,0)),"")</f>
        <v>PRO-12 | Client BCP &amp; business impact analysis (GT AI BCP tool - in preparation)</v>
      </c>
    </row>
    <row r="74">
      <c r="BA74" t="str">
        <f>IFERROR(INDEX('2. Use-Case Library'!$M$5:$M$244,MATCH(73,'2. Use-Case Library'!$O$5:$O$244,0)),"")</f>
        <v>PRO-13 | Assessment &amp; maturity report production</v>
      </c>
    </row>
    <row r="75">
      <c r="BA75" t="str">
        <f>IFERROR(INDEX('2. Use-Case Library'!$M$5:$M$244,MATCH(74,'2. Use-Case Library'!$O$5:$O$244,0)),"")</f>
        <v>PRO-14 | Governance 'tone at the top' analysis</v>
      </c>
    </row>
    <row r="76">
      <c r="BA76" t="str">
        <f>IFERROR(INDEX('2. Use-Case Library'!$M$5:$M$244,MATCH(75,'2. Use-Case Library'!$O$5:$O$244,0)),"")</f>
        <v>PRO-15 | Methodology &amp; knowledge Q&amp;A</v>
      </c>
    </row>
    <row r="77">
      <c r="BA77" t="str">
        <f>IFERROR(INDEX('2. Use-Case Library'!$M$5:$M$244,MATCH(76,'2. Use-Case Library'!$O$5:$O$244,0)),"")</f>
        <v/>
      </c>
    </row>
    <row r="78">
      <c r="BA78" t="str">
        <f>IFERROR(INDEX('2. Use-Case Library'!$M$5:$M$244,MATCH(77,'2. Use-Case Library'!$O$5:$O$244,0)),"")</f>
        <v/>
      </c>
    </row>
    <row r="79">
      <c r="BA79" t="str">
        <f>IFERROR(INDEX('2. Use-Case Library'!$M$5:$M$244,MATCH(78,'2. Use-Case Library'!$O$5:$O$244,0)),"")</f>
        <v/>
      </c>
    </row>
    <row r="80">
      <c r="BA80" t="str">
        <f>IFERROR(INDEX('2. Use-Case Library'!$M$5:$M$244,MATCH(79,'2. Use-Case Library'!$O$5:$O$244,0)),"")</f>
        <v/>
      </c>
    </row>
    <row r="81">
      <c r="BA81" t="str">
        <f>IFERROR(INDEX('2. Use-Case Library'!$M$5:$M$244,MATCH(80,'2. Use-Case Library'!$O$5:$O$244,0)),"")</f>
        <v/>
      </c>
    </row>
    <row r="82">
      <c r="BA82" t="str">
        <f>IFERROR(INDEX('2. Use-Case Library'!$M$5:$M$244,MATCH(81,'2. Use-Case Library'!$O$5:$O$244,0)),"")</f>
        <v/>
      </c>
    </row>
    <row r="83">
      <c r="BA83" t="str">
        <f>IFERROR(INDEX('2. Use-Case Library'!$M$5:$M$244,MATCH(82,'2. Use-Case Library'!$O$5:$O$244,0)),"")</f>
        <v/>
      </c>
    </row>
    <row r="84">
      <c r="BA84" t="str">
        <f>IFERROR(INDEX('2. Use-Case Library'!$M$5:$M$244,MATCH(83,'2. Use-Case Library'!$O$5:$O$244,0)),"")</f>
        <v/>
      </c>
    </row>
    <row r="85">
      <c r="BA85" t="str">
        <f>IFERROR(INDEX('2. Use-Case Library'!$M$5:$M$244,MATCH(84,'2. Use-Case Library'!$O$5:$O$244,0)),"")</f>
        <v/>
      </c>
    </row>
    <row r="86">
      <c r="BA86" t="str">
        <f>IFERROR(INDEX('2. Use-Case Library'!$M$5:$M$244,MATCH(85,'2. Use-Case Library'!$O$5:$O$244,0)),"")</f>
        <v/>
      </c>
    </row>
    <row r="87">
      <c r="BA87" t="str">
        <f>IFERROR(INDEX('2. Use-Case Library'!$M$5:$M$244,MATCH(86,'2. Use-Case Library'!$O$5:$O$244,0)),"")</f>
        <v/>
      </c>
    </row>
    <row r="88">
      <c r="BA88" t="str">
        <f>IFERROR(INDEX('2. Use-Case Library'!$M$5:$M$244,MATCH(87,'2. Use-Case Library'!$O$5:$O$244,0)),"")</f>
        <v/>
      </c>
    </row>
    <row r="89">
      <c r="BA89" t="str">
        <f>IFERROR(INDEX('2. Use-Case Library'!$M$5:$M$244,MATCH(88,'2. Use-Case Library'!$O$5:$O$244,0)),"")</f>
        <v/>
      </c>
    </row>
    <row r="90">
      <c r="BA90" t="str">
        <f>IFERROR(INDEX('2. Use-Case Library'!$M$5:$M$244,MATCH(89,'2. Use-Case Library'!$O$5:$O$244,0)),"")</f>
        <v/>
      </c>
    </row>
    <row r="91">
      <c r="BA91" t="str">
        <f>IFERROR(INDEX('2. Use-Case Library'!$M$5:$M$244,MATCH(90,'2. Use-Case Library'!$O$5:$O$244,0)),"")</f>
        <v/>
      </c>
    </row>
    <row r="92">
      <c r="BA92" t="str">
        <f>IFERROR(INDEX('2. Use-Case Library'!$M$5:$M$244,MATCH(91,'2. Use-Case Library'!$O$5:$O$244,0)),"")</f>
        <v/>
      </c>
    </row>
    <row r="93">
      <c r="BA93" t="str">
        <f>IFERROR(INDEX('2. Use-Case Library'!$M$5:$M$244,MATCH(92,'2. Use-Case Library'!$O$5:$O$244,0)),"")</f>
        <v/>
      </c>
    </row>
    <row r="94">
      <c r="BA94" t="str">
        <f>IFERROR(INDEX('2. Use-Case Library'!$M$5:$M$244,MATCH(93,'2. Use-Case Library'!$O$5:$O$244,0)),"")</f>
        <v/>
      </c>
    </row>
    <row r="95">
      <c r="BA95" t="str">
        <f>IFERROR(INDEX('2. Use-Case Library'!$M$5:$M$244,MATCH(94,'2. Use-Case Library'!$O$5:$O$244,0)),"")</f>
        <v/>
      </c>
    </row>
    <row r="96">
      <c r="BA96" t="str">
        <f>IFERROR(INDEX('2. Use-Case Library'!$M$5:$M$244,MATCH(95,'2. Use-Case Library'!$O$5:$O$244,0)),"")</f>
        <v/>
      </c>
    </row>
    <row r="97">
      <c r="BA97" t="str">
        <f>IFERROR(INDEX('2. Use-Case Library'!$M$5:$M$244,MATCH(96,'2. Use-Case Library'!$O$5:$O$244,0)),"")</f>
        <v/>
      </c>
    </row>
    <row r="98">
      <c r="BA98" t="str">
        <f>IFERROR(INDEX('2. Use-Case Library'!$M$5:$M$244,MATCH(97,'2. Use-Case Library'!$O$5:$O$244,0)),"")</f>
        <v/>
      </c>
    </row>
    <row r="99">
      <c r="BA99" t="str">
        <f>IFERROR(INDEX('2. Use-Case Library'!$M$5:$M$244,MATCH(98,'2. Use-Case Library'!$O$5:$O$244,0)),"")</f>
        <v/>
      </c>
    </row>
    <row r="100">
      <c r="BA100" t="str">
        <f>IFERROR(INDEX('2. Use-Case Library'!$M$5:$M$244,MATCH(99,'2. Use-Case Library'!$O$5:$O$244,0)),"")</f>
        <v/>
      </c>
    </row>
    <row r="101">
      <c r="BA101" t="str">
        <f>IFERROR(INDEX('2. Use-Case Library'!$M$5:$M$244,MATCH(100,'2. Use-Case Library'!$O$5:$O$244,0)),"")</f>
        <v/>
      </c>
    </row>
    <row r="102">
      <c r="BA102" t="str">
        <f>IFERROR(INDEX('2. Use-Case Library'!$M$5:$M$244,MATCH(101,'2. Use-Case Library'!$O$5:$O$244,0)),"")</f>
        <v/>
      </c>
    </row>
    <row r="103">
      <c r="BA103" t="str">
        <f>IFERROR(INDEX('2. Use-Case Library'!$M$5:$M$244,MATCH(102,'2. Use-Case Library'!$O$5:$O$244,0)),"")</f>
        <v/>
      </c>
    </row>
    <row r="104">
      <c r="BA104" t="str">
        <f>IFERROR(INDEX('2. Use-Case Library'!$M$5:$M$244,MATCH(103,'2. Use-Case Library'!$O$5:$O$244,0)),"")</f>
        <v/>
      </c>
    </row>
    <row r="105">
      <c r="BA105" t="str">
        <f>IFERROR(INDEX('2. Use-Case Library'!$M$5:$M$244,MATCH(104,'2. Use-Case Library'!$O$5:$O$244,0)),"")</f>
        <v/>
      </c>
    </row>
    <row r="106">
      <c r="BA106" t="str">
        <f>IFERROR(INDEX('2. Use-Case Library'!$M$5:$M$244,MATCH(105,'2. Use-Case Library'!$O$5:$O$244,0)),"")</f>
        <v/>
      </c>
    </row>
    <row r="107">
      <c r="BA107" t="str">
        <f>IFERROR(INDEX('2. Use-Case Library'!$M$5:$M$244,MATCH(106,'2. Use-Case Library'!$O$5:$O$244,0)),"")</f>
        <v/>
      </c>
    </row>
    <row r="108">
      <c r="BA108" t="str">
        <f>IFERROR(INDEX('2. Use-Case Library'!$M$5:$M$244,MATCH(107,'2. Use-Case Library'!$O$5:$O$244,0)),"")</f>
        <v/>
      </c>
    </row>
    <row r="109">
      <c r="BA109" t="str">
        <f>IFERROR(INDEX('2. Use-Case Library'!$M$5:$M$244,MATCH(108,'2. Use-Case Library'!$O$5:$O$244,0)),"")</f>
        <v/>
      </c>
    </row>
    <row r="110">
      <c r="BA110" t="str">
        <f>IFERROR(INDEX('2. Use-Case Library'!$M$5:$M$244,MATCH(109,'2. Use-Case Library'!$O$5:$O$244,0)),"")</f>
        <v/>
      </c>
    </row>
    <row r="111">
      <c r="BA111" t="str">
        <f>IFERROR(INDEX('2. Use-Case Library'!$M$5:$M$244,MATCH(110,'2. Use-Case Library'!$O$5:$O$244,0)),"")</f>
        <v/>
      </c>
    </row>
    <row r="112">
      <c r="BA112" t="str">
        <f>IFERROR(INDEX('2. Use-Case Library'!$M$5:$M$244,MATCH(111,'2. Use-Case Library'!$O$5:$O$244,0)),"")</f>
        <v/>
      </c>
    </row>
    <row r="113">
      <c r="BA113" t="str">
        <f>IFERROR(INDEX('2. Use-Case Library'!$M$5:$M$244,MATCH(112,'2. Use-Case Library'!$O$5:$O$244,0)),"")</f>
        <v/>
      </c>
    </row>
    <row r="114">
      <c r="BA114" t="str">
        <f>IFERROR(INDEX('2. Use-Case Library'!$M$5:$M$244,MATCH(113,'2. Use-Case Library'!$O$5:$O$244,0)),"")</f>
        <v/>
      </c>
    </row>
    <row r="115">
      <c r="BA115" t="str">
        <f>IFERROR(INDEX('2. Use-Case Library'!$M$5:$M$244,MATCH(114,'2. Use-Case Library'!$O$5:$O$244,0)),"")</f>
        <v/>
      </c>
    </row>
    <row r="116">
      <c r="BA116" t="str">
        <f>IFERROR(INDEX('2. Use-Case Library'!$M$5:$M$244,MATCH(115,'2. Use-Case Library'!$O$5:$O$244,0)),"")</f>
        <v/>
      </c>
    </row>
    <row r="117">
      <c r="BA117" t="str">
        <f>IFERROR(INDEX('2. Use-Case Library'!$M$5:$M$244,MATCH(116,'2. Use-Case Library'!$O$5:$O$244,0)),"")</f>
        <v/>
      </c>
    </row>
    <row r="118">
      <c r="BA118" t="str">
        <f>IFERROR(INDEX('2. Use-Case Library'!$M$5:$M$244,MATCH(117,'2. Use-Case Library'!$O$5:$O$244,0)),"")</f>
        <v/>
      </c>
    </row>
    <row r="119">
      <c r="BA119" t="str">
        <f>IFERROR(INDEX('2. Use-Case Library'!$M$5:$M$244,MATCH(118,'2. Use-Case Library'!$O$5:$O$244,0)),"")</f>
        <v/>
      </c>
    </row>
    <row r="120">
      <c r="BA120" t="str">
        <f>IFERROR(INDEX('2. Use-Case Library'!$M$5:$M$244,MATCH(119,'2. Use-Case Library'!$O$5:$O$244,0)),"")</f>
        <v/>
      </c>
    </row>
    <row r="121">
      <c r="BA121" t="str">
        <f>IFERROR(INDEX('2. Use-Case Library'!$M$5:$M$244,MATCH(120,'2. Use-Case Library'!$O$5:$O$244,0)),"")</f>
        <v/>
      </c>
    </row>
    <row r="122">
      <c r="BA122" t="str">
        <f>IFERROR(INDEX('2. Use-Case Library'!$M$5:$M$244,MATCH(121,'2. Use-Case Library'!$O$5:$O$244,0)),"")</f>
        <v/>
      </c>
    </row>
    <row r="123">
      <c r="BA123" t="str">
        <f>IFERROR(INDEX('2. Use-Case Library'!$M$5:$M$244,MATCH(122,'2. Use-Case Library'!$O$5:$O$244,0)),"")</f>
        <v/>
      </c>
    </row>
    <row r="124">
      <c r="BA124" t="str">
        <f>IFERROR(INDEX('2. Use-Case Library'!$M$5:$M$244,MATCH(123,'2. Use-Case Library'!$O$5:$O$244,0)),"")</f>
        <v/>
      </c>
    </row>
    <row r="125">
      <c r="BA125" t="str">
        <f>IFERROR(INDEX('2. Use-Case Library'!$M$5:$M$244,MATCH(124,'2. Use-Case Library'!$O$5:$O$244,0)),"")</f>
        <v/>
      </c>
    </row>
    <row r="126">
      <c r="BA126" t="str">
        <f>IFERROR(INDEX('2. Use-Case Library'!$M$5:$M$244,MATCH(125,'2. Use-Case Library'!$O$5:$O$244,0)),"")</f>
        <v/>
      </c>
    </row>
    <row r="127">
      <c r="BA127" t="str">
        <f>IFERROR(INDEX('2. Use-Case Library'!$M$5:$M$244,MATCH(126,'2. Use-Case Library'!$O$5:$O$244,0)),"")</f>
        <v/>
      </c>
    </row>
    <row r="128">
      <c r="BA128" t="str">
        <f>IFERROR(INDEX('2. Use-Case Library'!$M$5:$M$244,MATCH(127,'2. Use-Case Library'!$O$5:$O$244,0)),"")</f>
        <v/>
      </c>
    </row>
    <row r="129">
      <c r="BA129" t="str">
        <f>IFERROR(INDEX('2. Use-Case Library'!$M$5:$M$244,MATCH(128,'2. Use-Case Library'!$O$5:$O$244,0)),"")</f>
        <v/>
      </c>
    </row>
    <row r="130">
      <c r="BA130" t="str">
        <f>IFERROR(INDEX('2. Use-Case Library'!$M$5:$M$244,MATCH(129,'2. Use-Case Library'!$O$5:$O$244,0)),"")</f>
        <v/>
      </c>
    </row>
    <row r="131">
      <c r="BA131" t="str">
        <f>IFERROR(INDEX('2. Use-Case Library'!$M$5:$M$244,MATCH(130,'2. Use-Case Library'!$O$5:$O$244,0)),"")</f>
        <v/>
      </c>
    </row>
    <row r="132">
      <c r="BA132" t="str">
        <f>IFERROR(INDEX('2. Use-Case Library'!$M$5:$M$244,MATCH(131,'2. Use-Case Library'!$O$5:$O$244,0)),"")</f>
        <v/>
      </c>
    </row>
    <row r="133">
      <c r="BA133" t="str">
        <f>IFERROR(INDEX('2. Use-Case Library'!$M$5:$M$244,MATCH(132,'2. Use-Case Library'!$O$5:$O$244,0)),"")</f>
        <v/>
      </c>
    </row>
    <row r="134">
      <c r="BA134" t="str">
        <f>IFERROR(INDEX('2. Use-Case Library'!$M$5:$M$244,MATCH(133,'2. Use-Case Library'!$O$5:$O$244,0)),"")</f>
        <v/>
      </c>
    </row>
    <row r="135">
      <c r="BA135" t="str">
        <f>IFERROR(INDEX('2. Use-Case Library'!$M$5:$M$244,MATCH(134,'2. Use-Case Library'!$O$5:$O$244,0)),"")</f>
        <v/>
      </c>
    </row>
    <row r="136">
      <c r="BA136" t="str">
        <f>IFERROR(INDEX('2. Use-Case Library'!$M$5:$M$244,MATCH(135,'2. Use-Case Library'!$O$5:$O$244,0)),"")</f>
        <v/>
      </c>
    </row>
    <row r="137">
      <c r="BA137" t="str">
        <f>IFERROR(INDEX('2. Use-Case Library'!$M$5:$M$244,MATCH(136,'2. Use-Case Library'!$O$5:$O$244,0)),"")</f>
        <v/>
      </c>
    </row>
    <row r="138">
      <c r="BA138" t="str">
        <f>IFERROR(INDEX('2. Use-Case Library'!$M$5:$M$244,MATCH(137,'2. Use-Case Library'!$O$5:$O$244,0)),"")</f>
        <v/>
      </c>
    </row>
    <row r="139">
      <c r="BA139" t="str">
        <f>IFERROR(INDEX('2. Use-Case Library'!$M$5:$M$244,MATCH(138,'2. Use-Case Library'!$O$5:$O$244,0)),"")</f>
        <v/>
      </c>
    </row>
    <row r="140">
      <c r="BA140" t="str">
        <f>IFERROR(INDEX('2. Use-Case Library'!$M$5:$M$244,MATCH(139,'2. Use-Case Library'!$O$5:$O$244,0)),"")</f>
        <v/>
      </c>
    </row>
    <row r="141">
      <c r="BA141" t="str">
        <f>IFERROR(INDEX('2. Use-Case Library'!$M$5:$M$244,MATCH(140,'2. Use-Case Library'!$O$5:$O$244,0)),"")</f>
        <v/>
      </c>
    </row>
    <row r="142">
      <c r="BA142" t="str">
        <f>IFERROR(INDEX('2. Use-Case Library'!$M$5:$M$244,MATCH(141,'2. Use-Case Library'!$O$5:$O$244,0)),"")</f>
        <v/>
      </c>
    </row>
    <row r="143">
      <c r="BA143" t="str">
        <f>IFERROR(INDEX('2. Use-Case Library'!$M$5:$M$244,MATCH(142,'2. Use-Case Library'!$O$5:$O$244,0)),"")</f>
        <v/>
      </c>
    </row>
    <row r="144">
      <c r="BA144" t="str">
        <f>IFERROR(INDEX('2. Use-Case Library'!$M$5:$M$244,MATCH(143,'2. Use-Case Library'!$O$5:$O$244,0)),"")</f>
        <v/>
      </c>
    </row>
    <row r="145">
      <c r="BA145" t="str">
        <f>IFERROR(INDEX('2. Use-Case Library'!$M$5:$M$244,MATCH(144,'2. Use-Case Library'!$O$5:$O$244,0)),"")</f>
        <v/>
      </c>
    </row>
    <row r="146">
      <c r="BA146" t="str">
        <f>IFERROR(INDEX('2. Use-Case Library'!$M$5:$M$244,MATCH(145,'2. Use-Case Library'!$O$5:$O$244,0)),"")</f>
        <v/>
      </c>
    </row>
    <row r="147">
      <c r="BA147" t="str">
        <f>IFERROR(INDEX('2. Use-Case Library'!$M$5:$M$244,MATCH(146,'2. Use-Case Library'!$O$5:$O$244,0)),"")</f>
        <v/>
      </c>
    </row>
    <row r="148">
      <c r="BA148" t="str">
        <f>IFERROR(INDEX('2. Use-Case Library'!$M$5:$M$244,MATCH(147,'2. Use-Case Library'!$O$5:$O$244,0)),"")</f>
        <v/>
      </c>
    </row>
    <row r="149">
      <c r="BA149" t="str">
        <f>IFERROR(INDEX('2. Use-Case Library'!$M$5:$M$244,MATCH(148,'2. Use-Case Library'!$O$5:$O$244,0)),"")</f>
        <v/>
      </c>
    </row>
    <row r="150">
      <c r="BA150" t="str">
        <f>IFERROR(INDEX('2. Use-Case Library'!$M$5:$M$244,MATCH(149,'2. Use-Case Library'!$O$5:$O$244,0)),"")</f>
        <v/>
      </c>
    </row>
    <row r="151">
      <c r="BA151" t="str">
        <f>IFERROR(INDEX('2. Use-Case Library'!$M$5:$M$244,MATCH(150,'2. Use-Case Library'!$O$5:$O$244,0)),"")</f>
        <v/>
      </c>
    </row>
    <row r="152">
      <c r="BA152" t="str">
        <f>IFERROR(INDEX('2. Use-Case Library'!$M$5:$M$244,MATCH(151,'2. Use-Case Library'!$O$5:$O$244,0)),"")</f>
        <v/>
      </c>
    </row>
    <row r="153">
      <c r="BA153" t="str">
        <f>IFERROR(INDEX('2. Use-Case Library'!$M$5:$M$244,MATCH(152,'2. Use-Case Library'!$O$5:$O$244,0)),"")</f>
        <v/>
      </c>
    </row>
    <row r="154">
      <c r="BA154" t="str">
        <f>IFERROR(INDEX('2. Use-Case Library'!$M$5:$M$244,MATCH(153,'2. Use-Case Library'!$O$5:$O$244,0)),"")</f>
        <v/>
      </c>
    </row>
    <row r="155">
      <c r="BA155" t="str">
        <f>IFERROR(INDEX('2. Use-Case Library'!$M$5:$M$244,MATCH(154,'2. Use-Case Library'!$O$5:$O$244,0)),"")</f>
        <v/>
      </c>
    </row>
    <row r="156">
      <c r="BA156" t="str">
        <f>IFERROR(INDEX('2. Use-Case Library'!$M$5:$M$244,MATCH(155,'2. Use-Case Library'!$O$5:$O$244,0)),"")</f>
        <v/>
      </c>
    </row>
    <row r="157">
      <c r="BA157" t="str">
        <f>IFERROR(INDEX('2. Use-Case Library'!$M$5:$M$244,MATCH(156,'2. Use-Case Library'!$O$5:$O$244,0)),"")</f>
        <v/>
      </c>
    </row>
    <row r="158">
      <c r="BA158" t="str">
        <f>IFERROR(INDEX('2. Use-Case Library'!$M$5:$M$244,MATCH(157,'2. Use-Case Library'!$O$5:$O$244,0)),"")</f>
        <v/>
      </c>
    </row>
    <row r="159">
      <c r="BA159" t="str">
        <f>IFERROR(INDEX('2. Use-Case Library'!$M$5:$M$244,MATCH(158,'2. Use-Case Library'!$O$5:$O$244,0)),"")</f>
        <v/>
      </c>
    </row>
    <row r="160">
      <c r="BA160" t="str">
        <f>IFERROR(INDEX('2. Use-Case Library'!$M$5:$M$244,MATCH(159,'2. Use-Case Library'!$O$5:$O$244,0)),"")</f>
        <v/>
      </c>
    </row>
    <row r="161">
      <c r="BA161" t="str">
        <f>IFERROR(INDEX('2. Use-Case Library'!$M$5:$M$244,MATCH(160,'2. Use-Case Library'!$O$5:$O$244,0)),"")</f>
        <v/>
      </c>
    </row>
    <row r="162">
      <c r="BA162" t="str">
        <f>IFERROR(INDEX('2. Use-Case Library'!$M$5:$M$244,MATCH(161,'2. Use-Case Library'!$O$5:$O$244,0)),"")</f>
        <v/>
      </c>
    </row>
    <row r="163">
      <c r="BA163" t="str">
        <f>IFERROR(INDEX('2. Use-Case Library'!$M$5:$M$244,MATCH(162,'2. Use-Case Library'!$O$5:$O$244,0)),"")</f>
        <v/>
      </c>
    </row>
    <row r="164">
      <c r="BA164" t="str">
        <f>IFERROR(INDEX('2. Use-Case Library'!$M$5:$M$244,MATCH(163,'2. Use-Case Library'!$O$5:$O$244,0)),"")</f>
        <v/>
      </c>
    </row>
    <row r="165">
      <c r="BA165" t="str">
        <f>IFERROR(INDEX('2. Use-Case Library'!$M$5:$M$244,MATCH(164,'2. Use-Case Library'!$O$5:$O$244,0)),"")</f>
        <v/>
      </c>
    </row>
    <row r="166">
      <c r="BA166" t="str">
        <f>IFERROR(INDEX('2. Use-Case Library'!$M$5:$M$244,MATCH(165,'2. Use-Case Library'!$O$5:$O$244,0)),"")</f>
        <v/>
      </c>
    </row>
    <row r="167">
      <c r="BA167" t="str">
        <f>IFERROR(INDEX('2. Use-Case Library'!$M$5:$M$244,MATCH(166,'2. Use-Case Library'!$O$5:$O$244,0)),"")</f>
        <v/>
      </c>
    </row>
    <row r="168">
      <c r="BA168" t="str">
        <f>IFERROR(INDEX('2. Use-Case Library'!$M$5:$M$244,MATCH(167,'2. Use-Case Library'!$O$5:$O$244,0)),"")</f>
        <v/>
      </c>
    </row>
    <row r="169">
      <c r="BA169" t="str">
        <f>IFERROR(INDEX('2. Use-Case Library'!$M$5:$M$244,MATCH(168,'2. Use-Case Library'!$O$5:$O$244,0)),"")</f>
        <v/>
      </c>
    </row>
    <row r="170">
      <c r="BA170" t="str">
        <f>IFERROR(INDEX('2. Use-Case Library'!$M$5:$M$244,MATCH(169,'2. Use-Case Library'!$O$5:$O$244,0)),"")</f>
        <v/>
      </c>
    </row>
    <row r="171">
      <c r="BA171" t="str">
        <f>IFERROR(INDEX('2. Use-Case Library'!$M$5:$M$244,MATCH(170,'2. Use-Case Library'!$O$5:$O$244,0)),"")</f>
        <v/>
      </c>
    </row>
    <row r="172">
      <c r="BA172" t="str">
        <f>IFERROR(INDEX('2. Use-Case Library'!$M$5:$M$244,MATCH(171,'2. Use-Case Library'!$O$5:$O$244,0)),"")</f>
        <v/>
      </c>
    </row>
    <row r="173">
      <c r="BA173" t="str">
        <f>IFERROR(INDEX('2. Use-Case Library'!$M$5:$M$244,MATCH(172,'2. Use-Case Library'!$O$5:$O$244,0)),"")</f>
        <v/>
      </c>
    </row>
    <row r="174">
      <c r="BA174" t="str">
        <f>IFERROR(INDEX('2. Use-Case Library'!$M$5:$M$244,MATCH(173,'2. Use-Case Library'!$O$5:$O$244,0)),"")</f>
        <v/>
      </c>
    </row>
    <row r="175">
      <c r="BA175" t="str">
        <f>IFERROR(INDEX('2. Use-Case Library'!$M$5:$M$244,MATCH(174,'2. Use-Case Library'!$O$5:$O$244,0)),"")</f>
        <v/>
      </c>
    </row>
    <row r="176">
      <c r="BA176" t="str">
        <f>IFERROR(INDEX('2. Use-Case Library'!$M$5:$M$244,MATCH(175,'2. Use-Case Library'!$O$5:$O$244,0)),"")</f>
        <v/>
      </c>
    </row>
    <row r="177">
      <c r="BA177" t="str">
        <f>IFERROR(INDEX('2. Use-Case Library'!$M$5:$M$244,MATCH(176,'2. Use-Case Library'!$O$5:$O$244,0)),"")</f>
        <v/>
      </c>
    </row>
    <row r="178">
      <c r="BA178" t="str">
        <f>IFERROR(INDEX('2. Use-Case Library'!$M$5:$M$244,MATCH(177,'2. Use-Case Library'!$O$5:$O$244,0)),"")</f>
        <v/>
      </c>
    </row>
    <row r="179">
      <c r="BA179" t="str">
        <f>IFERROR(INDEX('2. Use-Case Library'!$M$5:$M$244,MATCH(178,'2. Use-Case Library'!$O$5:$O$244,0)),"")</f>
        <v/>
      </c>
    </row>
    <row r="180">
      <c r="BA180" t="str">
        <f>IFERROR(INDEX('2. Use-Case Library'!$M$5:$M$244,MATCH(179,'2. Use-Case Library'!$O$5:$O$244,0)),"")</f>
        <v/>
      </c>
    </row>
    <row r="181">
      <c r="BA181" t="str">
        <f>IFERROR(INDEX('2. Use-Case Library'!$M$5:$M$244,MATCH(180,'2. Use-Case Library'!$O$5:$O$244,0)),"")</f>
        <v/>
      </c>
    </row>
    <row r="182">
      <c r="BA182" t="str">
        <f>IFERROR(INDEX('2. Use-Case Library'!$M$5:$M$244,MATCH(181,'2. Use-Case Library'!$O$5:$O$244,0)),"")</f>
        <v/>
      </c>
    </row>
    <row r="183">
      <c r="BA183" t="str">
        <f>IFERROR(INDEX('2. Use-Case Library'!$M$5:$M$244,MATCH(182,'2. Use-Case Library'!$O$5:$O$244,0)),"")</f>
        <v/>
      </c>
    </row>
    <row r="184">
      <c r="BA184" t="str">
        <f>IFERROR(INDEX('2. Use-Case Library'!$M$5:$M$244,MATCH(183,'2. Use-Case Library'!$O$5:$O$244,0)),"")</f>
        <v/>
      </c>
    </row>
    <row r="185">
      <c r="BA185" t="str">
        <f>IFERROR(INDEX('2. Use-Case Library'!$M$5:$M$244,MATCH(184,'2. Use-Case Library'!$O$5:$O$244,0)),"")</f>
        <v/>
      </c>
    </row>
    <row r="186">
      <c r="BA186" t="str">
        <f>IFERROR(INDEX('2. Use-Case Library'!$M$5:$M$244,MATCH(185,'2. Use-Case Library'!$O$5:$O$244,0)),"")</f>
        <v/>
      </c>
    </row>
    <row r="187">
      <c r="BA187" t="str">
        <f>IFERROR(INDEX('2. Use-Case Library'!$M$5:$M$244,MATCH(186,'2. Use-Case Library'!$O$5:$O$244,0)),"")</f>
        <v/>
      </c>
    </row>
    <row r="188">
      <c r="BA188" t="str">
        <f>IFERROR(INDEX('2. Use-Case Library'!$M$5:$M$244,MATCH(187,'2. Use-Case Library'!$O$5:$O$244,0)),"")</f>
        <v/>
      </c>
    </row>
    <row r="189">
      <c r="BA189" t="str">
        <f>IFERROR(INDEX('2. Use-Case Library'!$M$5:$M$244,MATCH(188,'2. Use-Case Library'!$O$5:$O$244,0)),"")</f>
        <v/>
      </c>
    </row>
    <row r="190">
      <c r="BA190" t="str">
        <f>IFERROR(INDEX('2. Use-Case Library'!$M$5:$M$244,MATCH(189,'2. Use-Case Library'!$O$5:$O$244,0)),"")</f>
        <v/>
      </c>
    </row>
    <row r="191">
      <c r="BA191" t="str">
        <f>IFERROR(INDEX('2. Use-Case Library'!$M$5:$M$244,MATCH(190,'2. Use-Case Library'!$O$5:$O$244,0)),"")</f>
        <v/>
      </c>
    </row>
    <row r="192">
      <c r="BA192" t="str">
        <f>IFERROR(INDEX('2. Use-Case Library'!$M$5:$M$244,MATCH(191,'2. Use-Case Library'!$O$5:$O$244,0)),"")</f>
        <v/>
      </c>
    </row>
    <row r="193">
      <c r="BA193" t="str">
        <f>IFERROR(INDEX('2. Use-Case Library'!$M$5:$M$244,MATCH(192,'2. Use-Case Library'!$O$5:$O$244,0)),"")</f>
        <v/>
      </c>
    </row>
    <row r="194">
      <c r="BA194" t="str">
        <f>IFERROR(INDEX('2. Use-Case Library'!$M$5:$M$244,MATCH(193,'2. Use-Case Library'!$O$5:$O$244,0)),"")</f>
        <v/>
      </c>
    </row>
    <row r="195">
      <c r="BA195" t="str">
        <f>IFERROR(INDEX('2. Use-Case Library'!$M$5:$M$244,MATCH(194,'2. Use-Case Library'!$O$5:$O$244,0)),"")</f>
        <v/>
      </c>
    </row>
    <row r="196">
      <c r="BA196" t="str">
        <f>IFERROR(INDEX('2. Use-Case Library'!$M$5:$M$244,MATCH(195,'2. Use-Case Library'!$O$5:$O$244,0)),"")</f>
        <v/>
      </c>
    </row>
    <row r="197">
      <c r="BA197" t="str">
        <f>IFERROR(INDEX('2. Use-Case Library'!$M$5:$M$244,MATCH(196,'2. Use-Case Library'!$O$5:$O$244,0)),"")</f>
        <v/>
      </c>
    </row>
    <row r="198">
      <c r="BA198" t="str">
        <f>IFERROR(INDEX('2. Use-Case Library'!$M$5:$M$244,MATCH(197,'2. Use-Case Library'!$O$5:$O$244,0)),"")</f>
        <v/>
      </c>
    </row>
    <row r="199">
      <c r="BA199" t="str">
        <f>IFERROR(INDEX('2. Use-Case Library'!$M$5:$M$244,MATCH(198,'2. Use-Case Library'!$O$5:$O$244,0)),"")</f>
        <v/>
      </c>
    </row>
    <row r="200">
      <c r="BA200" t="str">
        <f>IFERROR(INDEX('2. Use-Case Library'!$M$5:$M$244,MATCH(199,'2. Use-Case Library'!$O$5:$O$244,0)),"")</f>
        <v/>
      </c>
    </row>
    <row r="201">
      <c r="BA201" t="str">
        <f>IFERROR(INDEX('2. Use-Case Library'!$M$5:$M$244,MATCH(200,'2. Use-Case Library'!$O$5:$O$244,0)),"")</f>
        <v/>
      </c>
    </row>
    <row r="202">
      <c r="BA202" t="str">
        <f>IFERROR(INDEX('2. Use-Case Library'!$M$5:$M$244,MATCH(201,'2. Use-Case Library'!$O$5:$O$244,0)),"")</f>
        <v/>
      </c>
    </row>
    <row r="203">
      <c r="BA203" t="str">
        <f>IFERROR(INDEX('2. Use-Case Library'!$M$5:$M$244,MATCH(202,'2. Use-Case Library'!$O$5:$O$244,0)),"")</f>
        <v/>
      </c>
    </row>
    <row r="204">
      <c r="BA204" t="str">
        <f>IFERROR(INDEX('2. Use-Case Library'!$M$5:$M$244,MATCH(203,'2. Use-Case Library'!$O$5:$O$244,0)),"")</f>
        <v/>
      </c>
    </row>
    <row r="205">
      <c r="BA205" t="str">
        <f>IFERROR(INDEX('2. Use-Case Library'!$M$5:$M$244,MATCH(204,'2. Use-Case Library'!$O$5:$O$244,0)),"")</f>
        <v/>
      </c>
    </row>
    <row r="206">
      <c r="BA206" t="str">
        <f>IFERROR(INDEX('2. Use-Case Library'!$M$5:$M$244,MATCH(205,'2. Use-Case Library'!$O$5:$O$244,0)),"")</f>
        <v/>
      </c>
    </row>
    <row r="207">
      <c r="BA207" t="str">
        <f>IFERROR(INDEX('2. Use-Case Library'!$M$5:$M$244,MATCH(206,'2. Use-Case Library'!$O$5:$O$244,0)),"")</f>
        <v/>
      </c>
    </row>
    <row r="208">
      <c r="BA208" t="str">
        <f>IFERROR(INDEX('2. Use-Case Library'!$M$5:$M$244,MATCH(207,'2. Use-Case Library'!$O$5:$O$244,0)),"")</f>
        <v/>
      </c>
    </row>
    <row r="209">
      <c r="BA209" t="str">
        <f>IFERROR(INDEX('2. Use-Case Library'!$M$5:$M$244,MATCH(208,'2. Use-Case Library'!$O$5:$O$244,0)),"")</f>
        <v/>
      </c>
    </row>
    <row r="210">
      <c r="BA210" t="str">
        <f>IFERROR(INDEX('2. Use-Case Library'!$M$5:$M$244,MATCH(209,'2. Use-Case Library'!$O$5:$O$244,0)),"")</f>
        <v/>
      </c>
    </row>
    <row r="211">
      <c r="BA211" t="str">
        <f>IFERROR(INDEX('2. Use-Case Library'!$M$5:$M$244,MATCH(210,'2. Use-Case Library'!$O$5:$O$244,0)),"")</f>
        <v/>
      </c>
    </row>
    <row r="212">
      <c r="BA212" t="str">
        <f>IFERROR(INDEX('2. Use-Case Library'!$M$5:$M$244,MATCH(211,'2. Use-Case Library'!$O$5:$O$244,0)),"")</f>
        <v/>
      </c>
    </row>
    <row r="213">
      <c r="BA213" t="str">
        <f>IFERROR(INDEX('2. Use-Case Library'!$M$5:$M$244,MATCH(212,'2. Use-Case Library'!$O$5:$O$244,0)),"")</f>
        <v/>
      </c>
    </row>
    <row r="214">
      <c r="BA214" t="str">
        <f>IFERROR(INDEX('2. Use-Case Library'!$M$5:$M$244,MATCH(213,'2. Use-Case Library'!$O$5:$O$244,0)),"")</f>
        <v/>
      </c>
    </row>
    <row r="215">
      <c r="BA215" t="str">
        <f>IFERROR(INDEX('2. Use-Case Library'!$M$5:$M$244,MATCH(214,'2. Use-Case Library'!$O$5:$O$244,0)),"")</f>
        <v/>
      </c>
    </row>
    <row r="216">
      <c r="BA216" t="str">
        <f>IFERROR(INDEX('2. Use-Case Library'!$M$5:$M$244,MATCH(215,'2. Use-Case Library'!$O$5:$O$244,0)),"")</f>
        <v/>
      </c>
    </row>
    <row r="217">
      <c r="BA217" t="str">
        <f>IFERROR(INDEX('2. Use-Case Library'!$M$5:$M$244,MATCH(216,'2. Use-Case Library'!$O$5:$O$244,0)),"")</f>
        <v/>
      </c>
    </row>
    <row r="218">
      <c r="BA218" t="str">
        <f>IFERROR(INDEX('2. Use-Case Library'!$M$5:$M$244,MATCH(217,'2. Use-Case Library'!$O$5:$O$244,0)),"")</f>
        <v/>
      </c>
    </row>
    <row r="219">
      <c r="BA219" t="str">
        <f>IFERROR(INDEX('2. Use-Case Library'!$M$5:$M$244,MATCH(218,'2. Use-Case Library'!$O$5:$O$244,0)),"")</f>
        <v/>
      </c>
    </row>
    <row r="220">
      <c r="BA220" t="str">
        <f>IFERROR(INDEX('2. Use-Case Library'!$M$5:$M$244,MATCH(219,'2. Use-Case Library'!$O$5:$O$244,0)),"")</f>
        <v/>
      </c>
    </row>
    <row r="221">
      <c r="BA221" t="str">
        <f>IFERROR(INDEX('2. Use-Case Library'!$M$5:$M$244,MATCH(220,'2. Use-Case Library'!$O$5:$O$244,0)),"")</f>
        <v/>
      </c>
    </row>
    <row r="222">
      <c r="BA222" t="str">
        <f>IFERROR(INDEX('2. Use-Case Library'!$M$5:$M$244,MATCH(221,'2. Use-Case Library'!$O$5:$O$244,0)),"")</f>
        <v/>
      </c>
    </row>
    <row r="223">
      <c r="BA223" t="str">
        <f>IFERROR(INDEX('2. Use-Case Library'!$M$5:$M$244,MATCH(222,'2. Use-Case Library'!$O$5:$O$244,0)),"")</f>
        <v/>
      </c>
    </row>
    <row r="224">
      <c r="BA224" t="str">
        <f>IFERROR(INDEX('2. Use-Case Library'!$M$5:$M$244,MATCH(223,'2. Use-Case Library'!$O$5:$O$244,0)),"")</f>
        <v/>
      </c>
    </row>
    <row r="225">
      <c r="BA225" t="str">
        <f>IFERROR(INDEX('2. Use-Case Library'!$M$5:$M$244,MATCH(224,'2. Use-Case Library'!$O$5:$O$244,0)),"")</f>
        <v/>
      </c>
    </row>
    <row r="226">
      <c r="BA226" t="str">
        <f>IFERROR(INDEX('2. Use-Case Library'!$M$5:$M$244,MATCH(225,'2. Use-Case Library'!$O$5:$O$244,0)),"")</f>
        <v/>
      </c>
    </row>
    <row r="227">
      <c r="BA227" t="str">
        <f>IFERROR(INDEX('2. Use-Case Library'!$M$5:$M$244,MATCH(226,'2. Use-Case Library'!$O$5:$O$244,0)),"")</f>
        <v/>
      </c>
    </row>
    <row r="228">
      <c r="BA228" t="str">
        <f>IFERROR(INDEX('2. Use-Case Library'!$M$5:$M$244,MATCH(227,'2. Use-Case Library'!$O$5:$O$244,0)),"")</f>
        <v/>
      </c>
    </row>
    <row r="229">
      <c r="BA229" t="str">
        <f>IFERROR(INDEX('2. Use-Case Library'!$M$5:$M$244,MATCH(228,'2. Use-Case Library'!$O$5:$O$244,0)),"")</f>
        <v/>
      </c>
    </row>
    <row r="230">
      <c r="BA230" t="str">
        <f>IFERROR(INDEX('2. Use-Case Library'!$M$5:$M$244,MATCH(229,'2. Use-Case Library'!$O$5:$O$244,0)),"")</f>
        <v/>
      </c>
    </row>
    <row r="231">
      <c r="BA231" t="str">
        <f>IFERROR(INDEX('2. Use-Case Library'!$M$5:$M$244,MATCH(230,'2. Use-Case Library'!$O$5:$O$244,0)),"")</f>
        <v/>
      </c>
    </row>
    <row r="232">
      <c r="BA232" t="str">
        <f>IFERROR(INDEX('2. Use-Case Library'!$M$5:$M$244,MATCH(231,'2. Use-Case Library'!$O$5:$O$244,0)),"")</f>
        <v/>
      </c>
    </row>
    <row r="233">
      <c r="BA233" t="str">
        <f>IFERROR(INDEX('2. Use-Case Library'!$M$5:$M$244,MATCH(232,'2. Use-Case Library'!$O$5:$O$244,0)),"")</f>
        <v/>
      </c>
    </row>
    <row r="234">
      <c r="BA234" t="str">
        <f>IFERROR(INDEX('2. Use-Case Library'!$M$5:$M$244,MATCH(233,'2. Use-Case Library'!$O$5:$O$244,0)),"")</f>
        <v/>
      </c>
    </row>
    <row r="235">
      <c r="BA235" t="str">
        <f>IFERROR(INDEX('2. Use-Case Library'!$M$5:$M$244,MATCH(234,'2. Use-Case Library'!$O$5:$O$244,0)),"")</f>
        <v/>
      </c>
    </row>
    <row r="236">
      <c r="BA236" t="str">
        <f>IFERROR(INDEX('2. Use-Case Library'!$M$5:$M$244,MATCH(235,'2. Use-Case Library'!$O$5:$O$244,0)),"")</f>
        <v/>
      </c>
    </row>
    <row r="237">
      <c r="BA237" t="str">
        <f>IFERROR(INDEX('2. Use-Case Library'!$M$5:$M$244,MATCH(236,'2. Use-Case Library'!$O$5:$O$244,0)),"")</f>
        <v/>
      </c>
    </row>
    <row r="238">
      <c r="BA238" t="str">
        <f>IFERROR(INDEX('2. Use-Case Library'!$M$5:$M$244,MATCH(237,'2. Use-Case Library'!$O$5:$O$244,0)),"")</f>
        <v/>
      </c>
    </row>
    <row r="239">
      <c r="BA239" t="str">
        <f>IFERROR(INDEX('2. Use-Case Library'!$M$5:$M$244,MATCH(238,'2. Use-Case Library'!$O$5:$O$244,0)),"")</f>
        <v/>
      </c>
    </row>
    <row r="240">
      <c r="BA240" t="str">
        <f>IFERROR(INDEX('2. Use-Case Library'!$M$5:$M$244,MATCH(239,'2. Use-Case Library'!$O$5:$O$244,0)),"")</f>
        <v/>
      </c>
    </row>
    <row r="241">
      <c r="BA241" t="str">
        <f>IFERROR(INDEX('2. Use-Case Library'!$M$5:$M$244,MATCH(240,'2. Use-Case Library'!$O$5:$O$244,0)),"")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2026-10-04T05:39:30Z</dcterms:created>
  <dcterms:modified xmlns:dcterms="http://purl.org/dc/terms/" xmlns:xsi="http://www.w3.org/2001/XMLSchema-instance" xsi:type="dcterms:W3CDTF">2026-10-04T05:39:31Z</dcterms:modified>
</cp:coreProperties>
</file>