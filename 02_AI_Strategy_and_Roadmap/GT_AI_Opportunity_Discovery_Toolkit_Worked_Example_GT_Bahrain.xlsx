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drawings/drawing1.xml" ContentType="application/vnd.openxmlformats-officedocument.drawing+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charts/chart1.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bookViews>
    <workbookView visibility="visible" minimized="0" showHorizontalScroll="1" showVerticalScroll="1" showSheetTabs="1" tabRatio="600" firstSheet="0" activeTab="4" autoFilterDateGrouping="1"/>
  </bookViews>
  <sheets>
    <sheet xmlns:r="http://schemas.openxmlformats.org/officeDocument/2006/relationships" name="Guide" sheetId="1" state="visible" r:id="rId1"/>
    <sheet xmlns:r="http://schemas.openxmlformats.org/officeDocument/2006/relationships" name="1. AI Position" sheetId="2" state="visible" r:id="rId2"/>
    <sheet xmlns:r="http://schemas.openxmlformats.org/officeDocument/2006/relationships" name="2. Process Library" sheetId="3" state="visible" r:id="rId3"/>
    <sheet xmlns:r="http://schemas.openxmlformats.org/officeDocument/2006/relationships" name="3. AI Fit Diagnostic" sheetId="4" state="visible" r:id="rId4"/>
    <sheet xmlns:r="http://schemas.openxmlformats.org/officeDocument/2006/relationships" name="4. Opportunity Map" sheetId="5" state="visible" r:id="rId5"/>
    <sheet xmlns:r="http://schemas.openxmlformats.org/officeDocument/2006/relationships" name="5. Roadmap" sheetId="6" state="visible" r:id="rId6"/>
    <sheet xmlns:r="http://schemas.openxmlformats.org/officeDocument/2006/relationships" name="6. Use-Case Canvas" sheetId="7" state="visible" r:id="rId7"/>
    <sheet xmlns:r="http://schemas.openxmlformats.org/officeDocument/2006/relationships" name="Reference" sheetId="8" state="visible" r:id="rId8"/>
    <sheet xmlns:r="http://schemas.openxmlformats.org/officeDocument/2006/relationships" name="Lists" sheetId="9" state="hidden" r:id="rId9"/>
  </sheets>
  <definedNames>
    <definedName name="_xlnm.Print_Area" localSheetId="0">'Guide'!$A$1:$C$28</definedName>
    <definedName name="_xlnm.Print_Area" localSheetId="1">'1. AI Position'!$A$1:$E$40</definedName>
    <definedName name="_xlnm.Print_Titles" localSheetId="2">'2. Process Library'!$4:$4</definedName>
    <definedName name="_xlnm.Print_Area" localSheetId="2">'2. Process Library'!$A$1:$F$67</definedName>
    <definedName name="_xlnm.Print_Titles" localSheetId="3">'3. AI Fit Diagnostic'!$6:$7</definedName>
    <definedName name="_xlnm.Print_Area" localSheetId="3">'3. AI Fit Diagnostic'!$A$1:$AB$57</definedName>
    <definedName name="_xlnm.Print_Area" localSheetId="4">'4. Opportunity Map'!$A$1:$K$68</definedName>
    <definedName name="_xlnm.Print_Area" localSheetId="5">'5. Roadmap'!$A$1:$G$73</definedName>
    <definedName name="_xlnm.Print_Area" localSheetId="6">'6. Use-Case Canvas'!$A$1:$D$27</definedName>
    <definedName name="_xlnm.Print_Area" localSheetId="7">'Reference'!$A$1:$F$62</definedName>
  </definedNames>
  <calcPr calcId="124519" fullCalcOnLoad="1"/>
</workbook>
</file>

<file path=xl/styles.xml><?xml version="1.0" encoding="utf-8"?>
<styleSheet xmlns="http://schemas.openxmlformats.org/spreadsheetml/2006/main">
  <numFmts count="0"/>
  <fonts count="16">
    <font>
      <name val="Calibri"/>
      <family val="2"/>
      <color theme="1"/>
      <sz val="11"/>
      <scheme val="minor"/>
    </font>
    <font>
      <b val="1"/>
      <color rgb="00FFFFFF"/>
      <sz val="16"/>
    </font>
    <font>
      <i val="1"/>
      <color rgb="004F2D7F"/>
      <sz val="9.5"/>
    </font>
    <font>
      <b val="1"/>
      <color rgb="00FFFFFF"/>
      <sz val="10.5"/>
    </font>
    <font>
      <b val="1"/>
      <color rgb="00000000"/>
      <sz val="9.5"/>
    </font>
    <font>
      <color rgb="00000000"/>
      <sz val="9.5"/>
    </font>
    <font>
      <b val="1"/>
      <color rgb="00FFFFFF"/>
      <sz val="9.5"/>
    </font>
    <font>
      <color rgb="00595959"/>
      <sz val="8.5"/>
    </font>
    <font>
      <b val="1"/>
      <color rgb="00000000"/>
      <sz val="11"/>
    </font>
    <font>
      <color rgb="00000000"/>
      <sz val="8.5"/>
    </font>
    <font>
      <b val="1"/>
      <color rgb="00FFFFFF"/>
      <sz val="8.5"/>
    </font>
    <font>
      <b val="1"/>
      <color rgb="00000000"/>
      <sz val="8.5"/>
    </font>
    <font>
      <b val="1"/>
      <i val="1"/>
      <color rgb="004F2D7F"/>
      <sz val="9.5"/>
    </font>
    <font>
      <color rgb="00000000"/>
      <sz val="8"/>
    </font>
    <font>
      <i val="1"/>
      <color rgb="00595959"/>
      <sz val="8"/>
    </font>
    <font>
      <b val="1"/>
      <color rgb="00000000"/>
      <sz val="12"/>
    </font>
  </fonts>
  <fills count="17">
    <fill>
      <patternFill/>
    </fill>
    <fill>
      <patternFill patternType="gray125"/>
    </fill>
    <fill>
      <patternFill patternType="solid">
        <fgColor rgb="004F2D7F"/>
      </patternFill>
    </fill>
    <fill>
      <patternFill patternType="solid">
        <fgColor rgb="00EDE7F6"/>
      </patternFill>
    </fill>
    <fill>
      <patternFill patternType="solid">
        <fgColor rgb="00FFF9E6"/>
      </patternFill>
    </fill>
    <fill>
      <patternFill patternType="solid">
        <fgColor rgb="007B5BA6"/>
      </patternFill>
    </fill>
    <fill>
      <patternFill patternType="solid">
        <fgColor rgb="00D9CCEB"/>
      </patternFill>
    </fill>
    <fill>
      <patternFill patternType="solid">
        <fgColor rgb="00F2F2F2"/>
      </patternFill>
    </fill>
    <fill>
      <patternFill patternType="solid">
        <fgColor rgb="003B2160"/>
      </patternFill>
    </fill>
    <fill>
      <patternFill patternType="solid">
        <fgColor rgb="00A9D08E"/>
      </patternFill>
    </fill>
    <fill>
      <patternFill patternType="solid">
        <fgColor rgb="009BC2E6"/>
      </patternFill>
    </fill>
    <fill>
      <patternFill patternType="solid">
        <fgColor rgb="00FFE699"/>
      </patternFill>
    </fill>
    <fill>
      <patternFill patternType="solid">
        <fgColor rgb="00F4B183"/>
      </patternFill>
    </fill>
    <fill>
      <patternFill patternType="solid">
        <fgColor rgb="00D9D9D9"/>
      </patternFill>
    </fill>
    <fill>
      <patternFill patternType="solid">
        <fgColor rgb="0000A7B5"/>
      </patternFill>
    </fill>
    <fill>
      <patternFill patternType="solid">
        <fgColor rgb="007F7F7F"/>
      </patternFill>
    </fill>
    <fill>
      <patternFill patternType="solid">
        <fgColor rgb="00C6E0B4"/>
      </patternFill>
    </fill>
  </fills>
  <borders count="6">
    <border>
      <left/>
      <right/>
      <top/>
      <bottom/>
      <diagonal/>
    </border>
    <border>
      <left style="thin">
        <color rgb="00C9C9C9"/>
      </left>
      <right style="thin">
        <color rgb="00C9C9C9"/>
      </right>
      <top style="thin">
        <color rgb="00C9C9C9"/>
      </top>
      <bottom style="thin">
        <color rgb="00C9C9C9"/>
      </bottom>
    </border>
    <border>
      <left/>
      <right/>
      <top style="thin">
        <color rgb="00C9C9C9"/>
      </top>
      <bottom/>
      <diagonal/>
    </border>
    <border>
      <left/>
      <right style="thin">
        <color rgb="00C9C9C9"/>
      </right>
      <top style="thin">
        <color rgb="00C9C9C9"/>
      </top>
      <bottom/>
      <diagonal/>
    </border>
    <border>
      <left/>
      <right/>
      <top style="thin">
        <color rgb="00C9C9C9"/>
      </top>
      <bottom style="thin">
        <color rgb="00C9C9C9"/>
      </bottom>
      <diagonal/>
    </border>
    <border>
      <left/>
      <right style="thin">
        <color rgb="00C9C9C9"/>
      </right>
      <top style="thin">
        <color rgb="00C9C9C9"/>
      </top>
      <bottom style="thin">
        <color rgb="00C9C9C9"/>
      </bottom>
      <diagonal/>
    </border>
  </borders>
  <cellStyleXfs count="1">
    <xf numFmtId="0" fontId="0" fillId="0" borderId="0"/>
  </cellStyleXfs>
  <cellXfs count="69">
    <xf numFmtId="0" fontId="0" fillId="0" borderId="0" pivotButton="0" quotePrefix="0" xfId="0"/>
    <xf numFmtId="0" fontId="1" fillId="2" borderId="0" applyAlignment="1" pivotButton="0" quotePrefix="0" xfId="0">
      <alignment vertical="center" indent="1"/>
    </xf>
    <xf numFmtId="0" fontId="2" fillId="0" borderId="0" applyAlignment="1" pivotButton="0" quotePrefix="0" xfId="0">
      <alignment vertical="center" wrapText="1"/>
    </xf>
    <xf numFmtId="0" fontId="3" fillId="2" borderId="0" applyAlignment="1" pivotButton="0" quotePrefix="0" xfId="0">
      <alignment vertical="center" indent="1"/>
    </xf>
    <xf numFmtId="0" fontId="4" fillId="3" borderId="1" applyAlignment="1" pivotButton="0" quotePrefix="0" xfId="0">
      <alignment vertical="center" wrapText="1"/>
    </xf>
    <xf numFmtId="0" fontId="5" fillId="0" borderId="1" applyAlignment="1" pivotButton="0" quotePrefix="0" xfId="0">
      <alignment vertical="top" wrapText="1"/>
    </xf>
    <xf numFmtId="0" fontId="5" fillId="3" borderId="1" applyAlignment="1" pivotButton="0" quotePrefix="0" xfId="0">
      <alignment vertical="center" wrapText="1"/>
    </xf>
    <xf numFmtId="0" fontId="5" fillId="4" borderId="1" applyAlignment="1" pivotButton="0" quotePrefix="0" xfId="0">
      <alignment vertical="center" wrapText="1"/>
    </xf>
    <xf numFmtId="0" fontId="0" fillId="4" borderId="1" pivotButton="0" quotePrefix="0" xfId="0"/>
    <xf numFmtId="0" fontId="6" fillId="2" borderId="1" applyAlignment="1" pivotButton="0" quotePrefix="0" xfId="0">
      <alignment horizontal="center" vertical="center" wrapText="1"/>
    </xf>
    <xf numFmtId="0" fontId="3" fillId="5" borderId="0" applyAlignment="1" pivotButton="0" quotePrefix="0" xfId="0">
      <alignment vertical="center" indent="1"/>
    </xf>
    <xf numFmtId="0" fontId="4" fillId="3" borderId="1" applyAlignment="1" pivotButton="0" quotePrefix="0" xfId="0">
      <alignment horizontal="center" vertical="center" wrapText="1"/>
    </xf>
    <xf numFmtId="0" fontId="5" fillId="4" borderId="1" applyAlignment="1" pivotButton="0" quotePrefix="0" xfId="0">
      <alignment vertical="top" wrapText="1"/>
    </xf>
    <xf numFmtId="0" fontId="7" fillId="0" borderId="1" applyAlignment="1" pivotButton="0" quotePrefix="0" xfId="0">
      <alignment vertical="top" wrapText="1"/>
    </xf>
    <xf numFmtId="0" fontId="5" fillId="3" borderId="1" applyAlignment="1" pivotButton="0" quotePrefix="0" xfId="0">
      <alignment horizontal="center" vertical="center" wrapText="1"/>
    </xf>
    <xf numFmtId="0" fontId="0" fillId="0" borderId="1" pivotButton="0" quotePrefix="0" xfId="0"/>
    <xf numFmtId="9" fontId="4" fillId="0" borderId="1" applyAlignment="1" pivotButton="0" quotePrefix="0" xfId="0">
      <alignment vertical="top" wrapText="1"/>
    </xf>
    <xf numFmtId="0" fontId="8" fillId="6" borderId="1" applyAlignment="1" pivotButton="0" quotePrefix="0" xfId="0">
      <alignment vertical="top" wrapText="1"/>
    </xf>
    <xf numFmtId="0" fontId="0" fillId="6" borderId="1" pivotButton="0" quotePrefix="0" xfId="0"/>
    <xf numFmtId="0" fontId="4" fillId="6" borderId="1" applyAlignment="1" pivotButton="0" quotePrefix="0" xfId="0">
      <alignment vertical="top" wrapText="1"/>
    </xf>
    <xf numFmtId="0" fontId="5" fillId="0" borderId="0" applyAlignment="1" pivotButton="0" quotePrefix="0" xfId="0">
      <alignment vertical="center" wrapText="1"/>
    </xf>
    <xf numFmtId="0" fontId="4" fillId="7" borderId="1" applyAlignment="1" pivotButton="0" quotePrefix="0" xfId="0">
      <alignment horizontal="center" vertical="center" wrapText="1"/>
    </xf>
    <xf numFmtId="0" fontId="5" fillId="0" borderId="1" applyAlignment="1" pivotButton="0" quotePrefix="0" xfId="0">
      <alignment horizontal="center" vertical="center" wrapText="1"/>
    </xf>
    <xf numFmtId="0" fontId="4" fillId="0" borderId="1" applyAlignment="1" pivotButton="0" quotePrefix="0" xfId="0">
      <alignment vertical="top" wrapText="1"/>
    </xf>
    <xf numFmtId="0" fontId="9" fillId="0" borderId="1" applyAlignment="1" pivotButton="0" quotePrefix="0" xfId="0">
      <alignment vertical="top" wrapText="1"/>
    </xf>
    <xf numFmtId="0" fontId="5" fillId="3" borderId="0" applyAlignment="1" pivotButton="0" quotePrefix="0" xfId="0">
      <alignment vertical="center" wrapText="1"/>
    </xf>
    <xf numFmtId="0" fontId="0" fillId="3" borderId="1" pivotButton="0" quotePrefix="0" xfId="0"/>
    <xf numFmtId="0" fontId="4" fillId="6" borderId="1" applyAlignment="1" pivotButton="0" quotePrefix="0" xfId="0">
      <alignment vertical="center" wrapText="1"/>
    </xf>
    <xf numFmtId="0" fontId="4" fillId="6" borderId="1" applyAlignment="1" pivotButton="0" quotePrefix="0" xfId="0">
      <alignment horizontal="center" vertical="center" wrapText="1"/>
    </xf>
    <xf numFmtId="0" fontId="5" fillId="4" borderId="1" applyAlignment="1" pivotButton="0" quotePrefix="0" xfId="0">
      <alignment horizontal="center" vertical="center" wrapText="1"/>
    </xf>
    <xf numFmtId="0" fontId="0" fillId="2" borderId="1" pivotButton="0" quotePrefix="0" xfId="0"/>
    <xf numFmtId="0" fontId="6" fillId="8" borderId="1" applyAlignment="1" pivotButton="0" quotePrefix="0" xfId="0">
      <alignment horizontal="center" vertical="center" wrapText="1"/>
    </xf>
    <xf numFmtId="0" fontId="0" fillId="8" borderId="1" pivotButton="0" quotePrefix="0" xfId="0"/>
    <xf numFmtId="0" fontId="10" fillId="2" borderId="1" applyAlignment="1" pivotButton="0" quotePrefix="0" xfId="0">
      <alignment horizontal="center" vertical="center" wrapText="1"/>
    </xf>
    <xf numFmtId="0" fontId="10" fillId="8" borderId="1" applyAlignment="1" pivotButton="0" quotePrefix="0" xfId="0">
      <alignment horizontal="center" vertical="center" wrapText="1"/>
    </xf>
    <xf numFmtId="0" fontId="9" fillId="4" borderId="1" applyAlignment="1" pivotButton="0" quotePrefix="0" xfId="0">
      <alignment vertical="top" wrapText="1"/>
    </xf>
    <xf numFmtId="0" fontId="9" fillId="0" borderId="1" applyAlignment="1" pivotButton="0" quotePrefix="0" xfId="0">
      <alignment vertical="center" wrapText="1"/>
    </xf>
    <xf numFmtId="0" fontId="9" fillId="0" borderId="1" applyAlignment="1" pivotButton="0" quotePrefix="0" xfId="0">
      <alignment horizontal="center" vertical="center" wrapText="1"/>
    </xf>
    <xf numFmtId="0" fontId="11" fillId="0" borderId="1" applyAlignment="1" pivotButton="0" quotePrefix="0" xfId="0">
      <alignment vertical="center" wrapText="1"/>
    </xf>
    <xf numFmtId="2" fontId="9" fillId="0" borderId="1" applyAlignment="1" pivotButton="0" quotePrefix="0" xfId="0">
      <alignment horizontal="center" vertical="center" wrapText="1"/>
    </xf>
    <xf numFmtId="0" fontId="11" fillId="0" borderId="1" applyAlignment="1" pivotButton="0" quotePrefix="0" xfId="0">
      <alignment horizontal="center" vertical="center" wrapText="1"/>
    </xf>
    <xf numFmtId="3" fontId="9" fillId="0" borderId="1" applyAlignment="1" pivotButton="0" quotePrefix="0" xfId="0">
      <alignment horizontal="center" vertical="center" wrapText="1"/>
    </xf>
    <xf numFmtId="0" fontId="0" fillId="0" borderId="4" pivotButton="0" quotePrefix="0" xfId="0"/>
    <xf numFmtId="0" fontId="0" fillId="0" borderId="5" pivotButton="0" quotePrefix="0" xfId="0"/>
    <xf numFmtId="0" fontId="4" fillId="9" borderId="1" applyAlignment="1" pivotButton="0" quotePrefix="0" xfId="0">
      <alignment vertical="center" wrapText="1"/>
    </xf>
    <xf numFmtId="9" fontId="5" fillId="0" borderId="1" applyAlignment="1" pivotButton="0" quotePrefix="0" xfId="0">
      <alignment horizontal="center" vertical="center" wrapText="1"/>
    </xf>
    <xf numFmtId="3" fontId="5" fillId="0" borderId="1" applyAlignment="1" pivotButton="0" quotePrefix="0" xfId="0">
      <alignment horizontal="center" vertical="center" wrapText="1"/>
    </xf>
    <xf numFmtId="0" fontId="4" fillId="10" borderId="1" applyAlignment="1" pivotButton="0" quotePrefix="0" xfId="0">
      <alignment vertical="center" wrapText="1"/>
    </xf>
    <xf numFmtId="0" fontId="4" fillId="11" borderId="1" applyAlignment="1" pivotButton="0" quotePrefix="0" xfId="0">
      <alignment vertical="center" wrapText="1"/>
    </xf>
    <xf numFmtId="0" fontId="4" fillId="12" borderId="1" applyAlignment="1" pivotButton="0" quotePrefix="0" xfId="0">
      <alignment vertical="center" wrapText="1"/>
    </xf>
    <xf numFmtId="0" fontId="4" fillId="13" borderId="1" applyAlignment="1" pivotButton="0" quotePrefix="0" xfId="0">
      <alignment vertical="center" wrapText="1"/>
    </xf>
    <xf numFmtId="3" fontId="4" fillId="3" borderId="1" applyAlignment="1" pivotButton="0" quotePrefix="0" xfId="0">
      <alignment horizontal="center" vertical="center" wrapText="1"/>
    </xf>
    <xf numFmtId="0" fontId="12" fillId="0" borderId="1" applyAlignment="1" pivotButton="0" quotePrefix="0" xfId="0">
      <alignment vertical="top" wrapText="1"/>
    </xf>
    <xf numFmtId="0" fontId="11" fillId="3" borderId="1" applyAlignment="1" pivotButton="0" quotePrefix="0" xfId="0">
      <alignment vertical="center" wrapText="1"/>
    </xf>
    <xf numFmtId="0" fontId="4" fillId="0" borderId="1" applyAlignment="1" pivotButton="0" quotePrefix="0" xfId="0">
      <alignment horizontal="center" vertical="center" wrapText="1"/>
    </xf>
    <xf numFmtId="0" fontId="11" fillId="0" borderId="1" applyAlignment="1" pivotButton="0" quotePrefix="0" xfId="0">
      <alignment vertical="top" wrapText="1"/>
    </xf>
    <xf numFmtId="0" fontId="13" fillId="0" borderId="1" applyAlignment="1" pivotButton="0" quotePrefix="0" xfId="0">
      <alignment vertical="top" wrapText="1"/>
    </xf>
    <xf numFmtId="2" fontId="5" fillId="0" borderId="1" applyAlignment="1" pivotButton="0" quotePrefix="0" xfId="0">
      <alignment horizontal="center" vertical="center" wrapText="1"/>
    </xf>
    <xf numFmtId="0" fontId="14" fillId="0" borderId="1" applyAlignment="1" pivotButton="0" quotePrefix="0" xfId="0">
      <alignment vertical="top" wrapText="1"/>
    </xf>
    <xf numFmtId="0" fontId="11" fillId="3" borderId="1" applyAlignment="1" pivotButton="0" quotePrefix="0" xfId="0">
      <alignment horizontal="center" vertical="center" wrapText="1"/>
    </xf>
    <xf numFmtId="0" fontId="3" fillId="14" borderId="0" applyAlignment="1" pivotButton="0" quotePrefix="0" xfId="0">
      <alignment vertical="center" indent="1"/>
    </xf>
    <xf numFmtId="0" fontId="3" fillId="15" borderId="0" applyAlignment="1" pivotButton="0" quotePrefix="0" xfId="0">
      <alignment vertical="center" indent="1"/>
    </xf>
    <xf numFmtId="0" fontId="3" fillId="8" borderId="0" applyAlignment="1" pivotButton="0" quotePrefix="0" xfId="0">
      <alignment vertical="center" indent="1"/>
    </xf>
    <xf numFmtId="0" fontId="15" fillId="4" borderId="1" applyAlignment="1" pivotButton="0" quotePrefix="0" xfId="0">
      <alignment horizontal="center" vertical="center" wrapText="1"/>
    </xf>
    <xf numFmtId="0" fontId="15" fillId="0" borderId="1" applyAlignment="1" pivotButton="0" quotePrefix="0" xfId="0">
      <alignment horizontal="center" vertical="center" wrapText="1"/>
    </xf>
    <xf numFmtId="0" fontId="5" fillId="0" borderId="1" applyAlignment="1" pivotButton="0" quotePrefix="0" xfId="0">
      <alignment vertical="center" wrapText="1"/>
    </xf>
    <xf numFmtId="0" fontId="4" fillId="0" borderId="1" applyAlignment="1" pivotButton="0" quotePrefix="0" xfId="0">
      <alignment vertical="center" wrapText="1"/>
    </xf>
    <xf numFmtId="0" fontId="4" fillId="3" borderId="1" applyAlignment="1" pivotButton="0" quotePrefix="0" xfId="0">
      <alignment vertical="top" wrapText="1"/>
    </xf>
    <xf numFmtId="0" fontId="4" fillId="16" borderId="1" applyAlignment="1" pivotButton="0" quotePrefix="0" xfId="0">
      <alignment vertical="center" wrapText="1"/>
    </xf>
  </cellXfs>
  <cellStyles count="1">
    <cellStyle name="Normal" xfId="0" builtinId="0" hidden="0"/>
  </cellStyles>
  <dxfs count="9">
    <dxf>
      <font>
        <b val="1"/>
      </font>
      <fill>
        <patternFill patternType="solid">
          <fgColor rgb="00A9D08E"/>
        </patternFill>
      </fill>
    </dxf>
    <dxf>
      <fill>
        <patternFill patternType="solid">
          <fgColor rgb="00A9D08E"/>
        </patternFill>
      </fill>
    </dxf>
    <dxf>
      <fill>
        <patternFill patternType="solid">
          <fgColor rgb="009BC2E6"/>
        </patternFill>
      </fill>
    </dxf>
    <dxf>
      <fill>
        <patternFill patternType="solid">
          <fgColor rgb="00FFE699"/>
        </patternFill>
      </fill>
    </dxf>
    <dxf>
      <fill>
        <patternFill patternType="solid">
          <fgColor rgb="00F4B183"/>
        </patternFill>
      </fill>
    </dxf>
    <dxf>
      <fill>
        <patternFill patternType="solid">
          <fgColor rgb="00D9D9D9"/>
        </patternFill>
      </fill>
    </dxf>
    <dxf>
      <fill>
        <patternFill patternType="solid">
          <fgColor rgb="00C6E0B4"/>
        </patternFill>
      </fill>
    </dxf>
    <dxf>
      <font>
        <b val="1"/>
        <color rgb="00C00000"/>
      </font>
    </dxf>
    <dxf>
      <font>
        <b val="1"/>
        <color rgb="00C55A11"/>
      </font>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styles" Target="styles.xml" Id="rId10"/><Relationship Type="http://schemas.openxmlformats.org/officeDocument/2006/relationships/theme" Target="theme/theme1.xml" Id="rId11"/></Relationships>
</file>

<file path=xl/charts/chart1.xml><?xml version="1.0" encoding="utf-8"?>
<chartSpace xmlns="http://schemas.openxmlformats.org/drawingml/2006/chart">
  <chart>
    <title>
      <tx>
        <rich>
          <a:bodyPr xmlns:a="http://schemas.openxmlformats.org/drawingml/2006/main"/>
          <a:p xmlns:a="http://schemas.openxmlformats.org/drawingml/2006/main">
            <a:pPr>
              <a:defRPr/>
            </a:pPr>
            <a:r>
              <a:t>Processes by function and verdict</a:t>
            </a:r>
          </a:p>
        </rich>
      </tx>
    </title>
    <plotArea>
      <barChart>
        <barDir val="bar"/>
        <grouping val="stacked"/>
        <ser>
          <idx val="0"/>
          <order val="0"/>
          <tx>
            <strRef>
              <f>'4. Opportunity Map'!C22</f>
            </strRef>
          </tx>
          <spPr>
            <a:solidFill xmlns:a="http://schemas.openxmlformats.org/drawingml/2006/main">
              <a:srgbClr val="A9D08E"/>
            </a:solidFill>
            <a:ln xmlns:a="http://schemas.openxmlformats.org/drawingml/2006/main">
              <a:solidFill>
                <a:srgbClr val="A9D08E"/>
              </a:solidFill>
              <a:prstDash val="solid"/>
            </a:ln>
          </spPr>
          <cat>
            <numRef>
              <f>'4. Opportunity Map'!$B$23:$B$32</f>
            </numRef>
          </cat>
          <val>
            <numRef>
              <f>'4. Opportunity Map'!$C$23:$C$32</f>
            </numRef>
          </val>
        </ser>
        <ser>
          <idx val="1"/>
          <order val="1"/>
          <tx>
            <strRef>
              <f>'4. Opportunity Map'!D22</f>
            </strRef>
          </tx>
          <spPr>
            <a:solidFill xmlns:a="http://schemas.openxmlformats.org/drawingml/2006/main">
              <a:srgbClr val="F4B183"/>
            </a:solidFill>
            <a:ln xmlns:a="http://schemas.openxmlformats.org/drawingml/2006/main">
              <a:solidFill>
                <a:srgbClr val="F4B183"/>
              </a:solidFill>
              <a:prstDash val="solid"/>
            </a:ln>
          </spPr>
          <cat>
            <numRef>
              <f>'4. Opportunity Map'!$B$23:$B$32</f>
            </numRef>
          </cat>
          <val>
            <numRef>
              <f>'4. Opportunity Map'!$D$23:$D$32</f>
            </numRef>
          </val>
        </ser>
        <ser>
          <idx val="2"/>
          <order val="2"/>
          <tx>
            <strRef>
              <f>'4. Opportunity Map'!E22</f>
            </strRef>
          </tx>
          <spPr>
            <a:solidFill xmlns:a="http://schemas.openxmlformats.org/drawingml/2006/main">
              <a:srgbClr val="FFE699"/>
            </a:solidFill>
            <a:ln xmlns:a="http://schemas.openxmlformats.org/drawingml/2006/main">
              <a:solidFill>
                <a:srgbClr val="FFE699"/>
              </a:solidFill>
              <a:prstDash val="solid"/>
            </a:ln>
          </spPr>
          <cat>
            <numRef>
              <f>'4. Opportunity Map'!$B$23:$B$32</f>
            </numRef>
          </cat>
          <val>
            <numRef>
              <f>'4. Opportunity Map'!$E$23:$E$32</f>
            </numRef>
          </val>
        </ser>
        <ser>
          <idx val="3"/>
          <order val="3"/>
          <tx>
            <strRef>
              <f>'4. Opportunity Map'!F22</f>
            </strRef>
          </tx>
          <spPr>
            <a:solidFill xmlns:a="http://schemas.openxmlformats.org/drawingml/2006/main">
              <a:srgbClr val="9BC2E6"/>
            </a:solidFill>
            <a:ln xmlns:a="http://schemas.openxmlformats.org/drawingml/2006/main">
              <a:solidFill>
                <a:srgbClr val="9BC2E6"/>
              </a:solidFill>
              <a:prstDash val="solid"/>
            </a:ln>
          </spPr>
          <cat>
            <numRef>
              <f>'4. Opportunity Map'!$B$23:$B$32</f>
            </numRef>
          </cat>
          <val>
            <numRef>
              <f>'4. Opportunity Map'!$F$23:$F$32</f>
            </numRef>
          </val>
        </ser>
        <ser>
          <idx val="4"/>
          <order val="4"/>
          <tx>
            <strRef>
              <f>'4. Opportunity Map'!G22</f>
            </strRef>
          </tx>
          <spPr>
            <a:solidFill xmlns:a="http://schemas.openxmlformats.org/drawingml/2006/main">
              <a:srgbClr val="D9D9D9"/>
            </a:solidFill>
            <a:ln xmlns:a="http://schemas.openxmlformats.org/drawingml/2006/main">
              <a:solidFill>
                <a:srgbClr val="D9D9D9"/>
              </a:solidFill>
              <a:prstDash val="solid"/>
            </a:ln>
          </spPr>
          <cat>
            <numRef>
              <f>'4. Opportunity Map'!$B$23:$B$32</f>
            </numRef>
          </cat>
          <val>
            <numRef>
              <f>'4. Opportunity Map'!$G$23:$G$32</f>
            </numRef>
          </val>
        </ser>
        <gapWidth val="150"/>
        <overlap val="100"/>
        <axId val="10"/>
        <axId val="100"/>
      </barChart>
      <catAx>
        <axId val="10"/>
        <scaling>
          <orientation val="maxMin"/>
        </scaling>
        <delete val="0"/>
        <axPos val="l"/>
        <majorTickMark val="none"/>
        <minorTickMark val="none"/>
        <crossAx val="100"/>
        <lblOffset val="100"/>
      </catAx>
      <valAx>
        <axId val="100"/>
        <scaling>
          <orientation val="minMax"/>
        </scaling>
        <delete val="0"/>
        <axPos val="l"/>
        <majorTickMark val="none"/>
        <minorTickMark val="none"/>
        <crossAx val="10"/>
      </valAx>
    </plotArea>
    <legend>
      <legendPos val="b"/>
    </legend>
    <plotVisOnly val="1"/>
    <dispBlanksAs val="gap"/>
  </chart>
</chartSpace>
</file>

<file path=xl/drawings/_rels/drawing1.xml.rels><Relationships xmlns="http://schemas.openxmlformats.org/package/2006/relationships"><Relationship Type="http://schemas.openxmlformats.org/officeDocument/2006/relationships/chart" Target="/xl/charts/chart1.xml" Id="rId1"/></Relationships>
</file>

<file path=xl/drawings/drawing1.xml><?xml version="1.0" encoding="utf-8"?>
<wsDr xmlns="http://schemas.openxmlformats.org/drawingml/2006/spreadsheetDrawing">
  <oneCellAnchor>
    <from>
      <col>1</col>
      <colOff>0</colOff>
      <row>34</row>
      <rowOff>0</rowOff>
    </from>
    <ext cx="9000000" cy="3420000"/>
    <graphicFrame>
      <nvGraphicFramePr>
        <cNvPr id="1" name="Chart 1"/>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5.xml.rels><Relationships xmlns="http://schemas.openxmlformats.org/package/2006/relationships"><Relationship Type="http://schemas.openxmlformats.org/officeDocument/2006/relationships/drawing" Target="/xl/drawings/drawing1.xml" Id="rId1"/></Relationships>
</file>

<file path=xl/worksheets/sheet1.xml><?xml version="1.0" encoding="utf-8"?>
<worksheet xmlns="http://schemas.openxmlformats.org/spreadsheetml/2006/main">
  <sheetPr>
    <outlinePr summaryBelow="1" summaryRight="1"/>
    <pageSetUpPr fitToPage="1"/>
  </sheetPr>
  <dimension ref="A1:C28"/>
  <sheetViews>
    <sheetView showGridLines="0" workbookViewId="0">
      <selection activeCell="A1" sqref="A1"/>
    </sheetView>
  </sheetViews>
  <sheetFormatPr baseColWidth="8" defaultRowHeight="15"/>
  <cols>
    <col width="3" customWidth="1" min="1" max="1"/>
    <col width="30" customWidth="1" min="2" max="2"/>
    <col width="108" customWidth="1" min="3" max="3"/>
  </cols>
  <sheetData>
    <row r="1" ht="32" customHeight="1">
      <c r="A1" s="1" t="inlineStr">
        <is>
          <t>GT AI Opportunity Discovery Toolkit</t>
        </is>
      </c>
    </row>
    <row r="2" ht="32" customHeight="1">
      <c r="A2" s="2" t="inlineStr">
        <is>
          <t>Where exactly does AI fit in this organisation - and where is automation enough? A facilitated workshop tool of the GT AI Strategy &amp; Roadmap service.</t>
        </is>
      </c>
    </row>
    <row r="4" ht="22" customHeight="1">
      <c r="B4" s="3" t="inlineStr">
        <is>
          <t>WHAT THIS TOOLKIT ANSWERS</t>
        </is>
      </c>
    </row>
    <row r="5" ht="44" customHeight="1">
      <c r="B5" s="4" t="inlineStr">
        <is>
          <t>1. Is the organisation positioned for AI?</t>
        </is>
      </c>
      <c r="C5" s="5" t="inlineStr">
        <is>
          <t>Do you have the DATA (digital, joined-up, reliable, with history and outcomes) and the SCALE / CAPACITY (volumes, people, budget, technology team) for AI - or is automation enough for now? Result: one of four archetypes and a ceiling on solution complexity.</t>
        </is>
      </c>
    </row>
    <row r="6" ht="44" customHeight="1">
      <c r="B6" s="4" t="inlineStr">
        <is>
          <t>2. Where exactly does AI fit?</t>
        </is>
      </c>
      <c r="C6" s="5" t="inlineStr">
        <is>
          <t>Process by process: what kind of work is it, which solution family fits (digitise, automate, off-the-shelf AI, configured AI, custom / agentic AI), is the data there, and what is the risk tier?</t>
        </is>
      </c>
    </row>
    <row r="7" ht="44" customHeight="1">
      <c r="B7" s="4" t="inlineStr">
        <is>
          <t>3. What should be done first?</t>
        </is>
      </c>
      <c r="C7" s="5" t="inlineStr">
        <is>
          <t>Value x feasibility, risk-adjusted priority, horizon (H1 / H2 / H3), opportunity map, roadmap lanes and one-page use-case canvases.</t>
        </is>
      </c>
    </row>
    <row r="8" ht="44" customHeight="1">
      <c r="B8" s="4" t="inlineStr">
        <is>
          <t>Not a readiness test</t>
        </is>
      </c>
      <c r="C8" s="5" t="inlineStr">
        <is>
          <t>Governance and capability maturity are measured by the GT AI Readiness &amp; Risk Assessment (AI Ready7-based). This toolkit does not score readiness - it locates the opportunities and the right type of solution for each.</t>
        </is>
      </c>
    </row>
    <row r="10" ht="22" customHeight="1">
      <c r="B10" s="3" t="inlineStr">
        <is>
          <t>HOW TO USE IT (WORKSHOP SEQUENCE)</t>
        </is>
      </c>
    </row>
    <row r="11" ht="34" customHeight="1">
      <c r="B11" s="4" t="inlineStr">
        <is>
          <t>1. AI Position</t>
        </is>
      </c>
      <c r="C11" s="5" t="inlineStr">
        <is>
          <t>Answer 12 questions with leadership, IT and finance (about 30 minutes). Data Position and Scale &amp; Capacity scores place the organisation in an archetype.</t>
        </is>
      </c>
    </row>
    <row r="12" ht="34" customHeight="1">
      <c r="B12" s="4" t="inlineStr">
        <is>
          <t>2. Process Library</t>
        </is>
      </c>
      <c r="C12" s="5" t="inlineStr">
        <is>
          <t>Use the 60+ cross-industry and sector processes (Bahrain priority sectors) as prompts in discovery workshops with each function.</t>
        </is>
      </c>
    </row>
    <row r="13" ht="34" customHeight="1">
      <c r="B13" s="4" t="inlineStr">
        <is>
          <t>3. AI Fit Diagnostic</t>
        </is>
      </c>
      <c r="C13" s="5" t="inlineStr">
        <is>
          <t>List up to 50 processes / pain points and answer 10 inputs each (yellow cells). Solution family, data gate, verdict, value, feasibility, risk tier, quadrant, priority rank, horizon and indicative hours saved calculate automatically.</t>
        </is>
      </c>
    </row>
    <row r="14" ht="34" customHeight="1">
      <c r="B14" s="4" t="inlineStr">
        <is>
          <t>4. Opportunity Map</t>
        </is>
      </c>
      <c r="C14" s="5" t="inlineStr">
        <is>
          <t>Where AI fits by function, the verdict mix, hours released and the top 10 ranked opportunities - the headline output for the client.</t>
        </is>
      </c>
    </row>
    <row r="15" ht="34" customHeight="1">
      <c r="B15" s="4" t="inlineStr">
        <is>
          <t>5. Roadmap</t>
        </is>
      </c>
      <c r="C15" s="5" t="inlineStr">
        <is>
          <t>Opportunities placed automatically in H1 / H2 / H3 lanes plus the enabling foundations they depend on.</t>
        </is>
      </c>
    </row>
    <row r="16" ht="34" customHeight="1">
      <c r="B16" s="4" t="inlineStr">
        <is>
          <t>6. Use-Case Canvas</t>
        </is>
      </c>
      <c r="C16" s="5" t="inlineStr">
        <is>
          <t>Pick an opportunity number; a one-page canvas is produced (solution, data, risk tier, minimum controls, KPIs, next step) for sign-off.</t>
        </is>
      </c>
    </row>
    <row r="17" ht="34" customHeight="1">
      <c r="B17" s="4" t="inlineStr">
        <is>
          <t>Reference</t>
        </is>
      </c>
      <c r="C17" s="5" t="inlineStr">
        <is>
          <t>Solution families, archetypes, verdicts, minimum controls by risk tier and the standards behind each step.</t>
        </is>
      </c>
    </row>
    <row r="18" ht="34" customHeight="1">
      <c r="B18" s="4" t="inlineStr">
        <is>
          <t>Colour legend</t>
        </is>
      </c>
      <c r="C18" s="5" t="inlineStr">
        <is>
          <t>Yellow = input  |  Purple / lavender = header or calculated  |  Verdict colours: green = AI fit now, blue = automate, yellow = data gap, orange = stretch, grey = redesign first</t>
        </is>
      </c>
    </row>
    <row r="20" ht="22" customHeight="1">
      <c r="B20" s="3" t="inlineStr">
        <is>
          <t>DECISION LOGIC (SUMMARY)</t>
        </is>
      </c>
    </row>
    <row r="21" ht="32" customHeight="1">
      <c r="B21" s="4" t="inlineStr">
        <is>
          <t>Solution family</t>
        </is>
      </c>
      <c r="C21" s="5" t="inlineStr">
        <is>
          <t>Determined by the nature of the task (10 task types, ISO/IEC 22989 / OECD-based). Each family has a complexity level 1-5 and a minimum data requirement.</t>
        </is>
      </c>
    </row>
    <row r="22" ht="32" customHeight="1">
      <c r="B22" s="4" t="inlineStr">
        <is>
          <t>Data gate</t>
        </is>
      </c>
      <c r="C22" s="5" t="inlineStr">
        <is>
          <t>Data available for the process &gt;= the family's minimum requirement -&gt; 'Data ready', otherwise 'Data gap'.</t>
        </is>
      </c>
    </row>
    <row r="23" ht="32" customHeight="1">
      <c r="B23" s="4" t="inlineStr">
        <is>
          <t>Organisational fit</t>
        </is>
      </c>
      <c r="C23" s="5" t="inlineStr">
        <is>
          <t>Family level &lt;= the archetype's ceiling -&gt; 'Within current position', otherwise 'Beyond current position'.</t>
        </is>
      </c>
    </row>
    <row r="24" ht="32" customHeight="1">
      <c r="B24" s="4" t="inlineStr">
        <is>
          <t>Verdict (in order)</t>
        </is>
      </c>
      <c r="C24" s="5" t="inlineStr">
        <is>
          <t>Process not standardised -&gt; Redesign first;  family needs no AI -&gt; Automate;  data gap -&gt; AI later;  beyond position -&gt; Stretch;  otherwise -&gt; AI fit now.</t>
        </is>
      </c>
    </row>
    <row r="25" ht="32" customHeight="1">
      <c r="B25" s="4" t="inlineStr">
        <is>
          <t>Value (1-5)</t>
        </is>
      </c>
      <c r="C25" s="5" t="inlineStr">
        <is>
          <t>30% volume + 25% effort (hours / month) + 25% strategic importance + 20% customer / quality impact.</t>
        </is>
      </c>
    </row>
    <row r="26" ht="32" customHeight="1">
      <c r="B26" s="4" t="inlineStr">
        <is>
          <t>Feasibility (1-5)</t>
        </is>
      </c>
      <c r="C26" s="5" t="inlineStr">
        <is>
          <t>30% data fit + 25% process standardisation + 25% solution simplicity + 20% organisational fit.</t>
        </is>
      </c>
    </row>
    <row r="27" ht="32" customHeight="1">
      <c r="B27" s="4" t="inlineStr">
        <is>
          <t>Risk tier</t>
        </is>
      </c>
      <c r="C27" s="5" t="inlineStr">
        <is>
          <t>AIAF-style inherent risk: affects individuals' rights / access (+2), personal or confidential data (+1), autonomy (+0 to +2), customer / quality impact of errors (+1 if 4, +2 if 5). 4+ = High, 2-3 = Medium, 0-1 = Low; non-AI automation is Low unless it affects individuals.</t>
        </is>
      </c>
    </row>
    <row r="28" ht="32" customHeight="1">
      <c r="B28" s="4" t="inlineStr">
        <is>
          <t>Priority</t>
        </is>
      </c>
      <c r="C28" s="5" t="inlineStr">
        <is>
          <t>Value x Feasibility, reduced 15% for High risk and 20% where the process must be redesigned first. Ranked 1..n.</t>
        </is>
      </c>
    </row>
  </sheetData>
  <mergeCells count="5">
    <mergeCell ref="A1:C1"/>
    <mergeCell ref="B20:C20"/>
    <mergeCell ref="B10:C10"/>
    <mergeCell ref="B4:C4"/>
    <mergeCell ref="A2:C2"/>
  </mergeCells>
  <printOptions gridLines="0"/>
  <pageMargins left="0.5" right="0.5" top="0.75" bottom="0.75" header="0.25" footer="0.25"/>
  <pageSetup orientation="portrait" paperSize="9" fitToHeight="0" fitToWidth="1"/>
  <headerFooter>
    <oddHeader/>
    <oddFooter>&amp;L&amp;8 GT AI Opportunity Discovery Toolkit&amp;R&amp;8 Page &amp;P of &amp;N</oddFooter>
    <evenHeader/>
    <evenFooter/>
    <firstHeader/>
    <firstFooter/>
  </headerFooter>
</worksheet>
</file>

<file path=xl/worksheets/sheet2.xml><?xml version="1.0" encoding="utf-8"?>
<worksheet xmlns="http://schemas.openxmlformats.org/spreadsheetml/2006/main">
  <sheetPr>
    <outlinePr summaryBelow="1" summaryRight="1"/>
    <pageSetUpPr fitToPage="1"/>
  </sheetPr>
  <dimension ref="A1:F40"/>
  <sheetViews>
    <sheetView showGridLines="0" workbookViewId="0">
      <selection activeCell="A1" sqref="A1"/>
    </sheetView>
  </sheetViews>
  <sheetFormatPr baseColWidth="8" defaultRowHeight="15"/>
  <cols>
    <col width="6" customWidth="1" min="1" max="1"/>
    <col width="46" customWidth="1" min="2" max="2"/>
    <col width="44" customWidth="1" min="3" max="3"/>
    <col width="34" customWidth="1" min="4" max="4"/>
    <col width="8" customWidth="1" min="5" max="5"/>
    <col width="4" customWidth="1" min="6" max="6"/>
  </cols>
  <sheetData>
    <row r="1" ht="32" customHeight="1">
      <c r="A1" s="1" t="inlineStr">
        <is>
          <t>1. Organisational AI Position</t>
        </is>
      </c>
    </row>
    <row r="2" ht="32" customHeight="1">
      <c r="A2" s="2" t="inlineStr">
        <is>
          <t>Does the organisation have the data and the scale / capacity for AI - or is automation enough for now? Select one answer per question (yellow). This screen does not measure governance maturity.</t>
        </is>
      </c>
    </row>
    <row r="4">
      <c r="A4" s="6" t="inlineStr"/>
      <c r="B4" s="4" t="inlineStr">
        <is>
          <t>Organisation</t>
        </is>
      </c>
      <c r="C4" s="7" t="inlineStr">
        <is>
          <t>Grant Thornton Bahrain</t>
        </is>
      </c>
      <c r="D4" s="8" t="n"/>
    </row>
    <row r="5">
      <c r="A5" s="6" t="inlineStr"/>
      <c r="B5" s="4" t="inlineStr">
        <is>
          <t>Sector</t>
        </is>
      </c>
      <c r="C5" s="7" t="inlineStr">
        <is>
          <t>Professional services</t>
        </is>
      </c>
      <c r="D5" s="8" t="n"/>
    </row>
    <row r="6">
      <c r="A6" s="6" t="inlineStr"/>
      <c r="B6" s="4" t="inlineStr">
        <is>
          <t>Scope of discovery</t>
        </is>
      </c>
      <c r="C6" s="7" t="inlineStr">
        <is>
          <t>Whole firm - audit, tax, advisory and support functions</t>
        </is>
      </c>
      <c r="D6" s="8" t="n"/>
    </row>
    <row r="7">
      <c r="A7" s="6" t="inlineStr"/>
      <c r="B7" s="4" t="inlineStr">
        <is>
          <t>Assessment date</t>
        </is>
      </c>
      <c r="C7" s="7" t="inlineStr">
        <is>
          <t>03/10/2026</t>
        </is>
      </c>
      <c r="D7" s="8" t="n"/>
    </row>
    <row r="8">
      <c r="A8" s="6" t="inlineStr"/>
      <c r="B8" s="4" t="inlineStr">
        <is>
          <t>Facilitated by</t>
        </is>
      </c>
      <c r="C8" s="7" t="inlineStr">
        <is>
          <t>GT AI Service Line</t>
        </is>
      </c>
      <c r="D8" s="8" t="n"/>
    </row>
    <row r="10" ht="24" customHeight="1">
      <c r="A10" s="9" t="inlineStr">
        <is>
          <t>#</t>
        </is>
      </c>
      <c r="B10" s="9" t="inlineStr">
        <is>
          <t>Question</t>
        </is>
      </c>
      <c r="C10" s="9" t="inlineStr">
        <is>
          <t>Answer (select)</t>
        </is>
      </c>
      <c r="D10" s="9" t="inlineStr">
        <is>
          <t>Why it matters</t>
        </is>
      </c>
      <c r="E10" s="9" t="inlineStr">
        <is>
          <t>Points</t>
        </is>
      </c>
    </row>
    <row r="11" ht="22" customHeight="1">
      <c r="A11" s="10" t="inlineStr">
        <is>
          <t>A. DATA POSITION - is the data there for AI?</t>
        </is>
      </c>
    </row>
    <row r="12" ht="42" customHeight="1">
      <c r="A12" s="11" t="inlineStr">
        <is>
          <t>D1</t>
        </is>
      </c>
      <c r="B12" s="5" t="inlineStr">
        <is>
          <t>How are your core business processes run today?</t>
        </is>
      </c>
      <c r="C12" s="12" t="inlineStr">
        <is>
          <t>Core systems (e.g., ERP, CRM, core banking) for the main processes</t>
        </is>
      </c>
      <c r="D12" s="13" t="inlineStr">
        <is>
          <t>Think of the 3-5 processes that generate most of your revenue or workload.</t>
        </is>
      </c>
      <c r="E12" s="14">
        <f>IFERROR(MATCH(C12,Lists!$S$2:$S$5,0),"")</f>
        <v>3</v>
      </c>
    </row>
    <row r="13" ht="42" customHeight="1">
      <c r="A13" s="11" t="inlineStr">
        <is>
          <t>D2</t>
        </is>
      </c>
      <c r="B13" s="5" t="inlineStr">
        <is>
          <t>How much digital history do you keep for your core activities (transactions, customers, cases, operations)?</t>
        </is>
      </c>
      <c r="C13" s="12" t="inlineStr">
        <is>
          <t>3+ years in core systems</t>
        </is>
      </c>
      <c r="D13" s="13" t="inlineStr">
        <is>
          <t>AI that predicts, scores or detects patterns learns from history.</t>
        </is>
      </c>
      <c r="E13" s="14">
        <f>IFERROR(MATCH(C13,Lists!$T$2:$T$5,0),"")</f>
        <v>3</v>
      </c>
    </row>
    <row r="14" ht="42" customHeight="1">
      <c r="A14" s="11" t="inlineStr">
        <is>
          <t>D3</t>
        </is>
      </c>
      <c r="B14" s="5" t="inlineStr">
        <is>
          <t>How reliable is that data, and does it have owners?</t>
        </is>
      </c>
      <c r="C14" s="12" t="inlineStr">
        <is>
          <t>Some owners; known quality issues not tracked</t>
        </is>
      </c>
      <c r="D14" s="13" t="inlineStr">
        <is>
          <t>Data quality and ownership - ISO/IEC 5259 / ISO/IEC 42001 Annex A.7.</t>
        </is>
      </c>
      <c r="E14" s="14">
        <f>IFERROR(MATCH(C14,Lists!$U$2:$U$5,0),"")</f>
        <v>2</v>
      </c>
    </row>
    <row r="15" ht="42" customHeight="1">
      <c r="A15" s="11" t="inlineStr">
        <is>
          <t>D4</t>
        </is>
      </c>
      <c r="B15" s="5" t="inlineStr">
        <is>
          <t>Where do your documents and knowledge live (contracts, policies, reports, emails, manuals)?</t>
        </is>
      </c>
      <c r="C15" s="12" t="inlineStr">
        <is>
          <t>A document-management system or SharePoint with structure</t>
        </is>
      </c>
      <c r="D15" s="13" t="inlineStr">
        <is>
          <t>Generative AI and knowledge assistants work on documents rather than tables.</t>
        </is>
      </c>
      <c r="E15" s="14">
        <f>IFERROR(MATCH(C15,Lists!$V$2:$V$5,0),"")</f>
        <v>3</v>
      </c>
    </row>
    <row r="16" ht="42" customHeight="1">
      <c r="A16" s="11" t="inlineStr">
        <is>
          <t>D5</t>
        </is>
      </c>
      <c r="B16" s="5" t="inlineStr">
        <is>
          <t>Can data move between your systems?</t>
        </is>
      </c>
      <c r="C16" s="12" t="inlineStr">
        <is>
          <t>Some APIs or integrations between key systems</t>
        </is>
      </c>
      <c r="D16" s="13" t="inlineStr">
        <is>
          <t>Integration determines whether AI outputs can be used inside the workflow.</t>
        </is>
      </c>
      <c r="E16" s="14">
        <f>IFERROR(MATCH(C16,Lists!$W$2:$W$5,0),"")</f>
        <v>3</v>
      </c>
    </row>
    <row r="17" ht="42" customHeight="1">
      <c r="A17" s="11" t="inlineStr">
        <is>
          <t>D6</t>
        </is>
      </c>
      <c r="B17" s="5" t="inlineStr">
        <is>
          <t>Do you record outcomes against your data (e.g., fraud confirmed, claim paid, customer churned, invoice disputed)?</t>
        </is>
      </c>
      <c r="C17" s="12" t="inlineStr">
        <is>
          <t>Occasionally / informally</t>
        </is>
      </c>
      <c r="D17" s="13" t="inlineStr">
        <is>
          <t>Recorded outcomes ('labels') are what supervised machine learning needs.</t>
        </is>
      </c>
      <c r="E17" s="14">
        <f>IFERROR(MATCH(C17,Lists!$X$2:$X$5,0),"")</f>
        <v>2</v>
      </c>
    </row>
    <row r="18" ht="22" customHeight="1">
      <c r="A18" s="10" t="inlineStr">
        <is>
          <t>B. SCALE &amp; CAPACITY - is there enough volume and capacity to justify and run AI?</t>
        </is>
      </c>
    </row>
    <row r="19" ht="42" customHeight="1">
      <c r="A19" s="11" t="inlineStr">
        <is>
          <t>S1</t>
        </is>
      </c>
      <c r="B19" s="5" t="inlineStr">
        <is>
          <t>How many employees does the organisation have?</t>
        </is>
      </c>
      <c r="C19" s="12" t="inlineStr">
        <is>
          <t>50 - 249</t>
        </is>
      </c>
      <c r="D19" s="13" t="inlineStr">
        <is>
          <t>Scale drives the size of the prize and what can be sustained.</t>
        </is>
      </c>
      <c r="E19" s="14">
        <f>IFERROR(MATCH(C19,Lists!$Y$2:$Y$5,0),"")</f>
        <v>2</v>
      </c>
    </row>
    <row r="20" ht="42" customHeight="1">
      <c r="A20" s="11" t="inlineStr">
        <is>
          <t>S2</t>
        </is>
      </c>
      <c r="B20" s="5" t="inlineStr">
        <is>
          <t>How many repetitive transactions / cases does your largest process handle per month?</t>
        </is>
      </c>
      <c r="C20" s="12" t="inlineStr">
        <is>
          <t>500 - 5,000</t>
        </is>
      </c>
      <c r="D20" s="13" t="inlineStr">
        <is>
          <t>e.g., invoices, applications, claims, customer requests, bookings.</t>
        </is>
      </c>
      <c r="E20" s="14">
        <f>IFERROR(MATCH(C20,Lists!$Z$2:$Z$5,0),"")</f>
        <v>2</v>
      </c>
    </row>
    <row r="21" ht="42" customHeight="1">
      <c r="A21" s="11" t="inlineStr">
        <is>
          <t>S3</t>
        </is>
      </c>
      <c r="B21" s="5" t="inlineStr">
        <is>
          <t>What technology capability do you have in-house?</t>
        </is>
      </c>
      <c r="C21" s="12" t="inlineStr">
        <is>
          <t>Small IT team (support and vendor management)</t>
        </is>
      </c>
      <c r="D21" s="13" t="inlineStr">
        <is>
          <t>Who would configure, integrate and run a solution?</t>
        </is>
      </c>
      <c r="E21" s="14">
        <f>IFERROR(MATCH(C21,Lists!$AA$2:$AA$5,0),"")</f>
        <v>2</v>
      </c>
    </row>
    <row r="22" ht="42" customHeight="1">
      <c r="A22" s="11" t="inlineStr">
        <is>
          <t>S4</t>
        </is>
      </c>
      <c r="B22" s="5" t="inlineStr">
        <is>
          <t>What budget could be made available for digital / AI initiatives in the next 12 months?</t>
        </is>
      </c>
      <c r="C22" s="12" t="inlineStr">
        <is>
          <t>BHD 50,000 - 250,000</t>
        </is>
      </c>
      <c r="D22" s="13" t="inlineStr">
        <is>
          <t>Indicative only - used to size the type of solution that is realistic.</t>
        </is>
      </c>
      <c r="E22" s="14">
        <f>IFERROR(MATCH(C22,Lists!$AB$2:$AB$5,0),"")</f>
        <v>3</v>
      </c>
    </row>
    <row r="23" ht="42" customHeight="1">
      <c r="A23" s="11" t="inlineStr">
        <is>
          <t>S5</t>
        </is>
      </c>
      <c r="B23" s="5" t="inlineStr">
        <is>
          <t>How many customer / citizen interactions do you handle through digital channels?</t>
        </is>
      </c>
      <c r="C23" s="12" t="inlineStr">
        <is>
          <t>Moderate</t>
        </is>
      </c>
      <c r="D23" s="13" t="inlineStr">
        <is>
          <t>Web, app, email, WhatsApp, call centre.</t>
        </is>
      </c>
      <c r="E23" s="14">
        <f>IFERROR(MATCH(C23,Lists!$AC$2:$AC$5,0),"")</f>
        <v>2</v>
      </c>
    </row>
    <row r="24" ht="42" customHeight="1">
      <c r="A24" s="11" t="inlineStr">
        <is>
          <t>S6</t>
        </is>
      </c>
      <c r="B24" s="5" t="inlineStr">
        <is>
          <t>What capacity do you have to run change projects alongside day-to-day work?</t>
        </is>
      </c>
      <c r="C24" s="12" t="inlineStr">
        <is>
          <t>Several projects in parallel</t>
        </is>
      </c>
      <c r="D24" s="13" t="inlineStr">
        <is>
          <t>Leadership bandwidth, project management, change management.</t>
        </is>
      </c>
      <c r="E24" s="14">
        <f>IFERROR(MATCH(C24,Lists!$AD$2:$AD$5,0),"")</f>
        <v>3</v>
      </c>
    </row>
    <row r="26" ht="22" customHeight="1">
      <c r="A26" s="3" t="inlineStr">
        <is>
          <t>RESULT - AI POSITION</t>
        </is>
      </c>
    </row>
    <row r="27" ht="20" customHeight="1">
      <c r="B27" s="4" t="inlineStr">
        <is>
          <t>Answered</t>
        </is>
      </c>
      <c r="C27" s="5" t="str">
        <f>COUNT(E12,E13,E14,E15,E16,E17)+COUNT(E19,E20,E21,E22,E23,E24)&amp;" of 12"</f>
        <v>12 of 12</v>
      </c>
      <c r="D27" s="15" t="n"/>
      <c r="E27" s="15" t="n"/>
    </row>
    <row r="28" ht="20" customHeight="1">
      <c r="B28" s="4" t="inlineStr">
        <is>
          <t>Data Position score</t>
        </is>
      </c>
      <c r="C28" s="16">
        <f>IF(COUNT(E12,E13,E14,E15,E16,E17)=6,(N(E12)+N(E13)+N(E14)+N(E15)+N(E16)+N(E17)-6)/18,"")</f>
        <v>0.555555555555556</v>
      </c>
      <c r="D28" s="15" t="n"/>
      <c r="E28" s="15" t="n"/>
    </row>
    <row r="29" ht="20" customHeight="1">
      <c r="B29" s="4" t="inlineStr">
        <is>
          <t>Scale &amp; Capacity score</t>
        </is>
      </c>
      <c r="C29" s="16">
        <f>IF(COUNT(E19,E20,E21,E22,E23,E24)=6,(N(E19)+N(E20)+N(E21)+N(E22)+N(E23)+N(E24)-6)/18,"")</f>
        <v>0.444444444444444</v>
      </c>
      <c r="D29" s="15" t="n"/>
      <c r="E29" s="15" t="n"/>
    </row>
    <row r="30" ht="20" customHeight="1">
      <c r="B30" s="4" t="inlineStr">
        <is>
          <t>Archetype</t>
        </is>
      </c>
      <c r="C30" s="5">
        <f>IF(OR(C28="",C29=""),"",IF(C28&lt;0.5,IF(C29&lt;0.5,1,2),IF(C29&lt;0.5,3,4)))</f>
        <v>3</v>
      </c>
      <c r="D30" s="15" t="n"/>
      <c r="E30" s="15" t="n"/>
    </row>
    <row r="31" ht="20" customHeight="1">
      <c r="B31" s="4" t="inlineStr">
        <is>
          <t>AI position</t>
        </is>
      </c>
      <c r="C31" s="17" t="str">
        <f>IF(C30="","Complete all 12 questions",INDEX(Lists!$AH$2:$AH$5,C30))</f>
        <v>Buy and configure AI</v>
      </c>
      <c r="D31" s="18" t="n"/>
      <c r="E31" s="18" t="n"/>
    </row>
    <row r="32" ht="20" customHeight="1">
      <c r="B32" s="4" t="inlineStr">
        <is>
          <t>Solution ceiling today</t>
        </is>
      </c>
      <c r="C32" s="19" t="str">
        <f>IF(C30="","",INDEX(Lists!$AI$2:$AI$5,C30)&amp;" - "&amp;INDEX(Lists!$AM$2:$AM$6,INDEX(Lists!$AI$2:$AI$5,C30)))</f>
        <v>4 - Configured AI on own data</v>
      </c>
      <c r="D32" s="18" t="n"/>
      <c r="E32" s="18" t="n"/>
    </row>
    <row r="33" ht="44" customHeight="1">
      <c r="B33" s="4" t="inlineStr">
        <is>
          <t>What it means</t>
        </is>
      </c>
      <c r="C33" s="5" t="str">
        <f>IF(C30="","",INDEX(Lists!$AJ$2:$AJ$5,C30))</f>
        <v>Good data, limited scale / capacity: adopt and configure proven AI products rather than build.</v>
      </c>
      <c r="D33" s="15" t="n"/>
      <c r="E33" s="15" t="n"/>
    </row>
    <row r="34" ht="58" customHeight="1">
      <c r="B34" s="4" t="inlineStr">
        <is>
          <t>Detail</t>
        </is>
      </c>
      <c r="C34" s="5" t="str">
        <f>IF(C30="","",INDEX(Lists!$AK$2:$AK$5,C30))</f>
        <v>The data supports AI, but in-house capacity and scale favour buying. Configure AI products on your own data (knowledge assistants, intelligent document processing, conversational AI, vendor ML modules). Custom models and autonomous agents only through partners and pilots.</v>
      </c>
      <c r="D34" s="15" t="n"/>
      <c r="E34" s="15" t="n"/>
    </row>
    <row r="35" ht="44" customHeight="1">
      <c r="B35" s="4" t="inlineStr">
        <is>
          <t>Foundation flag</t>
        </is>
      </c>
      <c r="C35" s="5" t="str">
        <f>IF(E12=1,"Core processes are largely manual / paper-based: digitise them first - AI and automation need digital inputs.",IF(AND(N(E13)&gt;0,N(E13)&lt;=2,N(E17)&lt;=1),"Little digital history and no recorded outcomes: predictive / ML use cases will fail the data gate until data is captured.","No foundation red flags from the position screen."))</f>
        <v>No foundation red flags from the position screen.</v>
      </c>
      <c r="D35" s="15" t="n"/>
      <c r="E35" s="15" t="n"/>
    </row>
    <row r="37" ht="22" customHeight="1">
      <c r="A37" s="3" t="inlineStr">
        <is>
          <t>POSITION MATRIX - the highlighted box is where the organisation sits</t>
        </is>
      </c>
    </row>
    <row r="38" ht="66" customHeight="1">
      <c r="A38" s="20" t="inlineStr"/>
      <c r="B38" s="21" t="inlineStr">
        <is>
          <t>Data Position HIGH  (&gt;= 50%)</t>
        </is>
      </c>
      <c r="C38" s="22" t="inlineStr">
        <is>
          <t>C. Buy and configure AI
Good data, limited scale / capacity: adopt and configure proven AI products rather than build.</t>
        </is>
      </c>
      <c r="D38" s="22" t="inlineStr">
        <is>
          <t>D. Build and scale AI
Data and scale support custom AI: build a portfolio, including advanced analytics and governed agentic AI.</t>
        </is>
      </c>
    </row>
    <row r="39" ht="66" customHeight="1">
      <c r="B39" s="21" t="inlineStr">
        <is>
          <t>Data Position LOW  (&lt; 50%)</t>
        </is>
      </c>
      <c r="C39" s="22" t="inlineStr">
        <is>
          <t>A. Automation is enough - for now
Digitise and automate first; use AI that is already built into everyday tools.</t>
        </is>
      </c>
      <c r="D39" s="22" t="inlineStr">
        <is>
          <t>B. Data foundations first
Scale is there but the data is not: fix data foundations while automating and adopting off-the-shelf AI.</t>
        </is>
      </c>
    </row>
    <row r="40" ht="22" customHeight="1">
      <c r="C40" s="21" t="inlineStr">
        <is>
          <t>Scale &amp; Capacity LOW  (&lt; 50%)</t>
        </is>
      </c>
      <c r="D40" s="21" t="inlineStr">
        <is>
          <t>Scale &amp; Capacity HIGH  (&gt;= 50%)</t>
        </is>
      </c>
    </row>
  </sheetData>
  <mergeCells count="20">
    <mergeCell ref="C6:D6"/>
    <mergeCell ref="C31:E31"/>
    <mergeCell ref="C5:D5"/>
    <mergeCell ref="A11:E11"/>
    <mergeCell ref="C4:D4"/>
    <mergeCell ref="A2:F2"/>
    <mergeCell ref="C27:E27"/>
    <mergeCell ref="A37:E37"/>
    <mergeCell ref="A18:E18"/>
    <mergeCell ref="C32:E32"/>
    <mergeCell ref="C28:E28"/>
    <mergeCell ref="A26:E26"/>
    <mergeCell ref="C30:E30"/>
    <mergeCell ref="C34:E34"/>
    <mergeCell ref="C8:D8"/>
    <mergeCell ref="C33:E33"/>
    <mergeCell ref="C7:D7"/>
    <mergeCell ref="A1:F1"/>
    <mergeCell ref="C29:E29"/>
    <mergeCell ref="C35:E35"/>
  </mergeCells>
  <conditionalFormatting sqref="C38">
    <cfRule type="expression" priority="1" dxfId="0">
      <formula>'1. AI Position'!$C$30=3</formula>
    </cfRule>
  </conditionalFormatting>
  <conditionalFormatting sqref="D38">
    <cfRule type="expression" priority="2" dxfId="0">
      <formula>'1. AI Position'!$C$30=4</formula>
    </cfRule>
  </conditionalFormatting>
  <conditionalFormatting sqref="C39">
    <cfRule type="expression" priority="3" dxfId="0">
      <formula>'1. AI Position'!$C$30=1</formula>
    </cfRule>
  </conditionalFormatting>
  <conditionalFormatting sqref="D39">
    <cfRule type="expression" priority="4" dxfId="0">
      <formula>'1. AI Position'!$C$30=2</formula>
    </cfRule>
  </conditionalFormatting>
  <dataValidations count="13">
    <dataValidation sqref="C5" showDropDown="0" showInputMessage="0" showErrorMessage="1" allowBlank="1" type="list">
      <formula1>=Lists!$Q$2:$Q$15</formula1>
    </dataValidation>
    <dataValidation sqref="C12" showDropDown="0" showInputMessage="0" showErrorMessage="1" allowBlank="1" type="list">
      <formula1>=Lists!$S$2:$S$5</formula1>
    </dataValidation>
    <dataValidation sqref="C13" showDropDown="0" showInputMessage="0" showErrorMessage="1" allowBlank="1" type="list">
      <formula1>=Lists!$T$2:$T$5</formula1>
    </dataValidation>
    <dataValidation sqref="C14" showDropDown="0" showInputMessage="0" showErrorMessage="1" allowBlank="1" type="list">
      <formula1>=Lists!$U$2:$U$5</formula1>
    </dataValidation>
    <dataValidation sqref="C15" showDropDown="0" showInputMessage="0" showErrorMessage="1" allowBlank="1" type="list">
      <formula1>=Lists!$V$2:$V$5</formula1>
    </dataValidation>
    <dataValidation sqref="C16" showDropDown="0" showInputMessage="0" showErrorMessage="1" allowBlank="1" type="list">
      <formula1>=Lists!$W$2:$W$5</formula1>
    </dataValidation>
    <dataValidation sqref="C17" showDropDown="0" showInputMessage="0" showErrorMessage="1" allowBlank="1" type="list">
      <formula1>=Lists!$X$2:$X$5</formula1>
    </dataValidation>
    <dataValidation sqref="C19" showDropDown="0" showInputMessage="0" showErrorMessage="1" allowBlank="1" type="list">
      <formula1>=Lists!$Y$2:$Y$5</formula1>
    </dataValidation>
    <dataValidation sqref="C20" showDropDown="0" showInputMessage="0" showErrorMessage="1" allowBlank="1" type="list">
      <formula1>=Lists!$Z$2:$Z$5</formula1>
    </dataValidation>
    <dataValidation sqref="C21" showDropDown="0" showInputMessage="0" showErrorMessage="1" allowBlank="1" type="list">
      <formula1>=Lists!$AA$2:$AA$5</formula1>
    </dataValidation>
    <dataValidation sqref="C22" showDropDown="0" showInputMessage="0" showErrorMessage="1" allowBlank="1" type="list">
      <formula1>=Lists!$AB$2:$AB$5</formula1>
    </dataValidation>
    <dataValidation sqref="C23" showDropDown="0" showInputMessage="0" showErrorMessage="1" allowBlank="1" type="list">
      <formula1>=Lists!$AC$2:$AC$5</formula1>
    </dataValidation>
    <dataValidation sqref="C24" showDropDown="0" showInputMessage="0" showErrorMessage="1" allowBlank="1" type="list">
      <formula1>=Lists!$AD$2:$AD$5</formula1>
    </dataValidation>
  </dataValidations>
  <printOptions gridLines="0"/>
  <pageMargins left="0.5" right="0.5" top="0.75" bottom="0.75" header="0.25" footer="0.25"/>
  <pageSetup orientation="portrait" paperSize="9" fitToHeight="1" fitToWidth="1"/>
  <headerFooter>
    <oddHeader/>
    <oddFooter>&amp;L&amp;8 GT AI Opportunity Discovery Toolkit&amp;R&amp;8 Page &amp;P of &amp;N</oddFooter>
    <evenHeader/>
    <evenFooter/>
    <firstHeader/>
    <firstFooter/>
  </headerFooter>
</worksheet>
</file>

<file path=xl/worksheets/sheet3.xml><?xml version="1.0" encoding="utf-8"?>
<worksheet xmlns="http://schemas.openxmlformats.org/spreadsheetml/2006/main">
  <sheetPr>
    <outlinePr summaryBelow="1" summaryRight="1"/>
    <pageSetUpPr fitToPage="1"/>
  </sheetPr>
  <dimension ref="A1:F67"/>
  <sheetViews>
    <sheetView showGridLines="0" workbookViewId="0">
      <pane ySplit="4" topLeftCell="A5" activePane="bottomLeft" state="frozen"/>
      <selection pane="bottomLeft" activeCell="A1" sqref="A1"/>
    </sheetView>
  </sheetViews>
  <sheetFormatPr baseColWidth="8" defaultRowHeight="15"/>
  <cols>
    <col width="5" customWidth="1" min="1" max="1"/>
    <col width="26" customWidth="1" min="2" max="2"/>
    <col width="40" customWidth="1" min="3" max="3"/>
    <col width="40" customWidth="1" min="4" max="4"/>
    <col width="46" customWidth="1" min="5" max="5"/>
    <col width="30" customWidth="1" min="6" max="6"/>
  </cols>
  <sheetData>
    <row r="1" ht="32" customHeight="1">
      <c r="A1" s="1" t="inlineStr">
        <is>
          <t>2. Process Library - discovery prompts</t>
        </is>
      </c>
    </row>
    <row r="2" ht="32" customHeight="1">
      <c r="A2" s="2" t="inlineStr">
        <is>
          <t>Cross-industry processes (APQC-style functions) plus Bahrain priority-sector processes. Use in workshops as prompts; copy relevant processes into the AI Fit Diagnostic and adapt the pain point. The suggested task nature is typical - confirm it with the process owner.</t>
        </is>
      </c>
    </row>
    <row r="4">
      <c r="A4" s="9" t="inlineStr">
        <is>
          <t>#</t>
        </is>
      </c>
      <c r="B4" s="9" t="inlineStr">
        <is>
          <t>Function</t>
        </is>
      </c>
      <c r="C4" s="9" t="inlineStr">
        <is>
          <t>Process / activity</t>
        </is>
      </c>
      <c r="D4" s="9" t="inlineStr">
        <is>
          <t>Typical pain point</t>
        </is>
      </c>
      <c r="E4" s="9" t="inlineStr">
        <is>
          <t>Typical task nature -&gt; solution family</t>
        </is>
      </c>
      <c r="F4" s="9" t="inlineStr">
        <is>
          <t>Typical sectors</t>
        </is>
      </c>
    </row>
    <row r="5" ht="30" customHeight="1">
      <c r="A5" s="22" t="n">
        <v>1</v>
      </c>
      <c r="B5" s="5" t="inlineStr">
        <is>
          <t>Finance &amp; accounting</t>
        </is>
      </c>
      <c r="C5" s="23" t="inlineStr">
        <is>
          <t>Supplier invoice processing (AP)</t>
        </is>
      </c>
      <c r="D5" s="5" t="inlineStr">
        <is>
          <t>Manual keying of invoices from PDF / email into the ERP</t>
        </is>
      </c>
      <c r="E5" s="24" t="inlineStr">
        <is>
          <t>Extract information from documents, forms or emails  -&gt;  Intelligent document processing (IDP)</t>
        </is>
      </c>
      <c r="F5" s="24" t="inlineStr">
        <is>
          <t>All</t>
        </is>
      </c>
    </row>
    <row r="6" ht="30" customHeight="1">
      <c r="A6" s="22" t="n">
        <v>2</v>
      </c>
      <c r="B6" s="5" t="inlineStr">
        <is>
          <t>Finance &amp; accounting</t>
        </is>
      </c>
      <c r="C6" s="23" t="inlineStr">
        <is>
          <t>Three-way match and payment approval</t>
        </is>
      </c>
      <c r="D6" s="5" t="inlineStr">
        <is>
          <t>Checking PO, GRN and invoice by hand</t>
        </is>
      </c>
      <c r="E6" s="24" t="inlineStr">
        <is>
          <t>Check or approve items against fixed criteria (rules, thresholds, checklists)  -&gt;  Rules engine / workflow automation</t>
        </is>
      </c>
      <c r="F6" s="24" t="inlineStr">
        <is>
          <t>All</t>
        </is>
      </c>
    </row>
    <row r="7" ht="30" customHeight="1">
      <c r="A7" s="22" t="n">
        <v>3</v>
      </c>
      <c r="B7" s="5" t="inlineStr">
        <is>
          <t>Finance &amp; accounting</t>
        </is>
      </c>
      <c r="C7" s="23" t="inlineStr">
        <is>
          <t>Bank and intercompany reconciliations</t>
        </is>
      </c>
      <c r="D7" s="5" t="inlineStr">
        <is>
          <t>Spreadsheet-based matching each month</t>
        </is>
      </c>
      <c r="E7" s="24" t="inlineStr">
        <is>
          <t>Produce reports, dashboards or reconciliations from existing data  -&gt;  BI, dashboards &amp; reconciliation automation</t>
        </is>
      </c>
      <c r="F7" s="24" t="inlineStr">
        <is>
          <t>All</t>
        </is>
      </c>
    </row>
    <row r="8" ht="30" customHeight="1">
      <c r="A8" s="22" t="n">
        <v>4</v>
      </c>
      <c r="B8" s="5" t="inlineStr">
        <is>
          <t>Finance &amp; accounting</t>
        </is>
      </c>
      <c r="C8" s="23" t="inlineStr">
        <is>
          <t>Month-end close and management reporting</t>
        </is>
      </c>
      <c r="D8" s="5" t="inlineStr">
        <is>
          <t>Late, manual report packs</t>
        </is>
      </c>
      <c r="E8" s="24" t="inlineStr">
        <is>
          <t>Produce reports, dashboards or reconciliations from existing data  -&gt;  BI, dashboards &amp; reconciliation automation</t>
        </is>
      </c>
      <c r="F8" s="24" t="inlineStr">
        <is>
          <t>All</t>
        </is>
      </c>
    </row>
    <row r="9" ht="30" customHeight="1">
      <c r="A9" s="22" t="n">
        <v>5</v>
      </c>
      <c r="B9" s="5" t="inlineStr">
        <is>
          <t>Finance &amp; accounting</t>
        </is>
      </c>
      <c r="C9" s="23" t="inlineStr">
        <is>
          <t>Expense claims</t>
        </is>
      </c>
      <c r="D9" s="5" t="inlineStr">
        <is>
          <t>Receipt checking and policy compliance</t>
        </is>
      </c>
      <c r="E9" s="24" t="inlineStr">
        <is>
          <t>Extract information from documents, forms or emails  -&gt;  Intelligent document processing (IDP)</t>
        </is>
      </c>
      <c r="F9" s="24" t="inlineStr">
        <is>
          <t>All</t>
        </is>
      </c>
    </row>
    <row r="10" ht="30" customHeight="1">
      <c r="A10" s="22" t="n">
        <v>6</v>
      </c>
      <c r="B10" s="5" t="inlineStr">
        <is>
          <t>Finance &amp; accounting</t>
        </is>
      </c>
      <c r="C10" s="23" t="inlineStr">
        <is>
          <t>Cash-flow forecasting</t>
        </is>
      </c>
      <c r="D10" s="5" t="inlineStr">
        <is>
          <t>Forecasts in spreadsheets, poor accuracy</t>
        </is>
      </c>
      <c r="E10" s="24" t="inlineStr">
        <is>
          <t>Forecast, score, classify or detect anomalies from historical data  -&gt;  Predictive analytics / machine learning</t>
        </is>
      </c>
      <c r="F10" s="24" t="inlineStr">
        <is>
          <t>All</t>
        </is>
      </c>
    </row>
    <row r="11" ht="30" customHeight="1">
      <c r="A11" s="22" t="n">
        <v>7</v>
      </c>
      <c r="B11" s="5" t="inlineStr">
        <is>
          <t>Finance &amp; accounting</t>
        </is>
      </c>
      <c r="C11" s="23" t="inlineStr">
        <is>
          <t>Credit control and collections</t>
        </is>
      </c>
      <c r="D11" s="5" t="inlineStr">
        <is>
          <t>Chasing overdue invoices manually</t>
        </is>
      </c>
      <c r="E11" s="24" t="inlineStr">
        <is>
          <t>Move or re-key data between systems following fixed rules  -&gt;  Workflow automation / RPA</t>
        </is>
      </c>
      <c r="F11" s="24" t="inlineStr">
        <is>
          <t>All</t>
        </is>
      </c>
    </row>
    <row r="12" ht="30" customHeight="1">
      <c r="A12" s="22" t="n">
        <v>8</v>
      </c>
      <c r="B12" s="5" t="inlineStr">
        <is>
          <t>Finance &amp; accounting</t>
        </is>
      </c>
      <c r="C12" s="23" t="inlineStr">
        <is>
          <t>VAT return preparation</t>
        </is>
      </c>
      <c r="D12" s="5" t="inlineStr">
        <is>
          <t>Collating transactions and VAT codes manually</t>
        </is>
      </c>
      <c r="E12" s="24" t="inlineStr">
        <is>
          <t>Move or re-key data between systems following fixed rules  -&gt;  Workflow automation / RPA</t>
        </is>
      </c>
      <c r="F12" s="24" t="inlineStr">
        <is>
          <t>All</t>
        </is>
      </c>
    </row>
    <row r="13" ht="30" customHeight="1">
      <c r="A13" s="22" t="n">
        <v>9</v>
      </c>
      <c r="B13" s="5" t="inlineStr">
        <is>
          <t>Finance &amp; accounting</t>
        </is>
      </c>
      <c r="C13" s="23" t="inlineStr">
        <is>
          <t>Financial statements and disclosure drafting</t>
        </is>
      </c>
      <c r="D13" s="5" t="inlineStr">
        <is>
          <t>Mapping trial balance and drafting notes manually</t>
        </is>
      </c>
      <c r="E13" s="24" t="inlineStr">
        <is>
          <t>Draft, summarise, translate or review text  -&gt;  Generative AI assistant (off-the-shelf)</t>
        </is>
      </c>
      <c r="F13" s="24" t="inlineStr">
        <is>
          <t>All</t>
        </is>
      </c>
    </row>
    <row r="14" ht="30" customHeight="1">
      <c r="A14" s="22" t="n">
        <v>10</v>
      </c>
      <c r="B14" s="5" t="inlineStr">
        <is>
          <t>HR &amp; people</t>
        </is>
      </c>
      <c r="C14" s="23" t="inlineStr">
        <is>
          <t>Recruitment - CV screening and shortlisting</t>
        </is>
      </c>
      <c r="D14" s="5" t="inlineStr">
        <is>
          <t>High application volumes, slow shortlisting</t>
        </is>
      </c>
      <c r="E14" s="24" t="inlineStr">
        <is>
          <t>Forecast, score, classify or detect anomalies from historical data  -&gt;  Predictive analytics / machine learning</t>
        </is>
      </c>
      <c r="F14" s="24" t="inlineStr">
        <is>
          <t>All</t>
        </is>
      </c>
    </row>
    <row r="15" ht="30" customHeight="1">
      <c r="A15" s="22" t="n">
        <v>11</v>
      </c>
      <c r="B15" s="5" t="inlineStr">
        <is>
          <t>HR &amp; people</t>
        </is>
      </c>
      <c r="C15" s="23" t="inlineStr">
        <is>
          <t>Employee HR queries (leave, policies, payslips)</t>
        </is>
      </c>
      <c r="D15" s="5" t="inlineStr">
        <is>
          <t>HR team answering the same questions</t>
        </is>
      </c>
      <c r="E15" s="24" t="inlineStr">
        <is>
          <t>Converse with customers, citizens or staff (chat, voice, WhatsApp)  -&gt;  Conversational AI / virtual agent</t>
        </is>
      </c>
      <c r="F15" s="24" t="inlineStr">
        <is>
          <t>All</t>
        </is>
      </c>
    </row>
    <row r="16" ht="30" customHeight="1">
      <c r="A16" s="22" t="n">
        <v>12</v>
      </c>
      <c r="B16" s="5" t="inlineStr">
        <is>
          <t>HR &amp; people</t>
        </is>
      </c>
      <c r="C16" s="23" t="inlineStr">
        <is>
          <t>Onboarding and offboarding</t>
        </is>
      </c>
      <c r="D16" s="5" t="inlineStr">
        <is>
          <t>Many hand-offs across HR, IT and facilities</t>
        </is>
      </c>
      <c r="E16" s="24" t="inlineStr">
        <is>
          <t>Move or re-key data between systems following fixed rules  -&gt;  Workflow automation / RPA</t>
        </is>
      </c>
      <c r="F16" s="24" t="inlineStr">
        <is>
          <t>All</t>
        </is>
      </c>
    </row>
    <row r="17" ht="30" customHeight="1">
      <c r="A17" s="22" t="n">
        <v>13</v>
      </c>
      <c r="B17" s="5" t="inlineStr">
        <is>
          <t>HR &amp; people</t>
        </is>
      </c>
      <c r="C17" s="23" t="inlineStr">
        <is>
          <t>Payroll inputs and validation</t>
        </is>
      </c>
      <c r="D17" s="5" t="inlineStr">
        <is>
          <t>Manual collation of attendance and allowances</t>
        </is>
      </c>
      <c r="E17" s="24" t="inlineStr">
        <is>
          <t>Check or approve items against fixed criteria (rules, thresholds, checklists)  -&gt;  Rules engine / workflow automation</t>
        </is>
      </c>
      <c r="F17" s="24" t="inlineStr">
        <is>
          <t>All</t>
        </is>
      </c>
    </row>
    <row r="18" ht="30" customHeight="1">
      <c r="A18" s="22" t="n">
        <v>14</v>
      </c>
      <c r="B18" s="5" t="inlineStr">
        <is>
          <t>HR &amp; people</t>
        </is>
      </c>
      <c r="C18" s="23" t="inlineStr">
        <is>
          <t>Job descriptions, policies and training content</t>
        </is>
      </c>
      <c r="D18" s="5" t="inlineStr">
        <is>
          <t>Time-consuming drafting</t>
        </is>
      </c>
      <c r="E18" s="24" t="inlineStr">
        <is>
          <t>Draft, summarise, translate or review text  -&gt;  Generative AI assistant (off-the-shelf)</t>
        </is>
      </c>
      <c r="F18" s="24" t="inlineStr">
        <is>
          <t>All</t>
        </is>
      </c>
    </row>
    <row r="19" ht="30" customHeight="1">
      <c r="A19" s="22" t="n">
        <v>15</v>
      </c>
      <c r="B19" s="5" t="inlineStr">
        <is>
          <t>HR &amp; people</t>
        </is>
      </c>
      <c r="C19" s="23" t="inlineStr">
        <is>
          <t>Attrition risk analysis</t>
        </is>
      </c>
      <c r="D19" s="5" t="inlineStr">
        <is>
          <t>Losing key staff without warning</t>
        </is>
      </c>
      <c r="E19" s="24" t="inlineStr">
        <is>
          <t>Forecast, score, classify or detect anomalies from historical data  -&gt;  Predictive analytics / machine learning</t>
        </is>
      </c>
      <c r="F19" s="24" t="inlineStr">
        <is>
          <t>Medium-large organisations</t>
        </is>
      </c>
    </row>
    <row r="20" ht="30" customHeight="1">
      <c r="A20" s="22" t="n">
        <v>16</v>
      </c>
      <c r="B20" s="5" t="inlineStr">
        <is>
          <t>Customer service &amp; sales</t>
        </is>
      </c>
      <c r="C20" s="23" t="inlineStr">
        <is>
          <t>Customer enquiries (web, WhatsApp, phone)</t>
        </is>
      </c>
      <c r="D20" s="5" t="inlineStr">
        <is>
          <t>Long waits for routine questions</t>
        </is>
      </c>
      <c r="E20" s="24" t="inlineStr">
        <is>
          <t>Converse with customers, citizens or staff (chat, voice, WhatsApp)  -&gt;  Conversational AI / virtual agent</t>
        </is>
      </c>
      <c r="F20" s="24" t="inlineStr">
        <is>
          <t>All</t>
        </is>
      </c>
    </row>
    <row r="21" ht="30" customHeight="1">
      <c r="A21" s="22" t="n">
        <v>17</v>
      </c>
      <c r="B21" s="5" t="inlineStr">
        <is>
          <t>Customer service &amp; sales</t>
        </is>
      </c>
      <c r="C21" s="23" t="inlineStr">
        <is>
          <t>Complaint handling and categorisation</t>
        </is>
      </c>
      <c r="D21" s="5" t="inlineStr">
        <is>
          <t>Manual triage and late responses</t>
        </is>
      </c>
      <c r="E21" s="24" t="inlineStr">
        <is>
          <t>Draft, summarise, translate or review text  -&gt;  Generative AI assistant (off-the-shelf)</t>
        </is>
      </c>
      <c r="F21" s="24" t="inlineStr">
        <is>
          <t>All</t>
        </is>
      </c>
    </row>
    <row r="22" ht="30" customHeight="1">
      <c r="A22" s="22" t="n">
        <v>18</v>
      </c>
      <c r="B22" s="5" t="inlineStr">
        <is>
          <t>Customer service &amp; sales</t>
        </is>
      </c>
      <c r="C22" s="23" t="inlineStr">
        <is>
          <t>Proposal, quotation and tender responses</t>
        </is>
      </c>
      <c r="D22" s="5" t="inlineStr">
        <is>
          <t>Re-writing similar content</t>
        </is>
      </c>
      <c r="E22" s="24" t="inlineStr">
        <is>
          <t>Draft, summarise, translate or review text  -&gt;  Generative AI assistant (off-the-shelf)</t>
        </is>
      </c>
      <c r="F22" s="24" t="inlineStr">
        <is>
          <t>All</t>
        </is>
      </c>
    </row>
    <row r="23" ht="30" customHeight="1">
      <c r="A23" s="22" t="n">
        <v>19</v>
      </c>
      <c r="B23" s="5" t="inlineStr">
        <is>
          <t>Customer service &amp; sales</t>
        </is>
      </c>
      <c r="C23" s="23" t="inlineStr">
        <is>
          <t>Lead scoring and next-best offer</t>
        </is>
      </c>
      <c r="D23" s="5" t="inlineStr">
        <is>
          <t>Sales effort spread evenly across leads</t>
        </is>
      </c>
      <c r="E23" s="24" t="inlineStr">
        <is>
          <t>Forecast, score, classify or detect anomalies from historical data  -&gt;  Predictive analytics / machine learning</t>
        </is>
      </c>
      <c r="F23" s="24" t="inlineStr">
        <is>
          <t>Banking, telecom, retail</t>
        </is>
      </c>
    </row>
    <row r="24" ht="30" customHeight="1">
      <c r="A24" s="22" t="n">
        <v>20</v>
      </c>
      <c r="B24" s="5" t="inlineStr">
        <is>
          <t>Customer service &amp; sales</t>
        </is>
      </c>
      <c r="C24" s="23" t="inlineStr">
        <is>
          <t>Customer churn prediction</t>
        </is>
      </c>
      <c r="D24" s="5" t="inlineStr">
        <is>
          <t>Customers leave without warning</t>
        </is>
      </c>
      <c r="E24" s="24" t="inlineStr">
        <is>
          <t>Forecast, score, classify or detect anomalies from historical data  -&gt;  Predictive analytics / machine learning</t>
        </is>
      </c>
      <c r="F24" s="24" t="inlineStr">
        <is>
          <t>Banking, telecom, insurance</t>
        </is>
      </c>
    </row>
    <row r="25" ht="30" customHeight="1">
      <c r="A25" s="22" t="n">
        <v>21</v>
      </c>
      <c r="B25" s="5" t="inlineStr">
        <is>
          <t>Customer service &amp; sales</t>
        </is>
      </c>
      <c r="C25" s="23" t="inlineStr">
        <is>
          <t>Call summarisation and quality review</t>
        </is>
      </c>
      <c r="D25" s="5" t="inlineStr">
        <is>
          <t>Supervisors sample only a few calls</t>
        </is>
      </c>
      <c r="E25" s="24" t="inlineStr">
        <is>
          <t>Draft, summarise, translate or review text  -&gt;  Generative AI assistant (off-the-shelf)</t>
        </is>
      </c>
      <c r="F25" s="24" t="inlineStr">
        <is>
          <t>Contact centres</t>
        </is>
      </c>
    </row>
    <row r="26" ht="30" customHeight="1">
      <c r="A26" s="22" t="n">
        <v>22</v>
      </c>
      <c r="B26" s="5" t="inlineStr">
        <is>
          <t>Marketing &amp; communications</t>
        </is>
      </c>
      <c r="C26" s="23" t="inlineStr">
        <is>
          <t>Marketing content and social media</t>
        </is>
      </c>
      <c r="D26" s="5" t="inlineStr">
        <is>
          <t>Slow content production</t>
        </is>
      </c>
      <c r="E26" s="24" t="inlineStr">
        <is>
          <t>Draft, summarise, translate or review text  -&gt;  Generative AI assistant (off-the-shelf)</t>
        </is>
      </c>
      <c r="F26" s="24" t="inlineStr">
        <is>
          <t>All</t>
        </is>
      </c>
    </row>
    <row r="27" ht="30" customHeight="1">
      <c r="A27" s="22" t="n">
        <v>23</v>
      </c>
      <c r="B27" s="5" t="inlineStr">
        <is>
          <t>Marketing &amp; communications</t>
        </is>
      </c>
      <c r="C27" s="23" t="inlineStr">
        <is>
          <t>Arabic / English translation</t>
        </is>
      </c>
      <c r="D27" s="5" t="inlineStr">
        <is>
          <t>External translation cost and delays</t>
        </is>
      </c>
      <c r="E27" s="24" t="inlineStr">
        <is>
          <t>Draft, summarise, translate or review text  -&gt;  Generative AI assistant (off-the-shelf)</t>
        </is>
      </c>
      <c r="F27" s="24" t="inlineStr">
        <is>
          <t>All</t>
        </is>
      </c>
    </row>
    <row r="28" ht="30" customHeight="1">
      <c r="A28" s="22" t="n">
        <v>24</v>
      </c>
      <c r="B28" s="5" t="inlineStr">
        <is>
          <t>Marketing &amp; communications</t>
        </is>
      </c>
      <c r="C28" s="23" t="inlineStr">
        <is>
          <t>Customer review and sentiment analysis</t>
        </is>
      </c>
      <c r="D28" s="5" t="inlineStr">
        <is>
          <t>Feedback not analysed</t>
        </is>
      </c>
      <c r="E28" s="24" t="inlineStr">
        <is>
          <t>Draft, summarise, translate or review text  -&gt;  Generative AI assistant (off-the-shelf)</t>
        </is>
      </c>
      <c r="F28" s="24" t="inlineStr">
        <is>
          <t>Hospitality, retail, healthcare</t>
        </is>
      </c>
    </row>
    <row r="29" ht="30" customHeight="1">
      <c r="A29" s="22" t="n">
        <v>25</v>
      </c>
      <c r="B29" s="5" t="inlineStr">
        <is>
          <t>Procurement &amp; supply chain</t>
        </is>
      </c>
      <c r="C29" s="23" t="inlineStr">
        <is>
          <t>Purchase requisition to order</t>
        </is>
      </c>
      <c r="D29" s="5" t="inlineStr">
        <is>
          <t>Approvals chased by email</t>
        </is>
      </c>
      <c r="E29" s="24" t="inlineStr">
        <is>
          <t>Check or approve items against fixed criteria (rules, thresholds, checklists)  -&gt;  Rules engine / workflow automation</t>
        </is>
      </c>
      <c r="F29" s="24" t="inlineStr">
        <is>
          <t>All</t>
        </is>
      </c>
    </row>
    <row r="30" ht="30" customHeight="1">
      <c r="A30" s="22" t="n">
        <v>26</v>
      </c>
      <c r="B30" s="5" t="inlineStr">
        <is>
          <t>Procurement &amp; supply chain</t>
        </is>
      </c>
      <c r="C30" s="23" t="inlineStr">
        <is>
          <t>Supplier onboarding and due diligence</t>
        </is>
      </c>
      <c r="D30" s="5" t="inlineStr">
        <is>
          <t>Collecting documents and checks manually</t>
        </is>
      </c>
      <c r="E30" s="24" t="inlineStr">
        <is>
          <t>Extract information from documents, forms or emails  -&gt;  Intelligent document processing (IDP)</t>
        </is>
      </c>
      <c r="F30" s="24" t="inlineStr">
        <is>
          <t>All</t>
        </is>
      </c>
    </row>
    <row r="31" ht="30" customHeight="1">
      <c r="A31" s="22" t="n">
        <v>27</v>
      </c>
      <c r="B31" s="5" t="inlineStr">
        <is>
          <t>Procurement &amp; supply chain</t>
        </is>
      </c>
      <c r="C31" s="23" t="inlineStr">
        <is>
          <t>Contract review and obligation tracking</t>
        </is>
      </c>
      <c r="D31" s="5" t="inlineStr">
        <is>
          <t>Missed renewal dates and terms</t>
        </is>
      </c>
      <c r="E31" s="24" t="inlineStr">
        <is>
          <t>Draft, summarise, translate or review text  -&gt;  Generative AI assistant (off-the-shelf)</t>
        </is>
      </c>
      <c r="F31" s="24" t="inlineStr">
        <is>
          <t>All</t>
        </is>
      </c>
    </row>
    <row r="32" ht="30" customHeight="1">
      <c r="A32" s="22" t="n">
        <v>28</v>
      </c>
      <c r="B32" s="5" t="inlineStr">
        <is>
          <t>Procurement &amp; supply chain</t>
        </is>
      </c>
      <c r="C32" s="23" t="inlineStr">
        <is>
          <t>Demand forecasting and inventory planning</t>
        </is>
      </c>
      <c r="D32" s="5" t="inlineStr">
        <is>
          <t>Stock-outs and excess stock</t>
        </is>
      </c>
      <c r="E32" s="24" t="inlineStr">
        <is>
          <t>Forecast, score, classify or detect anomalies from historical data  -&gt;  Predictive analytics / machine learning</t>
        </is>
      </c>
      <c r="F32" s="24" t="inlineStr">
        <is>
          <t>Retail, manufacturing, hospitality</t>
        </is>
      </c>
    </row>
    <row r="33" ht="30" customHeight="1">
      <c r="A33" s="22" t="n">
        <v>29</v>
      </c>
      <c r="B33" s="5" t="inlineStr">
        <is>
          <t>Procurement &amp; supply chain</t>
        </is>
      </c>
      <c r="C33" s="23" t="inlineStr">
        <is>
          <t>Route and delivery optimisation</t>
        </is>
      </c>
      <c r="D33" s="5" t="inlineStr">
        <is>
          <t>Inefficient routes, late deliveries</t>
        </is>
      </c>
      <c r="E33" s="24" t="inlineStr">
        <is>
          <t>Forecast, score, classify or detect anomalies from historical data  -&gt;  Predictive analytics / machine learning</t>
        </is>
      </c>
      <c r="F33" s="24" t="inlineStr">
        <is>
          <t>Logistics, retail</t>
        </is>
      </c>
    </row>
    <row r="34" ht="30" customHeight="1">
      <c r="A34" s="22" t="n">
        <v>30</v>
      </c>
      <c r="B34" s="5" t="inlineStr">
        <is>
          <t>Risk, compliance &amp; legal</t>
        </is>
      </c>
      <c r="C34" s="23" t="inlineStr">
        <is>
          <t>KYC / customer due diligence</t>
        </is>
      </c>
      <c r="D34" s="5" t="inlineStr">
        <is>
          <t>Manual document checks and screening</t>
        </is>
      </c>
      <c r="E34" s="24" t="inlineStr">
        <is>
          <t>Extract information from documents, forms or emails  -&gt;  Intelligent document processing (IDP)</t>
        </is>
      </c>
      <c r="F34" s="24" t="inlineStr">
        <is>
          <t>Banking, insurance, professional services</t>
        </is>
      </c>
    </row>
    <row r="35" ht="30" customHeight="1">
      <c r="A35" s="22" t="n">
        <v>31</v>
      </c>
      <c r="B35" s="5" t="inlineStr">
        <is>
          <t>Risk, compliance &amp; legal</t>
        </is>
      </c>
      <c r="C35" s="23" t="inlineStr">
        <is>
          <t>AML transaction monitoring alert triage</t>
        </is>
      </c>
      <c r="D35" s="5" t="inlineStr">
        <is>
          <t>High false-positive alert volumes</t>
        </is>
      </c>
      <c r="E35" s="24" t="inlineStr">
        <is>
          <t>Forecast, score, classify or detect anomalies from historical data  -&gt;  Predictive analytics / machine learning</t>
        </is>
      </c>
      <c r="F35" s="24" t="inlineStr">
        <is>
          <t>Banking, payments</t>
        </is>
      </c>
    </row>
    <row r="36" ht="30" customHeight="1">
      <c r="A36" s="22" t="n">
        <v>32</v>
      </c>
      <c r="B36" s="5" t="inlineStr">
        <is>
          <t>Risk, compliance &amp; legal</t>
        </is>
      </c>
      <c r="C36" s="23" t="inlineStr">
        <is>
          <t>Regulatory change monitoring (CBB, PDPL, NBR)</t>
        </is>
      </c>
      <c r="D36" s="5" t="inlineStr">
        <is>
          <t>Tracking new rules manually</t>
        </is>
      </c>
      <c r="E36" s="24" t="inlineStr">
        <is>
          <t>Answer questions from internal knowledge, policies or past work  -&gt;  GenAI knowledge assistant (RAG on own content)</t>
        </is>
      </c>
      <c r="F36" s="24" t="inlineStr">
        <is>
          <t>Regulated sectors</t>
        </is>
      </c>
    </row>
    <row r="37" ht="30" customHeight="1">
      <c r="A37" s="22" t="n">
        <v>33</v>
      </c>
      <c r="B37" s="5" t="inlineStr">
        <is>
          <t>Risk, compliance &amp; legal</t>
        </is>
      </c>
      <c r="C37" s="23" t="inlineStr">
        <is>
          <t>Policy and procedure Q&amp;A</t>
        </is>
      </c>
      <c r="D37" s="5" t="inlineStr">
        <is>
          <t>Staff unsure where rules are</t>
        </is>
      </c>
      <c r="E37" s="24" t="inlineStr">
        <is>
          <t>Answer questions from internal knowledge, policies or past work  -&gt;  GenAI knowledge assistant (RAG on own content)</t>
        </is>
      </c>
      <c r="F37" s="24" t="inlineStr">
        <is>
          <t>All</t>
        </is>
      </c>
    </row>
    <row r="38" ht="30" customHeight="1">
      <c r="A38" s="22" t="n">
        <v>34</v>
      </c>
      <c r="B38" s="5" t="inlineStr">
        <is>
          <t>Risk, compliance &amp; legal</t>
        </is>
      </c>
      <c r="C38" s="23" t="inlineStr">
        <is>
          <t>Internal audit testing and sampling</t>
        </is>
      </c>
      <c r="D38" s="5" t="inlineStr">
        <is>
          <t>Sample-based testing of large populations</t>
        </is>
      </c>
      <c r="E38" s="24" t="inlineStr">
        <is>
          <t>Forecast, score, classify or detect anomalies from historical data  -&gt;  Predictive analytics / machine learning</t>
        </is>
      </c>
      <c r="F38" s="24" t="inlineStr">
        <is>
          <t>Medium-large organisations</t>
        </is>
      </c>
    </row>
    <row r="39" ht="30" customHeight="1">
      <c r="A39" s="22" t="n">
        <v>35</v>
      </c>
      <c r="B39" s="5" t="inlineStr">
        <is>
          <t>Risk, compliance &amp; legal</t>
        </is>
      </c>
      <c r="C39" s="23" t="inlineStr">
        <is>
          <t>Business continuity plans and BIA</t>
        </is>
      </c>
      <c r="D39" s="5" t="inlineStr">
        <is>
          <t>Plans outdated and generic</t>
        </is>
      </c>
      <c r="E39" s="24" t="inlineStr">
        <is>
          <t>Draft, summarise, translate or review text  -&gt;  Generative AI assistant (off-the-shelf)</t>
        </is>
      </c>
      <c r="F39" s="24" t="inlineStr">
        <is>
          <t>Regulated sectors</t>
        </is>
      </c>
    </row>
    <row r="40" ht="30" customHeight="1">
      <c r="A40" s="22" t="n">
        <v>36</v>
      </c>
      <c r="B40" s="5" t="inlineStr">
        <is>
          <t>IT &amp; security</t>
        </is>
      </c>
      <c r="C40" s="23" t="inlineStr">
        <is>
          <t>IT service desk tickets</t>
        </is>
      </c>
      <c r="D40" s="5" t="inlineStr">
        <is>
          <t>Repetitive password and access requests</t>
        </is>
      </c>
      <c r="E40" s="24" t="inlineStr">
        <is>
          <t>Converse with customers, citizens or staff (chat, voice, WhatsApp)  -&gt;  Conversational AI / virtual agent</t>
        </is>
      </c>
      <c r="F40" s="24" t="inlineStr">
        <is>
          <t>All</t>
        </is>
      </c>
    </row>
    <row r="41" ht="30" customHeight="1">
      <c r="A41" s="22" t="n">
        <v>37</v>
      </c>
      <c r="B41" s="5" t="inlineStr">
        <is>
          <t>IT &amp; security</t>
        </is>
      </c>
      <c r="C41" s="23" t="inlineStr">
        <is>
          <t>User access reviews</t>
        </is>
      </c>
      <c r="D41" s="5" t="inlineStr">
        <is>
          <t>Manual reconciliation of access lists</t>
        </is>
      </c>
      <c r="E41" s="24" t="inlineStr">
        <is>
          <t>Check or approve items against fixed criteria (rules, thresholds, checklists)  -&gt;  Rules engine / workflow automation</t>
        </is>
      </c>
      <c r="F41" s="24" t="inlineStr">
        <is>
          <t>All</t>
        </is>
      </c>
    </row>
    <row r="42" ht="30" customHeight="1">
      <c r="A42" s="22" t="n">
        <v>38</v>
      </c>
      <c r="B42" s="5" t="inlineStr">
        <is>
          <t>IT &amp; security</t>
        </is>
      </c>
      <c r="C42" s="23" t="inlineStr">
        <is>
          <t>Security alert triage (SOC)</t>
        </is>
      </c>
      <c r="D42" s="5" t="inlineStr">
        <is>
          <t>Alert fatigue</t>
        </is>
      </c>
      <c r="E42" s="24" t="inlineStr">
        <is>
          <t>Coordinate multi-step work across systems that needs judgement  -&gt;  Agentic AI (supervised agents)</t>
        </is>
      </c>
      <c r="F42" s="24" t="inlineStr">
        <is>
          <t>Medium-large organisations</t>
        </is>
      </c>
    </row>
    <row r="43" ht="30" customHeight="1">
      <c r="A43" s="22" t="n">
        <v>39</v>
      </c>
      <c r="B43" s="5" t="inlineStr">
        <is>
          <t>IT &amp; security</t>
        </is>
      </c>
      <c r="C43" s="23" t="inlineStr">
        <is>
          <t>Code and script development</t>
        </is>
      </c>
      <c r="D43" s="5" t="inlineStr">
        <is>
          <t>Slow development, little documentation</t>
        </is>
      </c>
      <c r="E43" s="24" t="inlineStr">
        <is>
          <t>Draft, summarise, translate or review text  -&gt;  Generative AI assistant (off-the-shelf)</t>
        </is>
      </c>
      <c r="F43" s="24" t="inlineStr">
        <is>
          <t>Organisations with IT teams</t>
        </is>
      </c>
    </row>
    <row r="44" ht="30" customHeight="1">
      <c r="A44" s="22" t="n">
        <v>40</v>
      </c>
      <c r="B44" s="5" t="inlineStr">
        <is>
          <t>Management &amp; reporting</t>
        </is>
      </c>
      <c r="C44" s="23" t="inlineStr">
        <is>
          <t>Board and management packs</t>
        </is>
      </c>
      <c r="D44" s="5" t="inlineStr">
        <is>
          <t>Data gathered by hand from many sources</t>
        </is>
      </c>
      <c r="E44" s="24" t="inlineStr">
        <is>
          <t>Produce reports, dashboards or reconciliations from existing data  -&gt;  BI, dashboards &amp; reconciliation automation</t>
        </is>
      </c>
      <c r="F44" s="24" t="inlineStr">
        <is>
          <t>All</t>
        </is>
      </c>
    </row>
    <row r="45" ht="30" customHeight="1">
      <c r="A45" s="22" t="n">
        <v>41</v>
      </c>
      <c r="B45" s="5" t="inlineStr">
        <is>
          <t>Management &amp; reporting</t>
        </is>
      </c>
      <c r="C45" s="23" t="inlineStr">
        <is>
          <t>KPI dashboards</t>
        </is>
      </c>
      <c r="D45" s="5" t="inlineStr">
        <is>
          <t>No single view of performance</t>
        </is>
      </c>
      <c r="E45" s="24" t="inlineStr">
        <is>
          <t>Produce reports, dashboards or reconciliations from existing data  -&gt;  BI, dashboards &amp; reconciliation automation</t>
        </is>
      </c>
      <c r="F45" s="24" t="inlineStr">
        <is>
          <t>All</t>
        </is>
      </c>
    </row>
    <row r="46" ht="30" customHeight="1">
      <c r="A46" s="22" t="n">
        <v>42</v>
      </c>
      <c r="B46" s="5" t="inlineStr">
        <is>
          <t>Management &amp; reporting</t>
        </is>
      </c>
      <c r="C46" s="23" t="inlineStr">
        <is>
          <t>Meeting minutes and action tracking</t>
        </is>
      </c>
      <c r="D46" s="5" t="inlineStr">
        <is>
          <t>Minutes late, actions lost</t>
        </is>
      </c>
      <c r="E46" s="24" t="inlineStr">
        <is>
          <t>Draft, summarise, translate or review text  -&gt;  Generative AI assistant (off-the-shelf)</t>
        </is>
      </c>
      <c r="F46" s="24" t="inlineStr">
        <is>
          <t>All</t>
        </is>
      </c>
    </row>
    <row r="47" ht="30" customHeight="1">
      <c r="A47" s="22" t="n">
        <v>43</v>
      </c>
      <c r="B47" s="5" t="inlineStr">
        <is>
          <t>Knowledge &amp; collaboration</t>
        </is>
      </c>
      <c r="C47" s="23" t="inlineStr">
        <is>
          <t>Internal knowledge search</t>
        </is>
      </c>
      <c r="D47" s="5" t="inlineStr">
        <is>
          <t>Time lost looking for documents</t>
        </is>
      </c>
      <c r="E47" s="24" t="inlineStr">
        <is>
          <t>Answer questions from internal knowledge, policies or past work  -&gt;  GenAI knowledge assistant (RAG on own content)</t>
        </is>
      </c>
      <c r="F47" s="24" t="inlineStr">
        <is>
          <t>All</t>
        </is>
      </c>
    </row>
    <row r="48" ht="30" customHeight="1">
      <c r="A48" s="22" t="n">
        <v>44</v>
      </c>
      <c r="B48" s="5" t="inlineStr">
        <is>
          <t>Knowledge &amp; collaboration</t>
        </is>
      </c>
      <c r="C48" s="23" t="inlineStr">
        <is>
          <t>Email and document drafting</t>
        </is>
      </c>
      <c r="D48" s="5" t="inlineStr">
        <is>
          <t>Routine drafting effort</t>
        </is>
      </c>
      <c r="E48" s="24" t="inlineStr">
        <is>
          <t>Draft, summarise, translate or review text  -&gt;  Generative AI assistant (off-the-shelf)</t>
        </is>
      </c>
      <c r="F48" s="24" t="inlineStr">
        <is>
          <t>All</t>
        </is>
      </c>
    </row>
    <row r="49" ht="30" customHeight="1">
      <c r="A49" s="22" t="n">
        <v>45</v>
      </c>
      <c r="B49" s="5" t="inlineStr">
        <is>
          <t>Core service delivery / operations</t>
        </is>
      </c>
      <c r="C49" s="23" t="inlineStr">
        <is>
          <t>Banking - trade-finance document checking</t>
        </is>
      </c>
      <c r="D49" s="5" t="inlineStr">
        <is>
          <t>Manual checking of LCs and shipping documents</t>
        </is>
      </c>
      <c r="E49" s="24" t="inlineStr">
        <is>
          <t>Extract information from documents, forms or emails  -&gt;  Intelligent document processing (IDP)</t>
        </is>
      </c>
      <c r="F49" s="24" t="inlineStr">
        <is>
          <t>Banking</t>
        </is>
      </c>
    </row>
    <row r="50" ht="30" customHeight="1">
      <c r="A50" s="22" t="n">
        <v>46</v>
      </c>
      <c r="B50" s="5" t="inlineStr">
        <is>
          <t>Core service delivery / operations</t>
        </is>
      </c>
      <c r="C50" s="23" t="inlineStr">
        <is>
          <t>Banking - credit application assessment</t>
        </is>
      </c>
      <c r="D50" s="5" t="inlineStr">
        <is>
          <t>Slow credit decisions</t>
        </is>
      </c>
      <c r="E50" s="24" t="inlineStr">
        <is>
          <t>Forecast, score, classify or detect anomalies from historical data  -&gt;  Predictive analytics / machine learning</t>
        </is>
      </c>
      <c r="F50" s="24" t="inlineStr">
        <is>
          <t>Banking (high-risk: individuals)</t>
        </is>
      </c>
    </row>
    <row r="51" ht="30" customHeight="1">
      <c r="A51" s="22" t="n">
        <v>47</v>
      </c>
      <c r="B51" s="5" t="inlineStr">
        <is>
          <t>Core service delivery / operations</t>
        </is>
      </c>
      <c r="C51" s="23" t="inlineStr">
        <is>
          <t>Insurance - claims intake (FNOL)</t>
        </is>
      </c>
      <c r="D51" s="5" t="inlineStr">
        <is>
          <t>Claims forms keyed manually</t>
        </is>
      </c>
      <c r="E51" s="24" t="inlineStr">
        <is>
          <t>Extract information from documents, forms or emails  -&gt;  Intelligent document processing (IDP)</t>
        </is>
      </c>
      <c r="F51" s="24" t="inlineStr">
        <is>
          <t>Insurance</t>
        </is>
      </c>
    </row>
    <row r="52" ht="30" customHeight="1">
      <c r="A52" s="22" t="n">
        <v>48</v>
      </c>
      <c r="B52" s="5" t="inlineStr">
        <is>
          <t>Core service delivery / operations</t>
        </is>
      </c>
      <c r="C52" s="23" t="inlineStr">
        <is>
          <t>Insurance - claims fraud detection</t>
        </is>
      </c>
      <c r="D52" s="5" t="inlineStr">
        <is>
          <t>Fraud found late or not at all</t>
        </is>
      </c>
      <c r="E52" s="24" t="inlineStr">
        <is>
          <t>Forecast, score, classify or detect anomalies from historical data  -&gt;  Predictive analytics / machine learning</t>
        </is>
      </c>
      <c r="F52" s="24" t="inlineStr">
        <is>
          <t>Insurance</t>
        </is>
      </c>
    </row>
    <row r="53" ht="30" customHeight="1">
      <c r="A53" s="22" t="n">
        <v>49</v>
      </c>
      <c r="B53" s="5" t="inlineStr">
        <is>
          <t>Core service delivery / operations</t>
        </is>
      </c>
      <c r="C53" s="23" t="inlineStr">
        <is>
          <t>Insurance - underwriting submissions</t>
        </is>
      </c>
      <c r="D53" s="5" t="inlineStr">
        <is>
          <t>Broker submissions read manually</t>
        </is>
      </c>
      <c r="E53" s="24" t="inlineStr">
        <is>
          <t>Extract information from documents, forms or emails  -&gt;  Intelligent document processing (IDP)</t>
        </is>
      </c>
      <c r="F53" s="24" t="inlineStr">
        <is>
          <t>Insurance</t>
        </is>
      </c>
    </row>
    <row r="54" ht="30" customHeight="1">
      <c r="A54" s="22" t="n">
        <v>50</v>
      </c>
      <c r="B54" s="5" t="inlineStr">
        <is>
          <t>Core service delivery / operations</t>
        </is>
      </c>
      <c r="C54" s="23" t="inlineStr">
        <is>
          <t>Government - permit and licence applications</t>
        </is>
      </c>
      <c r="D54" s="5" t="inlineStr">
        <is>
          <t>Paper-heavy applications and checks</t>
        </is>
      </c>
      <c r="E54" s="24" t="inlineStr">
        <is>
          <t>Check or approve items against fixed criteria (rules, thresholds, checklists)  -&gt;  Rules engine / workflow automation</t>
        </is>
      </c>
      <c r="F54" s="24" t="inlineStr">
        <is>
          <t>Government</t>
        </is>
      </c>
    </row>
    <row r="55" ht="30" customHeight="1">
      <c r="A55" s="22" t="n">
        <v>51</v>
      </c>
      <c r="B55" s="5" t="inlineStr">
        <is>
          <t>Core service delivery / operations</t>
        </is>
      </c>
      <c r="C55" s="23" t="inlineStr">
        <is>
          <t>Government - citizen enquiries</t>
        </is>
      </c>
      <c r="D55" s="5" t="inlineStr">
        <is>
          <t>Call-centre peaks</t>
        </is>
      </c>
      <c r="E55" s="24" t="inlineStr">
        <is>
          <t>Converse with customers, citizens or staff (chat, voice, WhatsApp)  -&gt;  Conversational AI / virtual agent</t>
        </is>
      </c>
      <c r="F55" s="24" t="inlineStr">
        <is>
          <t>Government</t>
        </is>
      </c>
    </row>
    <row r="56" ht="30" customHeight="1">
      <c r="A56" s="22" t="n">
        <v>52</v>
      </c>
      <c r="B56" s="5" t="inlineStr">
        <is>
          <t>Core service delivery / operations</t>
        </is>
      </c>
      <c r="C56" s="23" t="inlineStr">
        <is>
          <t>Healthcare - appointment scheduling and reminders</t>
        </is>
      </c>
      <c r="D56" s="5" t="inlineStr">
        <is>
          <t>No-shows and phone booking</t>
        </is>
      </c>
      <c r="E56" s="24" t="inlineStr">
        <is>
          <t>Move or re-key data between systems following fixed rules  -&gt;  Workflow automation / RPA</t>
        </is>
      </c>
      <c r="F56" s="24" t="inlineStr">
        <is>
          <t>Healthcare</t>
        </is>
      </c>
    </row>
    <row r="57" ht="30" customHeight="1">
      <c r="A57" s="22" t="n">
        <v>53</v>
      </c>
      <c r="B57" s="5" t="inlineStr">
        <is>
          <t>Core service delivery / operations</t>
        </is>
      </c>
      <c r="C57" s="23" t="inlineStr">
        <is>
          <t>Healthcare - clinical documentation</t>
        </is>
      </c>
      <c r="D57" s="5" t="inlineStr">
        <is>
          <t>Clinicians typing notes</t>
        </is>
      </c>
      <c r="E57" s="24" t="inlineStr">
        <is>
          <t>Draft, summarise, translate or review text  -&gt;  Generative AI assistant (off-the-shelf)</t>
        </is>
      </c>
      <c r="F57" s="24" t="inlineStr">
        <is>
          <t>Healthcare (patient data)</t>
        </is>
      </c>
    </row>
    <row r="58" ht="30" customHeight="1">
      <c r="A58" s="22" t="n">
        <v>54</v>
      </c>
      <c r="B58" s="5" t="inlineStr">
        <is>
          <t>Core service delivery / operations</t>
        </is>
      </c>
      <c r="C58" s="23" t="inlineStr">
        <is>
          <t>Healthcare - medical-image triage</t>
        </is>
      </c>
      <c r="D58" s="5" t="inlineStr">
        <is>
          <t>Radiology backlogs</t>
        </is>
      </c>
      <c r="E58" s="24" t="inlineStr">
        <is>
          <t>Recognise or inspect images, video or speech  -&gt;  Computer vision / speech AI</t>
        </is>
      </c>
      <c r="F58" s="24" t="inlineStr">
        <is>
          <t>Healthcare (high-risk)</t>
        </is>
      </c>
    </row>
    <row r="59" ht="30" customHeight="1">
      <c r="A59" s="22" t="n">
        <v>55</v>
      </c>
      <c r="B59" s="5" t="inlineStr">
        <is>
          <t>Core service delivery / operations</t>
        </is>
      </c>
      <c r="C59" s="23" t="inlineStr">
        <is>
          <t>Hospitality - dynamic pricing and revenue management</t>
        </is>
      </c>
      <c r="D59" s="5" t="inlineStr">
        <is>
          <t>Prices set manually</t>
        </is>
      </c>
      <c r="E59" s="24" t="inlineStr">
        <is>
          <t>Forecast, score, classify or detect anomalies from historical data  -&gt;  Predictive analytics / machine learning</t>
        </is>
      </c>
      <c r="F59" s="24" t="inlineStr">
        <is>
          <t>Hospitality</t>
        </is>
      </c>
    </row>
    <row r="60" ht="30" customHeight="1">
      <c r="A60" s="22" t="n">
        <v>56</v>
      </c>
      <c r="B60" s="5" t="inlineStr">
        <is>
          <t>Core service delivery / operations</t>
        </is>
      </c>
      <c r="C60" s="23" t="inlineStr">
        <is>
          <t>Hospitality - guest messaging and concierge</t>
        </is>
      </c>
      <c r="D60" s="5" t="inlineStr">
        <is>
          <t>Front desk overloaded</t>
        </is>
      </c>
      <c r="E60" s="24" t="inlineStr">
        <is>
          <t>Converse with customers, citizens or staff (chat, voice, WhatsApp)  -&gt;  Conversational AI / virtual agent</t>
        </is>
      </c>
      <c r="F60" s="24" t="inlineStr">
        <is>
          <t>Hospitality</t>
        </is>
      </c>
    </row>
    <row r="61" ht="30" customHeight="1">
      <c r="A61" s="22" t="n">
        <v>57</v>
      </c>
      <c r="B61" s="5" t="inlineStr">
        <is>
          <t>Core service delivery / operations</t>
        </is>
      </c>
      <c r="C61" s="23" t="inlineStr">
        <is>
          <t>Manufacturing - predictive maintenance</t>
        </is>
      </c>
      <c r="D61" s="5" t="inlineStr">
        <is>
          <t>Unplanned downtime</t>
        </is>
      </c>
      <c r="E61" s="24" t="inlineStr">
        <is>
          <t>Forecast, score, classify or detect anomalies from historical data  -&gt;  Predictive analytics / machine learning</t>
        </is>
      </c>
      <c r="F61" s="24" t="inlineStr">
        <is>
          <t>Manufacturing, oil &amp; gas</t>
        </is>
      </c>
    </row>
    <row r="62" ht="30" customHeight="1">
      <c r="A62" s="22" t="n">
        <v>58</v>
      </c>
      <c r="B62" s="5" t="inlineStr">
        <is>
          <t>Core service delivery / operations</t>
        </is>
      </c>
      <c r="C62" s="23" t="inlineStr">
        <is>
          <t>Manufacturing - visual quality inspection</t>
        </is>
      </c>
      <c r="D62" s="5" t="inlineStr">
        <is>
          <t>Manual inspection misses defects</t>
        </is>
      </c>
      <c r="E62" s="24" t="inlineStr">
        <is>
          <t>Recognise or inspect images, video or speech  -&gt;  Computer vision / speech AI</t>
        </is>
      </c>
      <c r="F62" s="24" t="inlineStr">
        <is>
          <t>Manufacturing</t>
        </is>
      </c>
    </row>
    <row r="63" ht="30" customHeight="1">
      <c r="A63" s="22" t="n">
        <v>59</v>
      </c>
      <c r="B63" s="5" t="inlineStr">
        <is>
          <t>Core service delivery / operations</t>
        </is>
      </c>
      <c r="C63" s="23" t="inlineStr">
        <is>
          <t>Telecom - network fault prediction</t>
        </is>
      </c>
      <c r="D63" s="5" t="inlineStr">
        <is>
          <t>Outages detected by customers</t>
        </is>
      </c>
      <c r="E63" s="24" t="inlineStr">
        <is>
          <t>Forecast, score, classify or detect anomalies from historical data  -&gt;  Predictive analytics / machine learning</t>
        </is>
      </c>
      <c r="F63" s="24" t="inlineStr">
        <is>
          <t>Telecom</t>
        </is>
      </c>
    </row>
    <row r="64" ht="30" customHeight="1">
      <c r="A64" s="22" t="n">
        <v>60</v>
      </c>
      <c r="B64" s="5" t="inlineStr">
        <is>
          <t>Core service delivery / operations</t>
        </is>
      </c>
      <c r="C64" s="23" t="inlineStr">
        <is>
          <t>Real estate - lease abstraction</t>
        </is>
      </c>
      <c r="D64" s="5" t="inlineStr">
        <is>
          <t>Lease terms extracted by hand</t>
        </is>
      </c>
      <c r="E64" s="24" t="inlineStr">
        <is>
          <t>Extract information from documents, forms or emails  -&gt;  Intelligent document processing (IDP)</t>
        </is>
      </c>
      <c r="F64" s="24" t="inlineStr">
        <is>
          <t>Real estate</t>
        </is>
      </c>
    </row>
    <row r="65" ht="30" customHeight="1">
      <c r="A65" s="22" t="n">
        <v>61</v>
      </c>
      <c r="B65" s="5" t="inlineStr">
        <is>
          <t>Core service delivery / operations</t>
        </is>
      </c>
      <c r="C65" s="23" t="inlineStr">
        <is>
          <t>Professional services - audit journal-entry testing</t>
        </is>
      </c>
      <c r="D65" s="5" t="inlineStr">
        <is>
          <t>Sample-based testing</t>
        </is>
      </c>
      <c r="E65" s="24" t="inlineStr">
        <is>
          <t>Forecast, score, classify or detect anomalies from historical data  -&gt;  Predictive analytics / machine learning</t>
        </is>
      </c>
      <c r="F65" s="24" t="inlineStr">
        <is>
          <t>Audit firms</t>
        </is>
      </c>
    </row>
    <row r="66" ht="30" customHeight="1">
      <c r="A66" s="22" t="n">
        <v>62</v>
      </c>
      <c r="B66" s="5" t="inlineStr">
        <is>
          <t>Core service delivery / operations</t>
        </is>
      </c>
      <c r="C66" s="23" t="inlineStr">
        <is>
          <t>Professional services - engagement workflow coordination</t>
        </is>
      </c>
      <c r="D66" s="5" t="inlineStr">
        <is>
          <t>Status chased across teams</t>
        </is>
      </c>
      <c r="E66" s="24" t="inlineStr">
        <is>
          <t>Coordinate multi-step work across systems that needs judgement  -&gt;  Agentic AI (supervised agents)</t>
        </is>
      </c>
      <c r="F66" s="24" t="inlineStr">
        <is>
          <t>Professional services</t>
        </is>
      </c>
    </row>
    <row r="67" ht="30" customHeight="1">
      <c r="A67" s="22" t="n">
        <v>63</v>
      </c>
      <c r="B67" s="5" t="inlineStr">
        <is>
          <t>Core service delivery / operations</t>
        </is>
      </c>
      <c r="C67" s="23" t="inlineStr">
        <is>
          <t>Education - student queries and course support</t>
        </is>
      </c>
      <c r="D67" s="5" t="inlineStr">
        <is>
          <t>Repetitive queries</t>
        </is>
      </c>
      <c r="E67" s="24" t="inlineStr">
        <is>
          <t>Converse with customers, citizens or staff (chat, voice, WhatsApp)  -&gt;  Conversational AI / virtual agent</t>
        </is>
      </c>
      <c r="F67" s="24" t="inlineStr">
        <is>
          <t>Education</t>
        </is>
      </c>
    </row>
  </sheetData>
  <mergeCells count="2">
    <mergeCell ref="A2:F2"/>
    <mergeCell ref="A1:F1"/>
  </mergeCells>
  <printOptions gridLines="0"/>
  <pageMargins left="0.5" right="0.5" top="0.75" bottom="0.75" header="0.25" footer="0.25"/>
  <pageSetup orientation="landscape" paperSize="9" fitToHeight="0" fitToWidth="1"/>
  <headerFooter>
    <oddHeader/>
    <oddFooter>&amp;L&amp;8 GT AI Opportunity Discovery Toolkit&amp;R&amp;8 Page &amp;P of &amp;N</oddFooter>
    <evenHeader/>
    <evenFooter/>
    <firstHeader/>
    <firstFooter/>
  </headerFooter>
</worksheet>
</file>

<file path=xl/worksheets/sheet4.xml><?xml version="1.0" encoding="utf-8"?>
<worksheet xmlns="http://schemas.openxmlformats.org/spreadsheetml/2006/main">
  <sheetPr>
    <outlinePr summaryBelow="1" summaryRight="1"/>
    <pageSetUpPr fitToPage="1"/>
  </sheetPr>
  <dimension ref="A1:AD57"/>
  <sheetViews>
    <sheetView showGridLines="0" workbookViewId="0">
      <pane xSplit="3" ySplit="7" topLeftCell="D8" activePane="bottomRight" state="frozen"/>
      <selection pane="topRight"/>
      <selection pane="bottomLeft"/>
      <selection pane="bottomRight" activeCell="A1" sqref="A1"/>
    </sheetView>
  </sheetViews>
  <sheetFormatPr baseColWidth="8" defaultRowHeight="15"/>
  <cols>
    <col width="5" customWidth="1" min="1" max="1"/>
    <col width="22" customWidth="1" min="2" max="2"/>
    <col width="32" customWidth="1" min="3" max="3"/>
    <col width="30" customWidth="1" min="4" max="4"/>
    <col width="34" customWidth="1" min="5" max="5"/>
    <col width="18" customWidth="1" min="6" max="6"/>
    <col width="10" customWidth="1" min="7" max="7"/>
    <col width="22" customWidth="1" min="8" max="8"/>
    <col width="22" customWidth="1" min="9" max="9"/>
    <col width="9" customWidth="1" min="10" max="10"/>
    <col width="9" customWidth="1" min="11" max="11"/>
    <col width="10" customWidth="1" min="12" max="12"/>
    <col width="10" customWidth="1" min="13" max="13"/>
    <col width="22" customWidth="1" min="14" max="14"/>
    <col width="26" customWidth="1" min="15" max="15"/>
    <col width="7" customWidth="1" min="16" max="16"/>
    <col width="7" customWidth="1" min="17" max="17"/>
    <col width="11" customWidth="1" min="18" max="18"/>
    <col width="15" customWidth="1" min="19" max="19"/>
    <col width="22" customWidth="1" min="20" max="20"/>
    <col width="8" customWidth="1" min="21" max="21"/>
    <col width="9" customWidth="1" min="22" max="22"/>
    <col width="9" customWidth="1" min="23" max="23"/>
    <col width="13" customWidth="1" min="24" max="24"/>
    <col width="9" customWidth="1" min="25" max="25"/>
    <col width="7" customWidth="1" min="26" max="26"/>
    <col width="19" customWidth="1" min="27" max="27"/>
    <col width="11" customWidth="1" min="28" max="28"/>
    <col hidden="1" width="6" customWidth="1" min="29" max="29"/>
    <col hidden="1" width="6" customWidth="1" min="30" max="30"/>
  </cols>
  <sheetData>
    <row r="1" ht="32" customHeight="1">
      <c r="A1" s="1" t="inlineStr">
        <is>
          <t>3. AI Fit Diagnostic - process by process</t>
        </is>
      </c>
    </row>
    <row r="2" ht="32" customHeight="1">
      <c r="A2" s="2" t="inlineStr">
        <is>
          <t>Enter one process / pain point per row and answer the 10 yellow inputs. Everything to the right calculates. Effort = staff hours spent on the process per month (all people involved).</t>
        </is>
      </c>
    </row>
    <row r="3">
      <c r="A3" s="25" t="inlineStr"/>
      <c r="B3" s="4" t="inlineStr">
        <is>
          <t>Organisation's AI position (from sheet 1):</t>
        </is>
      </c>
      <c r="C3" s="26" t="n"/>
      <c r="D3" s="27" t="str">
        <f>'1. AI Position'!$C$31</f>
        <v>Buy and configure AI</v>
      </c>
      <c r="E3" s="18" t="n"/>
      <c r="F3" s="18" t="n"/>
      <c r="H3" s="4" t="inlineStr">
        <is>
          <t>Solution ceiling level:</t>
        </is>
      </c>
      <c r="I3" s="26" t="n"/>
      <c r="J3" s="26" t="n"/>
      <c r="K3" s="28">
        <f>IF('1. AI Position'!$C$30="",5,INDEX(Lists!$AI$2:$AI$5,'1. AI Position'!$C$30))</f>
        <v>4</v>
      </c>
    </row>
    <row r="4">
      <c r="B4" s="4" t="inlineStr">
        <is>
          <t>Quadrant threshold (value and feasibility, 1-5):</t>
        </is>
      </c>
      <c r="C4" s="26" t="n"/>
      <c r="D4" s="29" t="n">
        <v>3.25</v>
      </c>
    </row>
    <row r="6">
      <c r="A6" s="9" t="inlineStr">
        <is>
          <t>INPUTS (yellow)</t>
        </is>
      </c>
      <c r="B6" s="30" t="n"/>
      <c r="C6" s="30" t="n"/>
      <c r="D6" s="30" t="n"/>
      <c r="E6" s="30" t="n"/>
      <c r="F6" s="30" t="n"/>
      <c r="G6" s="30" t="n"/>
      <c r="H6" s="30" t="n"/>
      <c r="I6" s="30" t="n"/>
      <c r="J6" s="30" t="n"/>
      <c r="K6" s="30" t="n"/>
      <c r="L6" s="30" t="n"/>
      <c r="M6" s="30" t="n"/>
      <c r="N6" s="30" t="n"/>
      <c r="O6" s="31" t="inlineStr">
        <is>
          <t>AUTO-CALCULATED</t>
        </is>
      </c>
      <c r="P6" s="32" t="n"/>
      <c r="Q6" s="32" t="n"/>
      <c r="R6" s="32" t="n"/>
      <c r="S6" s="32" t="n"/>
      <c r="T6" s="32" t="n"/>
      <c r="U6" s="32" t="n"/>
      <c r="V6" s="32" t="n"/>
      <c r="W6" s="32" t="n"/>
      <c r="X6" s="32" t="n"/>
      <c r="Y6" s="32" t="n"/>
      <c r="Z6" s="32" t="n"/>
      <c r="AA6" s="32" t="n"/>
      <c r="AB6" s="32" t="n"/>
    </row>
    <row r="7" ht="48" customHeight="1">
      <c r="A7" s="33" t="inlineStr">
        <is>
          <t>#</t>
        </is>
      </c>
      <c r="B7" s="33" t="inlineStr">
        <is>
          <t>Function</t>
        </is>
      </c>
      <c r="C7" s="33" t="inlineStr">
        <is>
          <t>Process / activity</t>
        </is>
      </c>
      <c r="D7" s="33" t="inlineStr">
        <is>
          <t>Pain point / opportunity</t>
        </is>
      </c>
      <c r="E7" s="33" t="inlineStr">
        <is>
          <t>Nature of the task</t>
        </is>
      </c>
      <c r="F7" s="33" t="inlineStr">
        <is>
          <t>Volume</t>
        </is>
      </c>
      <c r="G7" s="33" t="inlineStr">
        <is>
          <t>Effort (hrs / month)</t>
        </is>
      </c>
      <c r="H7" s="33" t="inlineStr">
        <is>
          <t>Process standardised?</t>
        </is>
      </c>
      <c r="I7" s="33" t="inlineStr">
        <is>
          <t>Data available for this process</t>
        </is>
      </c>
      <c r="J7" s="33" t="inlineStr">
        <is>
          <t>Strategic importance (1-5)</t>
        </is>
      </c>
      <c r="K7" s="33" t="inlineStr">
        <is>
          <t>Customer / quality impact (1-5)</t>
        </is>
      </c>
      <c r="L7" s="33" t="inlineStr">
        <is>
          <t>Affects individuals' rights or access?</t>
        </is>
      </c>
      <c r="M7" s="33" t="inlineStr">
        <is>
          <t>Personal or confidential data?</t>
        </is>
      </c>
      <c r="N7" s="33" t="inlineStr">
        <is>
          <t>Intended autonomy</t>
        </is>
      </c>
      <c r="O7" s="34" t="inlineStr">
        <is>
          <t>Solution family</t>
        </is>
      </c>
      <c r="P7" s="34" t="inlineStr">
        <is>
          <t>Level</t>
        </is>
      </c>
      <c r="Q7" s="34" t="inlineStr">
        <is>
          <t>AI?</t>
        </is>
      </c>
      <c r="R7" s="34" t="inlineStr">
        <is>
          <t>Data gate</t>
        </is>
      </c>
      <c r="S7" s="34" t="inlineStr">
        <is>
          <t>Organisational fit</t>
        </is>
      </c>
      <c r="T7" s="34" t="inlineStr">
        <is>
          <t>VERDICT</t>
        </is>
      </c>
      <c r="U7" s="34" t="inlineStr">
        <is>
          <t>Value</t>
        </is>
      </c>
      <c r="V7" s="34" t="inlineStr">
        <is>
          <t>Feasib-ility</t>
        </is>
      </c>
      <c r="W7" s="34" t="inlineStr">
        <is>
          <t>Risk tier</t>
        </is>
      </c>
      <c r="X7" s="34" t="inlineStr">
        <is>
          <t>Quadrant</t>
        </is>
      </c>
      <c r="Y7" s="34" t="inlineStr">
        <is>
          <t>Priority score</t>
        </is>
      </c>
      <c r="Z7" s="34" t="inlineStr">
        <is>
          <t>Rank</t>
        </is>
      </c>
      <c r="AA7" s="34" t="inlineStr">
        <is>
          <t>Horizon</t>
        </is>
      </c>
      <c r="AB7" s="34" t="inlineStr">
        <is>
          <t>Est. hours released / yr</t>
        </is>
      </c>
      <c r="AC7" s="34" t="inlineStr">
        <is>
          <t>h</t>
        </is>
      </c>
      <c r="AD7" s="34" t="inlineStr">
        <is>
          <t>key</t>
        </is>
      </c>
    </row>
    <row r="8" ht="40" customHeight="1">
      <c r="A8" s="14" t="n">
        <v>1</v>
      </c>
      <c r="B8" s="35" t="inlineStr">
        <is>
          <t>Core service delivery / operations</t>
        </is>
      </c>
      <c r="C8" s="35" t="inlineStr">
        <is>
          <t>Audit - journal-entry testing</t>
        </is>
      </c>
      <c r="D8" s="35" t="inlineStr">
        <is>
          <t>Sample-based testing of large ledgers; anomalies missed</t>
        </is>
      </c>
      <c r="E8" s="35" t="inlineStr">
        <is>
          <t>Forecast, score, classify or detect anomalies from historical data</t>
        </is>
      </c>
      <c r="F8" s="35" t="inlineStr">
        <is>
          <t>High (more than 1,000 a month)</t>
        </is>
      </c>
      <c r="G8" s="35" t="n">
        <v>300</v>
      </c>
      <c r="H8" s="35" t="inlineStr">
        <is>
          <t>Partly - common steps, some variation</t>
        </is>
      </c>
      <c r="I8" s="35" t="inlineStr">
        <is>
          <t>Digital history available</t>
        </is>
      </c>
      <c r="J8" s="35" t="n">
        <v>5</v>
      </c>
      <c r="K8" s="35" t="n">
        <v>5</v>
      </c>
      <c r="L8" s="35" t="inlineStr">
        <is>
          <t>No</t>
        </is>
      </c>
      <c r="M8" s="35" t="inlineStr">
        <is>
          <t>Yes</t>
        </is>
      </c>
      <c r="N8" s="35" t="inlineStr">
        <is>
          <t>Human approves each AI output</t>
        </is>
      </c>
      <c r="O8" s="36" t="str">
        <f>IF(OR(C8="",E8=""),"",INDEX(Lists!$B$2:$B$11,MATCH(E8,Lists!$A$2:$A$11,0)))</f>
        <v>Predictive analytics / machine learning</v>
      </c>
      <c r="P8" s="37">
        <f>IF(O8="","",INDEX(Lists!$C$2:$C$11,MATCH(O8,Lists!$B$2:$B$11,0)))</f>
        <v>5</v>
      </c>
      <c r="Q8" s="37" t="str">
        <f>IF(O8="","",INDEX(Lists!$D$2:$D$11,MATCH(O8,Lists!$B$2:$B$11,0)))</f>
        <v>Yes</v>
      </c>
      <c r="R8" s="37" t="str">
        <f>IF(OR(O8="",I8=""),"",IF(INDEX(Lists!$N$2:$N$5,MATCH(I8,Lists!$M$2:$M$5,0))&gt;=INDEX(Lists!$E$2:$E$11,MATCH(O8,Lists!$B$2:$B$11,0)),"Data ready","Data gap"))</f>
        <v>Data ready</v>
      </c>
      <c r="S8" s="36" t="str">
        <f>IF(O8="","",IF(P8&lt;=IF('1. AI Position'!$C$30="",5,INDEX(Lists!$AI$2:$AI$5,'1. AI Position'!$C$30)),"Within current position","Beyond current position"))</f>
        <v>Beyond current position</v>
      </c>
      <c r="T8" s="38" t="str">
        <f>IF(O8="","",IF(COUNTA(E8:N8)&lt;10,"Complete inputs",IF(H8="No - varies by person / team","Redesign / standardise first",IF(Q8="No","Automate - AI not needed",IF(R8="Data gap","AI later - close data gap first",IF(S8="Beyond current position","Stretch - partner or later stage","AI fit now"))))))</f>
        <v>Stretch - partner or later stage</v>
      </c>
      <c r="U8" s="39">
        <f>IF(OR(T8="",T8="Complete inputs"),"",ROUND(0.3*INDEX(Lists!$N$8:$N$10,MATCH(F8,Lists!$M$8:$M$10,0))+0.25*IF(G8&lt;20,1,IF(G8&lt;80,2,IF(G8&lt;160,3,IF(G8&lt;480,4,5))))+0.25*J8+0.2*K8,2))</f>
        <v>4.75</v>
      </c>
      <c r="V8" s="39">
        <f>IF(U8="","",ROUND(0.3*IF(R8="Data ready",5,IF(INDEX(Lists!$N$2:$N$5,MATCH(I8,Lists!$M$2:$M$5,0))=INDEX(Lists!$E$2:$E$11,MATCH(O8,Lists!$B$2:$B$11,0))-1,3,1))+0.25*INDEX(Lists!$N$13:$N$15,MATCH(H8,Lists!$M$13:$M$15,0))+0.25*(6-P8)+0.2*IF(S8="Within current position",5,2),2))</f>
        <v>2.9</v>
      </c>
      <c r="W8" s="37" t="str">
        <f>IF(U8="","",IF(Q8="No",IF(L8="Yes","Medium","Low"),IF(IF(L8="Yes",2,0)+IF(M8="Yes",1,0)+INDEX(Lists!$N$18:$N$20,MATCH(N8,Lists!$M$18:$M$20,0))+IF(K8=5,2,IF(K8&gt;=4,1,0))&gt;=4,"High",IF(IF(L8="Yes",2,0)+IF(M8="Yes",1,0)+INDEX(Lists!$N$18:$N$20,MATCH(N8,Lists!$M$18:$M$20,0))+IF(K8=5,2,IF(K8&gt;=4,1,0))&gt;=2,"Medium","Low"))))</f>
        <v>High</v>
      </c>
      <c r="X8" s="37" t="str">
        <f>IF(U8="","",IF(AND(U8&gt;=$D$4,V8&gt;=$D$4),"Quick win",IF(U8&gt;=$D$4,"Strategic bet",IF(V8&gt;=$D$4,"Fill-in","Deprioritise"))))</f>
        <v>Strategic bet</v>
      </c>
      <c r="Y8" s="39">
        <f>IF(U8="","",ROUND(U8*V8*IF(W8="High",0.85,1)*IF(T8="Redesign / standardise first",0.8,1),2))</f>
        <v>11.71</v>
      </c>
      <c r="Z8" s="40">
        <f>IF(Y8="","",RANK(Y8,$Y$8:$Y$57)+COUNTIF($Y$7:Y7,Y8))</f>
        <v>15</v>
      </c>
      <c r="AA8" s="36" t="str">
        <f>IF(AC8="","",INDEX(Lists!$AV$2:$AV$5,AC8))</f>
        <v>H2 - Next (6-12 months)</v>
      </c>
      <c r="AB8" s="41">
        <f>IF(Y8="","",ROUND(G8*12*INDEX(Lists!$F$2:$F$11,MATCH(O8,Lists!$B$2:$B$11,0)),0))</f>
        <v>720</v>
      </c>
      <c r="AC8" s="37">
        <f>IF(Y8="","",IF(X8="Deprioritise",4,IF(T8="AI later - close data gap first",3,IF(OR(T8="Redesign / standardise first",T8="Stretch - partner or later stage",X8="Strategic bet"),2,1))))</f>
        <v>2</v>
      </c>
      <c r="AD8" s="37">
        <f>IF(Z8="","",AC8*100+Z8)</f>
        <v>215</v>
      </c>
    </row>
    <row r="9" ht="40" customHeight="1">
      <c r="A9" s="14" t="n">
        <v>2</v>
      </c>
      <c r="B9" s="35" t="inlineStr">
        <is>
          <t>Core service delivery / operations</t>
        </is>
      </c>
      <c r="C9" s="35" t="inlineStr">
        <is>
          <t>Audit - working-paper and memo drafting</t>
        </is>
      </c>
      <c r="D9" s="35" t="inlineStr">
        <is>
          <t>Senior time spent drafting standard documentation</t>
        </is>
      </c>
      <c r="E9" s="35" t="inlineStr">
        <is>
          <t>Draft, summarise, translate or review text</t>
        </is>
      </c>
      <c r="F9" s="35" t="inlineStr">
        <is>
          <t>Medium (100 - 1,000 a month)</t>
        </is>
      </c>
      <c r="G9" s="35" t="n">
        <v>400</v>
      </c>
      <c r="H9" s="35" t="inlineStr">
        <is>
          <t>Yes - documented and consistent</t>
        </is>
      </c>
      <c r="I9" s="35" t="inlineStr">
        <is>
          <t>Digital history available</t>
        </is>
      </c>
      <c r="J9" s="35" t="n">
        <v>4</v>
      </c>
      <c r="K9" s="35" t="n">
        <v>4</v>
      </c>
      <c r="L9" s="35" t="inlineStr">
        <is>
          <t>No</t>
        </is>
      </c>
      <c r="M9" s="35" t="inlineStr">
        <is>
          <t>Yes</t>
        </is>
      </c>
      <c r="N9" s="35" t="inlineStr">
        <is>
          <t>Human approves each AI output</t>
        </is>
      </c>
      <c r="O9" s="36" t="str">
        <f>IF(OR(C9="",E9=""),"",INDEX(Lists!$B$2:$B$11,MATCH(E9,Lists!$A$2:$A$11,0)))</f>
        <v>Generative AI assistant (off-the-shelf)</v>
      </c>
      <c r="P9" s="37">
        <f>IF(O9="","",INDEX(Lists!$C$2:$C$11,MATCH(O9,Lists!$B$2:$B$11,0)))</f>
        <v>3</v>
      </c>
      <c r="Q9" s="37" t="str">
        <f>IF(O9="","",INDEX(Lists!$D$2:$D$11,MATCH(O9,Lists!$B$2:$B$11,0)))</f>
        <v>Yes</v>
      </c>
      <c r="R9" s="37" t="str">
        <f>IF(OR(O9="",I9=""),"",IF(INDEX(Lists!$N$2:$N$5,MATCH(I9,Lists!$M$2:$M$5,0))&gt;=INDEX(Lists!$E$2:$E$11,MATCH(O9,Lists!$B$2:$B$11,0)),"Data ready","Data gap"))</f>
        <v>Data ready</v>
      </c>
      <c r="S9" s="36" t="str">
        <f>IF(O9="","",IF(P9&lt;=IF('1. AI Position'!$C$30="",5,INDEX(Lists!$AI$2:$AI$5,'1. AI Position'!$C$30)),"Within current position","Beyond current position"))</f>
        <v>Within current position</v>
      </c>
      <c r="T9" s="38" t="str">
        <f>IF(O9="","",IF(COUNTA(E9:N9)&lt;10,"Complete inputs",IF(H9="No - varies by person / team","Redesign / standardise first",IF(Q9="No","Automate - AI not needed",IF(R9="Data gap","AI later - close data gap first",IF(S9="Beyond current position","Stretch - partner or later stage","AI fit now"))))))</f>
        <v>AI fit now</v>
      </c>
      <c r="U9" s="39">
        <f>IF(OR(T9="",T9="Complete inputs"),"",ROUND(0.3*INDEX(Lists!$N$8:$N$10,MATCH(F9,Lists!$M$8:$M$10,0))+0.25*IF(G9&lt;20,1,IF(G9&lt;80,2,IF(G9&lt;160,3,IF(G9&lt;480,4,5))))+0.25*J9+0.2*K9,2))</f>
        <v>3.7</v>
      </c>
      <c r="V9" s="39">
        <f>IF(U9="","",ROUND(0.3*IF(R9="Data ready",5,IF(INDEX(Lists!$N$2:$N$5,MATCH(I9,Lists!$M$2:$M$5,0))=INDEX(Lists!$E$2:$E$11,MATCH(O9,Lists!$B$2:$B$11,0))-1,3,1))+0.25*INDEX(Lists!$N$13:$N$15,MATCH(H9,Lists!$M$13:$M$15,0))+0.25*(6-P9)+0.2*IF(S9="Within current position",5,2),2))</f>
        <v>4.5</v>
      </c>
      <c r="W9" s="37" t="str">
        <f>IF(U9="","",IF(Q9="No",IF(L9="Yes","Medium","Low"),IF(IF(L9="Yes",2,0)+IF(M9="Yes",1,0)+INDEX(Lists!$N$18:$N$20,MATCH(N9,Lists!$M$18:$M$20,0))+IF(K9=5,2,IF(K9&gt;=4,1,0))&gt;=4,"High",IF(IF(L9="Yes",2,0)+IF(M9="Yes",1,0)+INDEX(Lists!$N$18:$N$20,MATCH(N9,Lists!$M$18:$M$20,0))+IF(K9=5,2,IF(K9&gt;=4,1,0))&gt;=2,"Medium","Low"))))</f>
        <v>Medium</v>
      </c>
      <c r="X9" s="37" t="str">
        <f>IF(U9="","",IF(AND(U9&gt;=$D$4,V9&gt;=$D$4),"Quick win",IF(U9&gt;=$D$4,"Strategic bet",IF(V9&gt;=$D$4,"Fill-in","Deprioritise"))))</f>
        <v>Quick win</v>
      </c>
      <c r="Y9" s="39">
        <f>IF(U9="","",ROUND(U9*V9*IF(W9="High",0.85,1)*IF(T9="Redesign / standardise first",0.8,1),2))</f>
        <v>16.65</v>
      </c>
      <c r="Z9" s="40">
        <f>IF(Y9="","",RANK(Y9,$Y$8:$Y$57)+COUNTIF($Y$7:Y8,Y9))</f>
        <v>4</v>
      </c>
      <c r="AA9" s="36" t="str">
        <f>IF(AC9="","",INDEX(Lists!$AV$2:$AV$5,AC9))</f>
        <v>H1 - Now (0-6 months)</v>
      </c>
      <c r="AB9" s="41">
        <f>IF(Y9="","",ROUND(G9*12*INDEX(Lists!$F$2:$F$11,MATCH(O9,Lists!$B$2:$B$11,0)),0))</f>
        <v>1440</v>
      </c>
      <c r="AC9" s="37">
        <f>IF(Y9="","",IF(X9="Deprioritise",4,IF(T9="AI later - close data gap first",3,IF(OR(T9="Redesign / standardise first",T9="Stretch - partner or later stage",X9="Strategic bet"),2,1))))</f>
        <v>1</v>
      </c>
      <c r="AD9" s="37">
        <f>IF(Z9="","",AC9*100+Z9)</f>
        <v>104</v>
      </c>
    </row>
    <row r="10" ht="40" customHeight="1">
      <c r="A10" s="14" t="n">
        <v>3</v>
      </c>
      <c r="B10" s="35" t="inlineStr">
        <is>
          <t>Core service delivery / operations</t>
        </is>
      </c>
      <c r="C10" s="35" t="inlineStr">
        <is>
          <t>Audit - bank and confirmation letters</t>
        </is>
      </c>
      <c r="D10" s="35" t="inlineStr">
        <is>
          <t>Confirmations read and keyed manually</t>
        </is>
      </c>
      <c r="E10" s="35" t="inlineStr">
        <is>
          <t>Extract information from documents, forms or emails</t>
        </is>
      </c>
      <c r="F10" s="35" t="inlineStr">
        <is>
          <t>High (more than 1,000 a month)</t>
        </is>
      </c>
      <c r="G10" s="35" t="n">
        <v>120</v>
      </c>
      <c r="H10" s="35" t="inlineStr">
        <is>
          <t>Yes - documented and consistent</t>
        </is>
      </c>
      <c r="I10" s="35" t="inlineStr">
        <is>
          <t>Digital history available</t>
        </is>
      </c>
      <c r="J10" s="35" t="n">
        <v>3</v>
      </c>
      <c r="K10" s="35" t="n">
        <v>3</v>
      </c>
      <c r="L10" s="35" t="inlineStr">
        <is>
          <t>No</t>
        </is>
      </c>
      <c r="M10" s="35" t="inlineStr">
        <is>
          <t>Yes</t>
        </is>
      </c>
      <c r="N10" s="35" t="inlineStr">
        <is>
          <t>Human approves each AI output</t>
        </is>
      </c>
      <c r="O10" s="36" t="str">
        <f>IF(OR(C10="",E10=""),"",INDEX(Lists!$B$2:$B$11,MATCH(E10,Lists!$A$2:$A$11,0)))</f>
        <v>Intelligent document processing (IDP)</v>
      </c>
      <c r="P10" s="37">
        <f>IF(O10="","",INDEX(Lists!$C$2:$C$11,MATCH(O10,Lists!$B$2:$B$11,0)))</f>
        <v>3</v>
      </c>
      <c r="Q10" s="37" t="str">
        <f>IF(O10="","",INDEX(Lists!$D$2:$D$11,MATCH(O10,Lists!$B$2:$B$11,0)))</f>
        <v>Light</v>
      </c>
      <c r="R10" s="37" t="str">
        <f>IF(OR(O10="",I10=""),"",IF(INDEX(Lists!$N$2:$N$5,MATCH(I10,Lists!$M$2:$M$5,0))&gt;=INDEX(Lists!$E$2:$E$11,MATCH(O10,Lists!$B$2:$B$11,0)),"Data ready","Data gap"))</f>
        <v>Data ready</v>
      </c>
      <c r="S10" s="36" t="str">
        <f>IF(O10="","",IF(P10&lt;=IF('1. AI Position'!$C$30="",5,INDEX(Lists!$AI$2:$AI$5,'1. AI Position'!$C$30)),"Within current position","Beyond current position"))</f>
        <v>Within current position</v>
      </c>
      <c r="T10" s="38" t="str">
        <f>IF(O10="","",IF(COUNTA(E10:N10)&lt;10,"Complete inputs",IF(H10="No - varies by person / team","Redesign / standardise first",IF(Q10="No","Automate - AI not needed",IF(R10="Data gap","AI later - close data gap first",IF(S10="Beyond current position","Stretch - partner or later stage","AI fit now"))))))</f>
        <v>AI fit now</v>
      </c>
      <c r="U10" s="39">
        <f>IF(OR(T10="",T10="Complete inputs"),"",ROUND(0.3*INDEX(Lists!$N$8:$N$10,MATCH(F10,Lists!$M$8:$M$10,0))+0.25*IF(G10&lt;20,1,IF(G10&lt;80,2,IF(G10&lt;160,3,IF(G10&lt;480,4,5))))+0.25*J10+0.2*K10,2))</f>
        <v>3.6</v>
      </c>
      <c r="V10" s="39">
        <f>IF(U10="","",ROUND(0.3*IF(R10="Data ready",5,IF(INDEX(Lists!$N$2:$N$5,MATCH(I10,Lists!$M$2:$M$5,0))=INDEX(Lists!$E$2:$E$11,MATCH(O10,Lists!$B$2:$B$11,0))-1,3,1))+0.25*INDEX(Lists!$N$13:$N$15,MATCH(H10,Lists!$M$13:$M$15,0))+0.25*(6-P10)+0.2*IF(S10="Within current position",5,2),2))</f>
        <v>4.5</v>
      </c>
      <c r="W10" s="37" t="str">
        <f>IF(U10="","",IF(Q10="No",IF(L10="Yes","Medium","Low"),IF(IF(L10="Yes",2,0)+IF(M10="Yes",1,0)+INDEX(Lists!$N$18:$N$20,MATCH(N10,Lists!$M$18:$M$20,0))+IF(K10=5,2,IF(K10&gt;=4,1,0))&gt;=4,"High",IF(IF(L10="Yes",2,0)+IF(M10="Yes",1,0)+INDEX(Lists!$N$18:$N$20,MATCH(N10,Lists!$M$18:$M$20,0))+IF(K10=5,2,IF(K10&gt;=4,1,0))&gt;=2,"Medium","Low"))))</f>
        <v>Medium</v>
      </c>
      <c r="X10" s="37" t="str">
        <f>IF(U10="","",IF(AND(U10&gt;=$D$4,V10&gt;=$D$4),"Quick win",IF(U10&gt;=$D$4,"Strategic bet",IF(V10&gt;=$D$4,"Fill-in","Deprioritise"))))</f>
        <v>Quick win</v>
      </c>
      <c r="Y10" s="39">
        <f>IF(U10="","",ROUND(U10*V10*IF(W10="High",0.85,1)*IF(T10="Redesign / standardise first",0.8,1),2))</f>
        <v>16.2</v>
      </c>
      <c r="Z10" s="40">
        <f>IF(Y10="","",RANK(Y10,$Y$8:$Y$57)+COUNTIF($Y$7:Y9,Y10))</f>
        <v>6</v>
      </c>
      <c r="AA10" s="36" t="str">
        <f>IF(AC10="","",INDEX(Lists!$AV$2:$AV$5,AC10))</f>
        <v>H1 - Now (0-6 months)</v>
      </c>
      <c r="AB10" s="41">
        <f>IF(Y10="","",ROUND(G10*12*INDEX(Lists!$F$2:$F$11,MATCH(O10,Lists!$B$2:$B$11,0)),0))</f>
        <v>720</v>
      </c>
      <c r="AC10" s="37">
        <f>IF(Y10="","",IF(X10="Deprioritise",4,IF(T10="AI later - close data gap first",3,IF(OR(T10="Redesign / standardise first",T10="Stretch - partner or later stage",X10="Strategic bet"),2,1))))</f>
        <v>1</v>
      </c>
      <c r="AD10" s="37">
        <f>IF(Z10="","",AC10*100+Z10)</f>
        <v>106</v>
      </c>
    </row>
    <row r="11" ht="40" customHeight="1">
      <c r="A11" s="14" t="n">
        <v>4</v>
      </c>
      <c r="B11" s="35" t="inlineStr">
        <is>
          <t>Core service delivery / operations</t>
        </is>
      </c>
      <c r="C11" s="35" t="inlineStr">
        <is>
          <t>Tax - VAT and corporate tax research</t>
        </is>
      </c>
      <c r="D11" s="35" t="inlineStr">
        <is>
          <t>Research across NBR guidance, laws and prior advice</t>
        </is>
      </c>
      <c r="E11" s="35" t="inlineStr">
        <is>
          <t>Answer questions from internal knowledge, policies or past work</t>
        </is>
      </c>
      <c r="F11" s="35" t="inlineStr">
        <is>
          <t>Medium (100 - 1,000 a month)</t>
        </is>
      </c>
      <c r="G11" s="35" t="n">
        <v>160</v>
      </c>
      <c r="H11" s="35" t="inlineStr">
        <is>
          <t>Partly - common steps, some variation</t>
        </is>
      </c>
      <c r="I11" s="35" t="inlineStr">
        <is>
          <t>Digital history available</t>
        </is>
      </c>
      <c r="J11" s="35" t="n">
        <v>4</v>
      </c>
      <c r="K11" s="35" t="n">
        <v>4</v>
      </c>
      <c r="L11" s="35" t="inlineStr">
        <is>
          <t>No</t>
        </is>
      </c>
      <c r="M11" s="35" t="inlineStr">
        <is>
          <t>No</t>
        </is>
      </c>
      <c r="N11" s="35" t="inlineStr">
        <is>
          <t>Assist - AI suggests, a person does the work</t>
        </is>
      </c>
      <c r="O11" s="36" t="str">
        <f>IF(OR(C11="",E11=""),"",INDEX(Lists!$B$2:$B$11,MATCH(E11,Lists!$A$2:$A$11,0)))</f>
        <v>GenAI knowledge assistant (RAG on own content)</v>
      </c>
      <c r="P11" s="37">
        <f>IF(O11="","",INDEX(Lists!$C$2:$C$11,MATCH(O11,Lists!$B$2:$B$11,0)))</f>
        <v>4</v>
      </c>
      <c r="Q11" s="37" t="str">
        <f>IF(O11="","",INDEX(Lists!$D$2:$D$11,MATCH(O11,Lists!$B$2:$B$11,0)))</f>
        <v>Yes</v>
      </c>
      <c r="R11" s="37" t="str">
        <f>IF(OR(O11="",I11=""),"",IF(INDEX(Lists!$N$2:$N$5,MATCH(I11,Lists!$M$2:$M$5,0))&gt;=INDEX(Lists!$E$2:$E$11,MATCH(O11,Lists!$B$2:$B$11,0)),"Data ready","Data gap"))</f>
        <v>Data ready</v>
      </c>
      <c r="S11" s="36" t="str">
        <f>IF(O11="","",IF(P11&lt;=IF('1. AI Position'!$C$30="",5,INDEX(Lists!$AI$2:$AI$5,'1. AI Position'!$C$30)),"Within current position","Beyond current position"))</f>
        <v>Within current position</v>
      </c>
      <c r="T11" s="38" t="str">
        <f>IF(O11="","",IF(COUNTA(E11:N11)&lt;10,"Complete inputs",IF(H11="No - varies by person / team","Redesign / standardise first",IF(Q11="No","Automate - AI not needed",IF(R11="Data gap","AI later - close data gap first",IF(S11="Beyond current position","Stretch - partner or later stage","AI fit now"))))))</f>
        <v>AI fit now</v>
      </c>
      <c r="U11" s="39">
        <f>IF(OR(T11="",T11="Complete inputs"),"",ROUND(0.3*INDEX(Lists!$N$8:$N$10,MATCH(F11,Lists!$M$8:$M$10,0))+0.25*IF(G11&lt;20,1,IF(G11&lt;80,2,IF(G11&lt;160,3,IF(G11&lt;480,4,5))))+0.25*J11+0.2*K11,2))</f>
        <v>3.7</v>
      </c>
      <c r="V11" s="39">
        <f>IF(U11="","",ROUND(0.3*IF(R11="Data ready",5,IF(INDEX(Lists!$N$2:$N$5,MATCH(I11,Lists!$M$2:$M$5,0))=INDEX(Lists!$E$2:$E$11,MATCH(O11,Lists!$B$2:$B$11,0))-1,3,1))+0.25*INDEX(Lists!$N$13:$N$15,MATCH(H11,Lists!$M$13:$M$15,0))+0.25*(6-P11)+0.2*IF(S11="Within current position",5,2),2))</f>
        <v>3.75</v>
      </c>
      <c r="W11" s="37" t="str">
        <f>IF(U11="","",IF(Q11="No",IF(L11="Yes","Medium","Low"),IF(IF(L11="Yes",2,0)+IF(M11="Yes",1,0)+INDEX(Lists!$N$18:$N$20,MATCH(N11,Lists!$M$18:$M$20,0))+IF(K11=5,2,IF(K11&gt;=4,1,0))&gt;=4,"High",IF(IF(L11="Yes",2,0)+IF(M11="Yes",1,0)+INDEX(Lists!$N$18:$N$20,MATCH(N11,Lists!$M$18:$M$20,0))+IF(K11=5,2,IF(K11&gt;=4,1,0))&gt;=2,"Medium","Low"))))</f>
        <v>Low</v>
      </c>
      <c r="X11" s="37" t="str">
        <f>IF(U11="","",IF(AND(U11&gt;=$D$4,V11&gt;=$D$4),"Quick win",IF(U11&gt;=$D$4,"Strategic bet",IF(V11&gt;=$D$4,"Fill-in","Deprioritise"))))</f>
        <v>Quick win</v>
      </c>
      <c r="Y11" s="39">
        <f>IF(U11="","",ROUND(U11*V11*IF(W11="High",0.85,1)*IF(T11="Redesign / standardise first",0.8,1),2))</f>
        <v>13.88</v>
      </c>
      <c r="Z11" s="40">
        <f>IF(Y11="","",RANK(Y11,$Y$8:$Y$57)+COUNTIF($Y$7:Y10,Y11))</f>
        <v>10</v>
      </c>
      <c r="AA11" s="36" t="str">
        <f>IF(AC11="","",INDEX(Lists!$AV$2:$AV$5,AC11))</f>
        <v>H1 - Now (0-6 months)</v>
      </c>
      <c r="AB11" s="41">
        <f>IF(Y11="","",ROUND(G11*12*INDEX(Lists!$F$2:$F$11,MATCH(O11,Lists!$B$2:$B$11,0)),0))</f>
        <v>480</v>
      </c>
      <c r="AC11" s="37">
        <f>IF(Y11="","",IF(X11="Deprioritise",4,IF(T11="AI later - close data gap first",3,IF(OR(T11="Redesign / standardise first",T11="Stretch - partner or later stage",X11="Strategic bet"),2,1))))</f>
        <v>1</v>
      </c>
      <c r="AD11" s="37">
        <f>IF(Z11="","",AC11*100+Z11)</f>
        <v>110</v>
      </c>
    </row>
    <row r="12" ht="40" customHeight="1">
      <c r="A12" s="14" t="n">
        <v>5</v>
      </c>
      <c r="B12" s="35" t="inlineStr">
        <is>
          <t>Core service delivery / operations</t>
        </is>
      </c>
      <c r="C12" s="35" t="inlineStr">
        <is>
          <t>Tax - VAT return data preparation</t>
        </is>
      </c>
      <c r="D12" s="35" t="inlineStr">
        <is>
          <t>Collating client transaction data and VAT codes</t>
        </is>
      </c>
      <c r="E12" s="35" t="inlineStr">
        <is>
          <t>Move or re-key data between systems following fixed rules</t>
        </is>
      </c>
      <c r="F12" s="35" t="inlineStr">
        <is>
          <t>High (more than 1,000 a month)</t>
        </is>
      </c>
      <c r="G12" s="35" t="n">
        <v>200</v>
      </c>
      <c r="H12" s="35" t="inlineStr">
        <is>
          <t>Yes - documented and consistent</t>
        </is>
      </c>
      <c r="I12" s="35" t="inlineStr">
        <is>
          <t>Digital history available</t>
        </is>
      </c>
      <c r="J12" s="35" t="n">
        <v>3</v>
      </c>
      <c r="K12" s="35" t="n">
        <v>4</v>
      </c>
      <c r="L12" s="35" t="inlineStr">
        <is>
          <t>No</t>
        </is>
      </c>
      <c r="M12" s="35" t="inlineStr">
        <is>
          <t>Yes</t>
        </is>
      </c>
      <c r="N12" s="35" t="inlineStr">
        <is>
          <t>Human approves each AI output</t>
        </is>
      </c>
      <c r="O12" s="36" t="str">
        <f>IF(OR(C12="",E12=""),"",INDEX(Lists!$B$2:$B$11,MATCH(E12,Lists!$A$2:$A$11,0)))</f>
        <v>Workflow automation / RPA</v>
      </c>
      <c r="P12" s="37">
        <f>IF(O12="","",INDEX(Lists!$C$2:$C$11,MATCH(O12,Lists!$B$2:$B$11,0)))</f>
        <v>2</v>
      </c>
      <c r="Q12" s="37" t="str">
        <f>IF(O12="","",INDEX(Lists!$D$2:$D$11,MATCH(O12,Lists!$B$2:$B$11,0)))</f>
        <v>No</v>
      </c>
      <c r="R12" s="37" t="str">
        <f>IF(OR(O12="",I12=""),"",IF(INDEX(Lists!$N$2:$N$5,MATCH(I12,Lists!$M$2:$M$5,0))&gt;=INDEX(Lists!$E$2:$E$11,MATCH(O12,Lists!$B$2:$B$11,0)),"Data ready","Data gap"))</f>
        <v>Data ready</v>
      </c>
      <c r="S12" s="36" t="str">
        <f>IF(O12="","",IF(P12&lt;=IF('1. AI Position'!$C$30="",5,INDEX(Lists!$AI$2:$AI$5,'1. AI Position'!$C$30)),"Within current position","Beyond current position"))</f>
        <v>Within current position</v>
      </c>
      <c r="T12" s="38" t="str">
        <f>IF(O12="","",IF(COUNTA(E12:N12)&lt;10,"Complete inputs",IF(H12="No - varies by person / team","Redesign / standardise first",IF(Q12="No","Automate - AI not needed",IF(R12="Data gap","AI later - close data gap first",IF(S12="Beyond current position","Stretch - partner or later stage","AI fit now"))))))</f>
        <v>Automate - AI not needed</v>
      </c>
      <c r="U12" s="39">
        <f>IF(OR(T12="",T12="Complete inputs"),"",ROUND(0.3*INDEX(Lists!$N$8:$N$10,MATCH(F12,Lists!$M$8:$M$10,0))+0.25*IF(G12&lt;20,1,IF(G12&lt;80,2,IF(G12&lt;160,3,IF(G12&lt;480,4,5))))+0.25*J12+0.2*K12,2))</f>
        <v>4.05</v>
      </c>
      <c r="V12" s="39">
        <f>IF(U12="","",ROUND(0.3*IF(R12="Data ready",5,IF(INDEX(Lists!$N$2:$N$5,MATCH(I12,Lists!$M$2:$M$5,0))=INDEX(Lists!$E$2:$E$11,MATCH(O12,Lists!$B$2:$B$11,0))-1,3,1))+0.25*INDEX(Lists!$N$13:$N$15,MATCH(H12,Lists!$M$13:$M$15,0))+0.25*(6-P12)+0.2*IF(S12="Within current position",5,2),2))</f>
        <v>4.75</v>
      </c>
      <c r="W12" s="37" t="str">
        <f>IF(U12="","",IF(Q12="No",IF(L12="Yes","Medium","Low"),IF(IF(L12="Yes",2,0)+IF(M12="Yes",1,0)+INDEX(Lists!$N$18:$N$20,MATCH(N12,Lists!$M$18:$M$20,0))+IF(K12=5,2,IF(K12&gt;=4,1,0))&gt;=4,"High",IF(IF(L12="Yes",2,0)+IF(M12="Yes",1,0)+INDEX(Lists!$N$18:$N$20,MATCH(N12,Lists!$M$18:$M$20,0))+IF(K12=5,2,IF(K12&gt;=4,1,0))&gt;=2,"Medium","Low"))))</f>
        <v>Low</v>
      </c>
      <c r="X12" s="37" t="str">
        <f>IF(U12="","",IF(AND(U12&gt;=$D$4,V12&gt;=$D$4),"Quick win",IF(U12&gt;=$D$4,"Strategic bet",IF(V12&gt;=$D$4,"Fill-in","Deprioritise"))))</f>
        <v>Quick win</v>
      </c>
      <c r="Y12" s="39">
        <f>IF(U12="","",ROUND(U12*V12*IF(W12="High",0.85,1)*IF(T12="Redesign / standardise first",0.8,1),2))</f>
        <v>19.24</v>
      </c>
      <c r="Z12" s="40">
        <f>IF(Y12="","",RANK(Y12,$Y$8:$Y$57)+COUNTIF($Y$7:Y11,Y12))</f>
        <v>1</v>
      </c>
      <c r="AA12" s="36" t="str">
        <f>IF(AC12="","",INDEX(Lists!$AV$2:$AV$5,AC12))</f>
        <v>H1 - Now (0-6 months)</v>
      </c>
      <c r="AB12" s="41">
        <f>IF(Y12="","",ROUND(G12*12*INDEX(Lists!$F$2:$F$11,MATCH(O12,Lists!$B$2:$B$11,0)),0))</f>
        <v>1440</v>
      </c>
      <c r="AC12" s="37">
        <f>IF(Y12="","",IF(X12="Deprioritise",4,IF(T12="AI later - close data gap first",3,IF(OR(T12="Redesign / standardise first",T12="Stretch - partner or later stage",X12="Strategic bet"),2,1))))</f>
        <v>1</v>
      </c>
      <c r="AD12" s="37">
        <f>IF(Z12="","",AC12*100+Z12)</f>
        <v>101</v>
      </c>
    </row>
    <row r="13" ht="40" customHeight="1">
      <c r="A13" s="14" t="n">
        <v>6</v>
      </c>
      <c r="B13" s="35" t="inlineStr">
        <is>
          <t>Customer service &amp; sales</t>
        </is>
      </c>
      <c r="C13" s="35" t="inlineStr">
        <is>
          <t>Proposals and tender responses</t>
        </is>
      </c>
      <c r="D13" s="35" t="inlineStr">
        <is>
          <t>Re-writing similar credentials and methodology</t>
        </is>
      </c>
      <c r="E13" s="35" t="inlineStr">
        <is>
          <t>Draft, summarise, translate or review text</t>
        </is>
      </c>
      <c r="F13" s="35" t="inlineStr">
        <is>
          <t>Medium (100 - 1,000 a month)</t>
        </is>
      </c>
      <c r="G13" s="35" t="n">
        <v>350</v>
      </c>
      <c r="H13" s="35" t="inlineStr">
        <is>
          <t>Partly - common steps, some variation</t>
        </is>
      </c>
      <c r="I13" s="35" t="inlineStr">
        <is>
          <t>Digital history available</t>
        </is>
      </c>
      <c r="J13" s="35" t="n">
        <v>4</v>
      </c>
      <c r="K13" s="35" t="n">
        <v>4</v>
      </c>
      <c r="L13" s="35" t="inlineStr">
        <is>
          <t>No</t>
        </is>
      </c>
      <c r="M13" s="35" t="inlineStr">
        <is>
          <t>No</t>
        </is>
      </c>
      <c r="N13" s="35" t="inlineStr">
        <is>
          <t>Assist - AI suggests, a person does the work</t>
        </is>
      </c>
      <c r="O13" s="36" t="str">
        <f>IF(OR(C13="",E13=""),"",INDEX(Lists!$B$2:$B$11,MATCH(E13,Lists!$A$2:$A$11,0)))</f>
        <v>Generative AI assistant (off-the-shelf)</v>
      </c>
      <c r="P13" s="37">
        <f>IF(O13="","",INDEX(Lists!$C$2:$C$11,MATCH(O13,Lists!$B$2:$B$11,0)))</f>
        <v>3</v>
      </c>
      <c r="Q13" s="37" t="str">
        <f>IF(O13="","",INDEX(Lists!$D$2:$D$11,MATCH(O13,Lists!$B$2:$B$11,0)))</f>
        <v>Yes</v>
      </c>
      <c r="R13" s="37" t="str">
        <f>IF(OR(O13="",I13=""),"",IF(INDEX(Lists!$N$2:$N$5,MATCH(I13,Lists!$M$2:$M$5,0))&gt;=INDEX(Lists!$E$2:$E$11,MATCH(O13,Lists!$B$2:$B$11,0)),"Data ready","Data gap"))</f>
        <v>Data ready</v>
      </c>
      <c r="S13" s="36" t="str">
        <f>IF(O13="","",IF(P13&lt;=IF('1. AI Position'!$C$30="",5,INDEX(Lists!$AI$2:$AI$5,'1. AI Position'!$C$30)),"Within current position","Beyond current position"))</f>
        <v>Within current position</v>
      </c>
      <c r="T13" s="38" t="str">
        <f>IF(O13="","",IF(COUNTA(E13:N13)&lt;10,"Complete inputs",IF(H13="No - varies by person / team","Redesign / standardise first",IF(Q13="No","Automate - AI not needed",IF(R13="Data gap","AI later - close data gap first",IF(S13="Beyond current position","Stretch - partner or later stage","AI fit now"))))))</f>
        <v>AI fit now</v>
      </c>
      <c r="U13" s="39">
        <f>IF(OR(T13="",T13="Complete inputs"),"",ROUND(0.3*INDEX(Lists!$N$8:$N$10,MATCH(F13,Lists!$M$8:$M$10,0))+0.25*IF(G13&lt;20,1,IF(G13&lt;80,2,IF(G13&lt;160,3,IF(G13&lt;480,4,5))))+0.25*J13+0.2*K13,2))</f>
        <v>3.7</v>
      </c>
      <c r="V13" s="39">
        <f>IF(U13="","",ROUND(0.3*IF(R13="Data ready",5,IF(INDEX(Lists!$N$2:$N$5,MATCH(I13,Lists!$M$2:$M$5,0))=INDEX(Lists!$E$2:$E$11,MATCH(O13,Lists!$B$2:$B$11,0))-1,3,1))+0.25*INDEX(Lists!$N$13:$N$15,MATCH(H13,Lists!$M$13:$M$15,0))+0.25*(6-P13)+0.2*IF(S13="Within current position",5,2),2))</f>
        <v>4</v>
      </c>
      <c r="W13" s="37" t="str">
        <f>IF(U13="","",IF(Q13="No",IF(L13="Yes","Medium","Low"),IF(IF(L13="Yes",2,0)+IF(M13="Yes",1,0)+INDEX(Lists!$N$18:$N$20,MATCH(N13,Lists!$M$18:$M$20,0))+IF(K13=5,2,IF(K13&gt;=4,1,0))&gt;=4,"High",IF(IF(L13="Yes",2,0)+IF(M13="Yes",1,0)+INDEX(Lists!$N$18:$N$20,MATCH(N13,Lists!$M$18:$M$20,0))+IF(K13=5,2,IF(K13&gt;=4,1,0))&gt;=2,"Medium","Low"))))</f>
        <v>Low</v>
      </c>
      <c r="X13" s="37" t="str">
        <f>IF(U13="","",IF(AND(U13&gt;=$D$4,V13&gt;=$D$4),"Quick win",IF(U13&gt;=$D$4,"Strategic bet",IF(V13&gt;=$D$4,"Fill-in","Deprioritise"))))</f>
        <v>Quick win</v>
      </c>
      <c r="Y13" s="39">
        <f>IF(U13="","",ROUND(U13*V13*IF(W13="High",0.85,1)*IF(T13="Redesign / standardise first",0.8,1),2))</f>
        <v>14.8</v>
      </c>
      <c r="Z13" s="40">
        <f>IF(Y13="","",RANK(Y13,$Y$8:$Y$57)+COUNTIF($Y$7:Y12,Y13))</f>
        <v>8</v>
      </c>
      <c r="AA13" s="36" t="str">
        <f>IF(AC13="","",INDEX(Lists!$AV$2:$AV$5,AC13))</f>
        <v>H1 - Now (0-6 months)</v>
      </c>
      <c r="AB13" s="41">
        <f>IF(Y13="","",ROUND(G13*12*INDEX(Lists!$F$2:$F$11,MATCH(O13,Lists!$B$2:$B$11,0)),0))</f>
        <v>1260</v>
      </c>
      <c r="AC13" s="37">
        <f>IF(Y13="","",IF(X13="Deprioritise",4,IF(T13="AI later - close data gap first",3,IF(OR(T13="Redesign / standardise first",T13="Stretch - partner or later stage",X13="Strategic bet"),2,1))))</f>
        <v>1</v>
      </c>
      <c r="AD13" s="37">
        <f>IF(Z13="","",AC13*100+Z13)</f>
        <v>108</v>
      </c>
    </row>
    <row r="14" ht="40" customHeight="1">
      <c r="A14" s="14" t="n">
        <v>7</v>
      </c>
      <c r="B14" s="35" t="inlineStr">
        <is>
          <t>Core service delivery / operations</t>
        </is>
      </c>
      <c r="C14" s="35" t="inlineStr">
        <is>
          <t>Advisory - contract and document review (due diligence)</t>
        </is>
      </c>
      <c r="D14" s="35" t="inlineStr">
        <is>
          <t>Large data rooms reviewed by hand</t>
        </is>
      </c>
      <c r="E14" s="35" t="inlineStr">
        <is>
          <t>Draft, summarise, translate or review text</t>
        </is>
      </c>
      <c r="F14" s="35" t="inlineStr">
        <is>
          <t>Medium (100 - 1,000 a month)</t>
        </is>
      </c>
      <c r="G14" s="35" t="n">
        <v>220</v>
      </c>
      <c r="H14" s="35" t="inlineStr">
        <is>
          <t>Partly - common steps, some variation</t>
        </is>
      </c>
      <c r="I14" s="35" t="inlineStr">
        <is>
          <t>Digital history available</t>
        </is>
      </c>
      <c r="J14" s="35" t="n">
        <v>4</v>
      </c>
      <c r="K14" s="35" t="n">
        <v>4</v>
      </c>
      <c r="L14" s="35" t="inlineStr">
        <is>
          <t>No</t>
        </is>
      </c>
      <c r="M14" s="35" t="inlineStr">
        <is>
          <t>Yes</t>
        </is>
      </c>
      <c r="N14" s="35" t="inlineStr">
        <is>
          <t>Human approves each AI output</t>
        </is>
      </c>
      <c r="O14" s="36" t="str">
        <f>IF(OR(C14="",E14=""),"",INDEX(Lists!$B$2:$B$11,MATCH(E14,Lists!$A$2:$A$11,0)))</f>
        <v>Generative AI assistant (off-the-shelf)</v>
      </c>
      <c r="P14" s="37">
        <f>IF(O14="","",INDEX(Lists!$C$2:$C$11,MATCH(O14,Lists!$B$2:$B$11,0)))</f>
        <v>3</v>
      </c>
      <c r="Q14" s="37" t="str">
        <f>IF(O14="","",INDEX(Lists!$D$2:$D$11,MATCH(O14,Lists!$B$2:$B$11,0)))</f>
        <v>Yes</v>
      </c>
      <c r="R14" s="37" t="str">
        <f>IF(OR(O14="",I14=""),"",IF(INDEX(Lists!$N$2:$N$5,MATCH(I14,Lists!$M$2:$M$5,0))&gt;=INDEX(Lists!$E$2:$E$11,MATCH(O14,Lists!$B$2:$B$11,0)),"Data ready","Data gap"))</f>
        <v>Data ready</v>
      </c>
      <c r="S14" s="36" t="str">
        <f>IF(O14="","",IF(P14&lt;=IF('1. AI Position'!$C$30="",5,INDEX(Lists!$AI$2:$AI$5,'1. AI Position'!$C$30)),"Within current position","Beyond current position"))</f>
        <v>Within current position</v>
      </c>
      <c r="T14" s="38" t="str">
        <f>IF(O14="","",IF(COUNTA(E14:N14)&lt;10,"Complete inputs",IF(H14="No - varies by person / team","Redesign / standardise first",IF(Q14="No","Automate - AI not needed",IF(R14="Data gap","AI later - close data gap first",IF(S14="Beyond current position","Stretch - partner or later stage","AI fit now"))))))</f>
        <v>AI fit now</v>
      </c>
      <c r="U14" s="39">
        <f>IF(OR(T14="",T14="Complete inputs"),"",ROUND(0.3*INDEX(Lists!$N$8:$N$10,MATCH(F14,Lists!$M$8:$M$10,0))+0.25*IF(G14&lt;20,1,IF(G14&lt;80,2,IF(G14&lt;160,3,IF(G14&lt;480,4,5))))+0.25*J14+0.2*K14,2))</f>
        <v>3.7</v>
      </c>
      <c r="V14" s="39">
        <f>IF(U14="","",ROUND(0.3*IF(R14="Data ready",5,IF(INDEX(Lists!$N$2:$N$5,MATCH(I14,Lists!$M$2:$M$5,0))=INDEX(Lists!$E$2:$E$11,MATCH(O14,Lists!$B$2:$B$11,0))-1,3,1))+0.25*INDEX(Lists!$N$13:$N$15,MATCH(H14,Lists!$M$13:$M$15,0))+0.25*(6-P14)+0.2*IF(S14="Within current position",5,2),2))</f>
        <v>4</v>
      </c>
      <c r="W14" s="37" t="str">
        <f>IF(U14="","",IF(Q14="No",IF(L14="Yes","Medium","Low"),IF(IF(L14="Yes",2,0)+IF(M14="Yes",1,0)+INDEX(Lists!$N$18:$N$20,MATCH(N14,Lists!$M$18:$M$20,0))+IF(K14=5,2,IF(K14&gt;=4,1,0))&gt;=4,"High",IF(IF(L14="Yes",2,0)+IF(M14="Yes",1,0)+INDEX(Lists!$N$18:$N$20,MATCH(N14,Lists!$M$18:$M$20,0))+IF(K14=5,2,IF(K14&gt;=4,1,0))&gt;=2,"Medium","Low"))))</f>
        <v>Medium</v>
      </c>
      <c r="X14" s="37" t="str">
        <f>IF(U14="","",IF(AND(U14&gt;=$D$4,V14&gt;=$D$4),"Quick win",IF(U14&gt;=$D$4,"Strategic bet",IF(V14&gt;=$D$4,"Fill-in","Deprioritise"))))</f>
        <v>Quick win</v>
      </c>
      <c r="Y14" s="39">
        <f>IF(U14="","",ROUND(U14*V14*IF(W14="High",0.85,1)*IF(T14="Redesign / standardise first",0.8,1),2))</f>
        <v>14.8</v>
      </c>
      <c r="Z14" s="40">
        <f>IF(Y14="","",RANK(Y14,$Y$8:$Y$57)+COUNTIF($Y$7:Y13,Y14))</f>
        <v>9</v>
      </c>
      <c r="AA14" s="36" t="str">
        <f>IF(AC14="","",INDEX(Lists!$AV$2:$AV$5,AC14))</f>
        <v>H1 - Now (0-6 months)</v>
      </c>
      <c r="AB14" s="41">
        <f>IF(Y14="","",ROUND(G14*12*INDEX(Lists!$F$2:$F$11,MATCH(O14,Lists!$B$2:$B$11,0)),0))</f>
        <v>792</v>
      </c>
      <c r="AC14" s="37">
        <f>IF(Y14="","",IF(X14="Deprioritise",4,IF(T14="AI later - close data gap first",3,IF(OR(T14="Redesign / standardise first",T14="Stretch - partner or later stage",X14="Strategic bet"),2,1))))</f>
        <v>1</v>
      </c>
      <c r="AD14" s="37">
        <f>IF(Z14="","",AC14*100+Z14)</f>
        <v>109</v>
      </c>
    </row>
    <row r="15" ht="40" customHeight="1">
      <c r="A15" s="14" t="n">
        <v>8</v>
      </c>
      <c r="B15" s="35" t="inlineStr">
        <is>
          <t>Management &amp; reporting</t>
        </is>
      </c>
      <c r="C15" s="35" t="inlineStr">
        <is>
          <t>Meeting minutes and action tracking</t>
        </is>
      </c>
      <c r="D15" s="35" t="inlineStr">
        <is>
          <t>Minutes late; actions lost</t>
        </is>
      </c>
      <c r="E15" s="35" t="inlineStr">
        <is>
          <t>Draft, summarise, translate or review text</t>
        </is>
      </c>
      <c r="F15" s="35" t="inlineStr">
        <is>
          <t>High (more than 1,000 a month)</t>
        </is>
      </c>
      <c r="G15" s="35" t="n">
        <v>250</v>
      </c>
      <c r="H15" s="35" t="inlineStr">
        <is>
          <t>Yes - documented and consistent</t>
        </is>
      </c>
      <c r="I15" s="35" t="inlineStr">
        <is>
          <t>Partial or paper-based</t>
        </is>
      </c>
      <c r="J15" s="35" t="n">
        <v>3</v>
      </c>
      <c r="K15" s="35" t="n">
        <v>3</v>
      </c>
      <c r="L15" s="35" t="inlineStr">
        <is>
          <t>No</t>
        </is>
      </c>
      <c r="M15" s="35" t="inlineStr">
        <is>
          <t>No</t>
        </is>
      </c>
      <c r="N15" s="35" t="inlineStr">
        <is>
          <t>Assist - AI suggests, a person does the work</t>
        </is>
      </c>
      <c r="O15" s="36" t="str">
        <f>IF(OR(C15="",E15=""),"",INDEX(Lists!$B$2:$B$11,MATCH(E15,Lists!$A$2:$A$11,0)))</f>
        <v>Generative AI assistant (off-the-shelf)</v>
      </c>
      <c r="P15" s="37">
        <f>IF(O15="","",INDEX(Lists!$C$2:$C$11,MATCH(O15,Lists!$B$2:$B$11,0)))</f>
        <v>3</v>
      </c>
      <c r="Q15" s="37" t="str">
        <f>IF(O15="","",INDEX(Lists!$D$2:$D$11,MATCH(O15,Lists!$B$2:$B$11,0)))</f>
        <v>Yes</v>
      </c>
      <c r="R15" s="37" t="str">
        <f>IF(OR(O15="",I15=""),"",IF(INDEX(Lists!$N$2:$N$5,MATCH(I15,Lists!$M$2:$M$5,0))&gt;=INDEX(Lists!$E$2:$E$11,MATCH(O15,Lists!$B$2:$B$11,0)),"Data ready","Data gap"))</f>
        <v>Data ready</v>
      </c>
      <c r="S15" s="36" t="str">
        <f>IF(O15="","",IF(P15&lt;=IF('1. AI Position'!$C$30="",5,INDEX(Lists!$AI$2:$AI$5,'1. AI Position'!$C$30)),"Within current position","Beyond current position"))</f>
        <v>Within current position</v>
      </c>
      <c r="T15" s="38" t="str">
        <f>IF(O15="","",IF(COUNTA(E15:N15)&lt;10,"Complete inputs",IF(H15="No - varies by person / team","Redesign / standardise first",IF(Q15="No","Automate - AI not needed",IF(R15="Data gap","AI later - close data gap first",IF(S15="Beyond current position","Stretch - partner or later stage","AI fit now"))))))</f>
        <v>AI fit now</v>
      </c>
      <c r="U15" s="39">
        <f>IF(OR(T15="",T15="Complete inputs"),"",ROUND(0.3*INDEX(Lists!$N$8:$N$10,MATCH(F15,Lists!$M$8:$M$10,0))+0.25*IF(G15&lt;20,1,IF(G15&lt;80,2,IF(G15&lt;160,3,IF(G15&lt;480,4,5))))+0.25*J15+0.2*K15,2))</f>
        <v>3.85</v>
      </c>
      <c r="V15" s="39">
        <f>IF(U15="","",ROUND(0.3*IF(R15="Data ready",5,IF(INDEX(Lists!$N$2:$N$5,MATCH(I15,Lists!$M$2:$M$5,0))=INDEX(Lists!$E$2:$E$11,MATCH(O15,Lists!$B$2:$B$11,0))-1,3,1))+0.25*INDEX(Lists!$N$13:$N$15,MATCH(H15,Lists!$M$13:$M$15,0))+0.25*(6-P15)+0.2*IF(S15="Within current position",5,2),2))</f>
        <v>4.5</v>
      </c>
      <c r="W15" s="37" t="str">
        <f>IF(U15="","",IF(Q15="No",IF(L15="Yes","Medium","Low"),IF(IF(L15="Yes",2,0)+IF(M15="Yes",1,0)+INDEX(Lists!$N$18:$N$20,MATCH(N15,Lists!$M$18:$M$20,0))+IF(K15=5,2,IF(K15&gt;=4,1,0))&gt;=4,"High",IF(IF(L15="Yes",2,0)+IF(M15="Yes",1,0)+INDEX(Lists!$N$18:$N$20,MATCH(N15,Lists!$M$18:$M$20,0))+IF(K15=5,2,IF(K15&gt;=4,1,0))&gt;=2,"Medium","Low"))))</f>
        <v>Low</v>
      </c>
      <c r="X15" s="37" t="str">
        <f>IF(U15="","",IF(AND(U15&gt;=$D$4,V15&gt;=$D$4),"Quick win",IF(U15&gt;=$D$4,"Strategic bet",IF(V15&gt;=$D$4,"Fill-in","Deprioritise"))))</f>
        <v>Quick win</v>
      </c>
      <c r="Y15" s="39">
        <f>IF(U15="","",ROUND(U15*V15*IF(W15="High",0.85,1)*IF(T15="Redesign / standardise first",0.8,1),2))</f>
        <v>17.33</v>
      </c>
      <c r="Z15" s="40">
        <f>IF(Y15="","",RANK(Y15,$Y$8:$Y$57)+COUNTIF($Y$7:Y14,Y15))</f>
        <v>3</v>
      </c>
      <c r="AA15" s="36" t="str">
        <f>IF(AC15="","",INDEX(Lists!$AV$2:$AV$5,AC15))</f>
        <v>H1 - Now (0-6 months)</v>
      </c>
      <c r="AB15" s="41">
        <f>IF(Y15="","",ROUND(G15*12*INDEX(Lists!$F$2:$F$11,MATCH(O15,Lists!$B$2:$B$11,0)),0))</f>
        <v>900</v>
      </c>
      <c r="AC15" s="37">
        <f>IF(Y15="","",IF(X15="Deprioritise",4,IF(T15="AI later - close data gap first",3,IF(OR(T15="Redesign / standardise first",T15="Stretch - partner or later stage",X15="Strategic bet"),2,1))))</f>
        <v>1</v>
      </c>
      <c r="AD15" s="37">
        <f>IF(Z15="","",AC15*100+Z15)</f>
        <v>103</v>
      </c>
    </row>
    <row r="16" ht="40" customHeight="1">
      <c r="A16" s="14" t="n">
        <v>9</v>
      </c>
      <c r="B16" s="35" t="inlineStr">
        <is>
          <t>Knowledge &amp; collaboration</t>
        </is>
      </c>
      <c r="C16" s="35" t="inlineStr">
        <is>
          <t>Methodology and knowledge Q&amp;A</t>
        </is>
      </c>
      <c r="D16" s="35" t="inlineStr">
        <is>
          <t>Staff search across manuals and past work</t>
        </is>
      </c>
      <c r="E16" s="35" t="inlineStr">
        <is>
          <t>Answer questions from internal knowledge, policies or past work</t>
        </is>
      </c>
      <c r="F16" s="35" t="inlineStr">
        <is>
          <t>High (more than 1,000 a month)</t>
        </is>
      </c>
      <c r="G16" s="35" t="n">
        <v>200</v>
      </c>
      <c r="H16" s="35" t="inlineStr">
        <is>
          <t>Partly - common steps, some variation</t>
        </is>
      </c>
      <c r="I16" s="35" t="inlineStr">
        <is>
          <t>Digital history available</t>
        </is>
      </c>
      <c r="J16" s="35" t="n">
        <v>4</v>
      </c>
      <c r="K16" s="35" t="n">
        <v>3</v>
      </c>
      <c r="L16" s="35" t="inlineStr">
        <is>
          <t>No</t>
        </is>
      </c>
      <c r="M16" s="35" t="inlineStr">
        <is>
          <t>No</t>
        </is>
      </c>
      <c r="N16" s="35" t="inlineStr">
        <is>
          <t>Assist - AI suggests, a person does the work</t>
        </is>
      </c>
      <c r="O16" s="36" t="str">
        <f>IF(OR(C16="",E16=""),"",INDEX(Lists!$B$2:$B$11,MATCH(E16,Lists!$A$2:$A$11,0)))</f>
        <v>GenAI knowledge assistant (RAG on own content)</v>
      </c>
      <c r="P16" s="37">
        <f>IF(O16="","",INDEX(Lists!$C$2:$C$11,MATCH(O16,Lists!$B$2:$B$11,0)))</f>
        <v>4</v>
      </c>
      <c r="Q16" s="37" t="str">
        <f>IF(O16="","",INDEX(Lists!$D$2:$D$11,MATCH(O16,Lists!$B$2:$B$11,0)))</f>
        <v>Yes</v>
      </c>
      <c r="R16" s="37" t="str">
        <f>IF(OR(O16="",I16=""),"",IF(INDEX(Lists!$N$2:$N$5,MATCH(I16,Lists!$M$2:$M$5,0))&gt;=INDEX(Lists!$E$2:$E$11,MATCH(O16,Lists!$B$2:$B$11,0)),"Data ready","Data gap"))</f>
        <v>Data ready</v>
      </c>
      <c r="S16" s="36" t="str">
        <f>IF(O16="","",IF(P16&lt;=IF('1. AI Position'!$C$30="",5,INDEX(Lists!$AI$2:$AI$5,'1. AI Position'!$C$30)),"Within current position","Beyond current position"))</f>
        <v>Within current position</v>
      </c>
      <c r="T16" s="38" t="str">
        <f>IF(O16="","",IF(COUNTA(E16:N16)&lt;10,"Complete inputs",IF(H16="No - varies by person / team","Redesign / standardise first",IF(Q16="No","Automate - AI not needed",IF(R16="Data gap","AI later - close data gap first",IF(S16="Beyond current position","Stretch - partner or later stage","AI fit now"))))))</f>
        <v>AI fit now</v>
      </c>
      <c r="U16" s="39">
        <f>IF(OR(T16="",T16="Complete inputs"),"",ROUND(0.3*INDEX(Lists!$N$8:$N$10,MATCH(F16,Lists!$M$8:$M$10,0))+0.25*IF(G16&lt;20,1,IF(G16&lt;80,2,IF(G16&lt;160,3,IF(G16&lt;480,4,5))))+0.25*J16+0.2*K16,2))</f>
        <v>4.1</v>
      </c>
      <c r="V16" s="39">
        <f>IF(U16="","",ROUND(0.3*IF(R16="Data ready",5,IF(INDEX(Lists!$N$2:$N$5,MATCH(I16,Lists!$M$2:$M$5,0))=INDEX(Lists!$E$2:$E$11,MATCH(O16,Lists!$B$2:$B$11,0))-1,3,1))+0.25*INDEX(Lists!$N$13:$N$15,MATCH(H16,Lists!$M$13:$M$15,0))+0.25*(6-P16)+0.2*IF(S16="Within current position",5,2),2))</f>
        <v>3.75</v>
      </c>
      <c r="W16" s="37" t="str">
        <f>IF(U16="","",IF(Q16="No",IF(L16="Yes","Medium","Low"),IF(IF(L16="Yes",2,0)+IF(M16="Yes",1,0)+INDEX(Lists!$N$18:$N$20,MATCH(N16,Lists!$M$18:$M$20,0))+IF(K16=5,2,IF(K16&gt;=4,1,0))&gt;=4,"High",IF(IF(L16="Yes",2,0)+IF(M16="Yes",1,0)+INDEX(Lists!$N$18:$N$20,MATCH(N16,Lists!$M$18:$M$20,0))+IF(K16=5,2,IF(K16&gt;=4,1,0))&gt;=2,"Medium","Low"))))</f>
        <v>Low</v>
      </c>
      <c r="X16" s="37" t="str">
        <f>IF(U16="","",IF(AND(U16&gt;=$D$4,V16&gt;=$D$4),"Quick win",IF(U16&gt;=$D$4,"Strategic bet",IF(V16&gt;=$D$4,"Fill-in","Deprioritise"))))</f>
        <v>Quick win</v>
      </c>
      <c r="Y16" s="39">
        <f>IF(U16="","",ROUND(U16*V16*IF(W16="High",0.85,1)*IF(T16="Redesign / standardise first",0.8,1),2))</f>
        <v>15.38</v>
      </c>
      <c r="Z16" s="40">
        <f>IF(Y16="","",RANK(Y16,$Y$8:$Y$57)+COUNTIF($Y$7:Y15,Y16))</f>
        <v>7</v>
      </c>
      <c r="AA16" s="36" t="str">
        <f>IF(AC16="","",INDEX(Lists!$AV$2:$AV$5,AC16))</f>
        <v>H1 - Now (0-6 months)</v>
      </c>
      <c r="AB16" s="41">
        <f>IF(Y16="","",ROUND(G16*12*INDEX(Lists!$F$2:$F$11,MATCH(O16,Lists!$B$2:$B$11,0)),0))</f>
        <v>600</v>
      </c>
      <c r="AC16" s="37">
        <f>IF(Y16="","",IF(X16="Deprioritise",4,IF(T16="AI later - close data gap first",3,IF(OR(T16="Redesign / standardise first",T16="Stretch - partner or later stage",X16="Strategic bet"),2,1))))</f>
        <v>1</v>
      </c>
      <c r="AD16" s="37">
        <f>IF(Z16="","",AC16*100+Z16)</f>
        <v>107</v>
      </c>
    </row>
    <row r="17" ht="40" customHeight="1">
      <c r="A17" s="14" t="n">
        <v>10</v>
      </c>
      <c r="B17" s="35" t="inlineStr">
        <is>
          <t>Risk, compliance &amp; legal</t>
        </is>
      </c>
      <c r="C17" s="35" t="inlineStr">
        <is>
          <t>Client acceptance, KYC and independence checks</t>
        </is>
      </c>
      <c r="D17" s="35" t="inlineStr">
        <is>
          <t>Checks collated by email and spreadsheets</t>
        </is>
      </c>
      <c r="E17" s="35" t="inlineStr">
        <is>
          <t>Check or approve items against fixed criteria (rules, thresholds, checklists)</t>
        </is>
      </c>
      <c r="F17" s="35" t="inlineStr">
        <is>
          <t>Medium (100 - 1,000 a month)</t>
        </is>
      </c>
      <c r="G17" s="35" t="n">
        <v>140</v>
      </c>
      <c r="H17" s="35" t="inlineStr">
        <is>
          <t>Yes - documented and consistent</t>
        </is>
      </c>
      <c r="I17" s="35" t="inlineStr">
        <is>
          <t>Digital history available</t>
        </is>
      </c>
      <c r="J17" s="35" t="n">
        <v>4</v>
      </c>
      <c r="K17" s="35" t="n">
        <v>4</v>
      </c>
      <c r="L17" s="35" t="inlineStr">
        <is>
          <t>No</t>
        </is>
      </c>
      <c r="M17" s="35" t="inlineStr">
        <is>
          <t>Yes</t>
        </is>
      </c>
      <c r="N17" s="35" t="inlineStr">
        <is>
          <t>Human approves each AI output</t>
        </is>
      </c>
      <c r="O17" s="36" t="str">
        <f>IF(OR(C17="",E17=""),"",INDEX(Lists!$B$2:$B$11,MATCH(E17,Lists!$A$2:$A$11,0)))</f>
        <v>Rules engine / workflow automation</v>
      </c>
      <c r="P17" s="37">
        <f>IF(O17="","",INDEX(Lists!$C$2:$C$11,MATCH(O17,Lists!$B$2:$B$11,0)))</f>
        <v>2</v>
      </c>
      <c r="Q17" s="37" t="str">
        <f>IF(O17="","",INDEX(Lists!$D$2:$D$11,MATCH(O17,Lists!$B$2:$B$11,0)))</f>
        <v>No</v>
      </c>
      <c r="R17" s="37" t="str">
        <f>IF(OR(O17="",I17=""),"",IF(INDEX(Lists!$N$2:$N$5,MATCH(I17,Lists!$M$2:$M$5,0))&gt;=INDEX(Lists!$E$2:$E$11,MATCH(O17,Lists!$B$2:$B$11,0)),"Data ready","Data gap"))</f>
        <v>Data ready</v>
      </c>
      <c r="S17" s="36" t="str">
        <f>IF(O17="","",IF(P17&lt;=IF('1. AI Position'!$C$30="",5,INDEX(Lists!$AI$2:$AI$5,'1. AI Position'!$C$30)),"Within current position","Beyond current position"))</f>
        <v>Within current position</v>
      </c>
      <c r="T17" s="38" t="str">
        <f>IF(O17="","",IF(COUNTA(E17:N17)&lt;10,"Complete inputs",IF(H17="No - varies by person / team","Redesign / standardise first",IF(Q17="No","Automate - AI not needed",IF(R17="Data gap","AI later - close data gap first",IF(S17="Beyond current position","Stretch - partner or later stage","AI fit now"))))))</f>
        <v>Automate - AI not needed</v>
      </c>
      <c r="U17" s="39">
        <f>IF(OR(T17="",T17="Complete inputs"),"",ROUND(0.3*INDEX(Lists!$N$8:$N$10,MATCH(F17,Lists!$M$8:$M$10,0))+0.25*IF(G17&lt;20,1,IF(G17&lt;80,2,IF(G17&lt;160,3,IF(G17&lt;480,4,5))))+0.25*J17+0.2*K17,2))</f>
        <v>3.45</v>
      </c>
      <c r="V17" s="39">
        <f>IF(U17="","",ROUND(0.3*IF(R17="Data ready",5,IF(INDEX(Lists!$N$2:$N$5,MATCH(I17,Lists!$M$2:$M$5,0))=INDEX(Lists!$E$2:$E$11,MATCH(O17,Lists!$B$2:$B$11,0))-1,3,1))+0.25*INDEX(Lists!$N$13:$N$15,MATCH(H17,Lists!$M$13:$M$15,0))+0.25*(6-P17)+0.2*IF(S17="Within current position",5,2),2))</f>
        <v>4.75</v>
      </c>
      <c r="W17" s="37" t="str">
        <f>IF(U17="","",IF(Q17="No",IF(L17="Yes","Medium","Low"),IF(IF(L17="Yes",2,0)+IF(M17="Yes",1,0)+INDEX(Lists!$N$18:$N$20,MATCH(N17,Lists!$M$18:$M$20,0))+IF(K17=5,2,IF(K17&gt;=4,1,0))&gt;=4,"High",IF(IF(L17="Yes",2,0)+IF(M17="Yes",1,0)+INDEX(Lists!$N$18:$N$20,MATCH(N17,Lists!$M$18:$M$20,0))+IF(K17=5,2,IF(K17&gt;=4,1,0))&gt;=2,"Medium","Low"))))</f>
        <v>Low</v>
      </c>
      <c r="X17" s="37" t="str">
        <f>IF(U17="","",IF(AND(U17&gt;=$D$4,V17&gt;=$D$4),"Quick win",IF(U17&gt;=$D$4,"Strategic bet",IF(V17&gt;=$D$4,"Fill-in","Deprioritise"))))</f>
        <v>Quick win</v>
      </c>
      <c r="Y17" s="39">
        <f>IF(U17="","",ROUND(U17*V17*IF(W17="High",0.85,1)*IF(T17="Redesign / standardise first",0.8,1),2))</f>
        <v>16.39</v>
      </c>
      <c r="Z17" s="40">
        <f>IF(Y17="","",RANK(Y17,$Y$8:$Y$57)+COUNTIF($Y$7:Y16,Y17))</f>
        <v>5</v>
      </c>
      <c r="AA17" s="36" t="str">
        <f>IF(AC17="","",INDEX(Lists!$AV$2:$AV$5,AC17))</f>
        <v>H1 - Now (0-6 months)</v>
      </c>
      <c r="AB17" s="41">
        <f>IF(Y17="","",ROUND(G17*12*INDEX(Lists!$F$2:$F$11,MATCH(O17,Lists!$B$2:$B$11,0)),0))</f>
        <v>840</v>
      </c>
      <c r="AC17" s="37">
        <f>IF(Y17="","",IF(X17="Deprioritise",4,IF(T17="AI later - close data gap first",3,IF(OR(T17="Redesign / standardise first",T17="Stretch - partner or later stage",X17="Strategic bet"),2,1))))</f>
        <v>1</v>
      </c>
      <c r="AD17" s="37">
        <f>IF(Z17="","",AC17*100+Z17)</f>
        <v>105</v>
      </c>
    </row>
    <row r="18" ht="40" customHeight="1">
      <c r="A18" s="14" t="n">
        <v>11</v>
      </c>
      <c r="B18" s="35" t="inlineStr">
        <is>
          <t>Finance &amp; accounting</t>
        </is>
      </c>
      <c r="C18" s="35" t="inlineStr">
        <is>
          <t>Timesheets, WIP and billing</t>
        </is>
      </c>
      <c r="D18" s="35" t="inlineStr">
        <is>
          <t>Chasing timesheets; manual billing narratives</t>
        </is>
      </c>
      <c r="E18" s="35" t="inlineStr">
        <is>
          <t>Move or re-key data between systems following fixed rules</t>
        </is>
      </c>
      <c r="F18" s="35" t="inlineStr">
        <is>
          <t>High (more than 1,000 a month)</t>
        </is>
      </c>
      <c r="G18" s="35" t="n">
        <v>180</v>
      </c>
      <c r="H18" s="35" t="inlineStr">
        <is>
          <t>Yes - documented and consistent</t>
        </is>
      </c>
      <c r="I18" s="35" t="inlineStr">
        <is>
          <t>Digital history with recorded outcomes</t>
        </is>
      </c>
      <c r="J18" s="35" t="n">
        <v>3</v>
      </c>
      <c r="K18" s="35" t="n">
        <v>3</v>
      </c>
      <c r="L18" s="35" t="inlineStr">
        <is>
          <t>No</t>
        </is>
      </c>
      <c r="M18" s="35" t="inlineStr">
        <is>
          <t>No</t>
        </is>
      </c>
      <c r="N18" s="35" t="inlineStr">
        <is>
          <t>Human approves each AI output</t>
        </is>
      </c>
      <c r="O18" s="36" t="str">
        <f>IF(OR(C18="",E18=""),"",INDEX(Lists!$B$2:$B$11,MATCH(E18,Lists!$A$2:$A$11,0)))</f>
        <v>Workflow automation / RPA</v>
      </c>
      <c r="P18" s="37">
        <f>IF(O18="","",INDEX(Lists!$C$2:$C$11,MATCH(O18,Lists!$B$2:$B$11,0)))</f>
        <v>2</v>
      </c>
      <c r="Q18" s="37" t="str">
        <f>IF(O18="","",INDEX(Lists!$D$2:$D$11,MATCH(O18,Lists!$B$2:$B$11,0)))</f>
        <v>No</v>
      </c>
      <c r="R18" s="37" t="str">
        <f>IF(OR(O18="",I18=""),"",IF(INDEX(Lists!$N$2:$N$5,MATCH(I18,Lists!$M$2:$M$5,0))&gt;=INDEX(Lists!$E$2:$E$11,MATCH(O18,Lists!$B$2:$B$11,0)),"Data ready","Data gap"))</f>
        <v>Data ready</v>
      </c>
      <c r="S18" s="36" t="str">
        <f>IF(O18="","",IF(P18&lt;=IF('1. AI Position'!$C$30="",5,INDEX(Lists!$AI$2:$AI$5,'1. AI Position'!$C$30)),"Within current position","Beyond current position"))</f>
        <v>Within current position</v>
      </c>
      <c r="T18" s="38" t="str">
        <f>IF(O18="","",IF(COUNTA(E18:N18)&lt;10,"Complete inputs",IF(H18="No - varies by person / team","Redesign / standardise first",IF(Q18="No","Automate - AI not needed",IF(R18="Data gap","AI later - close data gap first",IF(S18="Beyond current position","Stretch - partner or later stage","AI fit now"))))))</f>
        <v>Automate - AI not needed</v>
      </c>
      <c r="U18" s="39">
        <f>IF(OR(T18="",T18="Complete inputs"),"",ROUND(0.3*INDEX(Lists!$N$8:$N$10,MATCH(F18,Lists!$M$8:$M$10,0))+0.25*IF(G18&lt;20,1,IF(G18&lt;80,2,IF(G18&lt;160,3,IF(G18&lt;480,4,5))))+0.25*J18+0.2*K18,2))</f>
        <v>3.85</v>
      </c>
      <c r="V18" s="39">
        <f>IF(U18="","",ROUND(0.3*IF(R18="Data ready",5,IF(INDEX(Lists!$N$2:$N$5,MATCH(I18,Lists!$M$2:$M$5,0))=INDEX(Lists!$E$2:$E$11,MATCH(O18,Lists!$B$2:$B$11,0))-1,3,1))+0.25*INDEX(Lists!$N$13:$N$15,MATCH(H18,Lists!$M$13:$M$15,0))+0.25*(6-P18)+0.2*IF(S18="Within current position",5,2),2))</f>
        <v>4.75</v>
      </c>
      <c r="W18" s="37" t="str">
        <f>IF(U18="","",IF(Q18="No",IF(L18="Yes","Medium","Low"),IF(IF(L18="Yes",2,0)+IF(M18="Yes",1,0)+INDEX(Lists!$N$18:$N$20,MATCH(N18,Lists!$M$18:$M$20,0))+IF(K18=5,2,IF(K18&gt;=4,1,0))&gt;=4,"High",IF(IF(L18="Yes",2,0)+IF(M18="Yes",1,0)+INDEX(Lists!$N$18:$N$20,MATCH(N18,Lists!$M$18:$M$20,0))+IF(K18=5,2,IF(K18&gt;=4,1,0))&gt;=2,"Medium","Low"))))</f>
        <v>Low</v>
      </c>
      <c r="X18" s="37" t="str">
        <f>IF(U18="","",IF(AND(U18&gt;=$D$4,V18&gt;=$D$4),"Quick win",IF(U18&gt;=$D$4,"Strategic bet",IF(V18&gt;=$D$4,"Fill-in","Deprioritise"))))</f>
        <v>Quick win</v>
      </c>
      <c r="Y18" s="39">
        <f>IF(U18="","",ROUND(U18*V18*IF(W18="High",0.85,1)*IF(T18="Redesign / standardise first",0.8,1),2))</f>
        <v>18.29</v>
      </c>
      <c r="Z18" s="40">
        <f>IF(Y18="","",RANK(Y18,$Y$8:$Y$57)+COUNTIF($Y$7:Y17,Y18))</f>
        <v>2</v>
      </c>
      <c r="AA18" s="36" t="str">
        <f>IF(AC18="","",INDEX(Lists!$AV$2:$AV$5,AC18))</f>
        <v>H1 - Now (0-6 months)</v>
      </c>
      <c r="AB18" s="41">
        <f>IF(Y18="","",ROUND(G18*12*INDEX(Lists!$F$2:$F$11,MATCH(O18,Lists!$B$2:$B$11,0)),0))</f>
        <v>1296</v>
      </c>
      <c r="AC18" s="37">
        <f>IF(Y18="","",IF(X18="Deprioritise",4,IF(T18="AI later - close data gap first",3,IF(OR(T18="Redesign / standardise first",T18="Stretch - partner or later stage",X18="Strategic bet"),2,1))))</f>
        <v>1</v>
      </c>
      <c r="AD18" s="37">
        <f>IF(Z18="","",AC18*100+Z18)</f>
        <v>102</v>
      </c>
    </row>
    <row r="19" ht="40" customHeight="1">
      <c r="A19" s="14" t="n">
        <v>12</v>
      </c>
      <c r="B19" s="35" t="inlineStr">
        <is>
          <t>Finance &amp; accounting</t>
        </is>
      </c>
      <c r="C19" s="35" t="inlineStr">
        <is>
          <t>Expense claims</t>
        </is>
      </c>
      <c r="D19" s="35" t="inlineStr">
        <is>
          <t>Receipts checked manually</t>
        </is>
      </c>
      <c r="E19" s="35" t="inlineStr">
        <is>
          <t>Extract information from documents, forms or emails</t>
        </is>
      </c>
      <c r="F19" s="35" t="inlineStr">
        <is>
          <t>Medium (100 - 1,000 a month)</t>
        </is>
      </c>
      <c r="G19" s="35" t="n">
        <v>60</v>
      </c>
      <c r="H19" s="35" t="inlineStr">
        <is>
          <t>Yes - documented and consistent</t>
        </is>
      </c>
      <c r="I19" s="35" t="inlineStr">
        <is>
          <t>Digital history available</t>
        </is>
      </c>
      <c r="J19" s="35" t="n">
        <v>2</v>
      </c>
      <c r="K19" s="35" t="n">
        <v>2</v>
      </c>
      <c r="L19" s="35" t="inlineStr">
        <is>
          <t>No</t>
        </is>
      </c>
      <c r="M19" s="35" t="inlineStr">
        <is>
          <t>Yes</t>
        </is>
      </c>
      <c r="N19" s="35" t="inlineStr">
        <is>
          <t>Human approves each AI output</t>
        </is>
      </c>
      <c r="O19" s="36" t="str">
        <f>IF(OR(C19="",E19=""),"",INDEX(Lists!$B$2:$B$11,MATCH(E19,Lists!$A$2:$A$11,0)))</f>
        <v>Intelligent document processing (IDP)</v>
      </c>
      <c r="P19" s="37">
        <f>IF(O19="","",INDEX(Lists!$C$2:$C$11,MATCH(O19,Lists!$B$2:$B$11,0)))</f>
        <v>3</v>
      </c>
      <c r="Q19" s="37" t="str">
        <f>IF(O19="","",INDEX(Lists!$D$2:$D$11,MATCH(O19,Lists!$B$2:$B$11,0)))</f>
        <v>Light</v>
      </c>
      <c r="R19" s="37" t="str">
        <f>IF(OR(O19="",I19=""),"",IF(INDEX(Lists!$N$2:$N$5,MATCH(I19,Lists!$M$2:$M$5,0))&gt;=INDEX(Lists!$E$2:$E$11,MATCH(O19,Lists!$B$2:$B$11,0)),"Data ready","Data gap"))</f>
        <v>Data ready</v>
      </c>
      <c r="S19" s="36" t="str">
        <f>IF(O19="","",IF(P19&lt;=IF('1. AI Position'!$C$30="",5,INDEX(Lists!$AI$2:$AI$5,'1. AI Position'!$C$30)),"Within current position","Beyond current position"))</f>
        <v>Within current position</v>
      </c>
      <c r="T19" s="38" t="str">
        <f>IF(O19="","",IF(COUNTA(E19:N19)&lt;10,"Complete inputs",IF(H19="No - varies by person / team","Redesign / standardise first",IF(Q19="No","Automate - AI not needed",IF(R19="Data gap","AI later - close data gap first",IF(S19="Beyond current position","Stretch - partner or later stage","AI fit now"))))))</f>
        <v>AI fit now</v>
      </c>
      <c r="U19" s="39">
        <f>IF(OR(T19="",T19="Complete inputs"),"",ROUND(0.3*INDEX(Lists!$N$8:$N$10,MATCH(F19,Lists!$M$8:$M$10,0))+0.25*IF(G19&lt;20,1,IF(G19&lt;80,2,IF(G19&lt;160,3,IF(G19&lt;480,4,5))))+0.25*J19+0.2*K19,2))</f>
        <v>2.3</v>
      </c>
      <c r="V19" s="39">
        <f>IF(U19="","",ROUND(0.3*IF(R19="Data ready",5,IF(INDEX(Lists!$N$2:$N$5,MATCH(I19,Lists!$M$2:$M$5,0))=INDEX(Lists!$E$2:$E$11,MATCH(O19,Lists!$B$2:$B$11,0))-1,3,1))+0.25*INDEX(Lists!$N$13:$N$15,MATCH(H19,Lists!$M$13:$M$15,0))+0.25*(6-P19)+0.2*IF(S19="Within current position",5,2),2))</f>
        <v>4.5</v>
      </c>
      <c r="W19" s="37" t="str">
        <f>IF(U19="","",IF(Q19="No",IF(L19="Yes","Medium","Low"),IF(IF(L19="Yes",2,0)+IF(M19="Yes",1,0)+INDEX(Lists!$N$18:$N$20,MATCH(N19,Lists!$M$18:$M$20,0))+IF(K19=5,2,IF(K19&gt;=4,1,0))&gt;=4,"High",IF(IF(L19="Yes",2,0)+IF(M19="Yes",1,0)+INDEX(Lists!$N$18:$N$20,MATCH(N19,Lists!$M$18:$M$20,0))+IF(K19=5,2,IF(K19&gt;=4,1,0))&gt;=2,"Medium","Low"))))</f>
        <v>Medium</v>
      </c>
      <c r="X19" s="37" t="str">
        <f>IF(U19="","",IF(AND(U19&gt;=$D$4,V19&gt;=$D$4),"Quick win",IF(U19&gt;=$D$4,"Strategic bet",IF(V19&gt;=$D$4,"Fill-in","Deprioritise"))))</f>
        <v>Fill-in</v>
      </c>
      <c r="Y19" s="39">
        <f>IF(U19="","",ROUND(U19*V19*IF(W19="High",0.85,1)*IF(T19="Redesign / standardise first",0.8,1),2))</f>
        <v>10.35</v>
      </c>
      <c r="Z19" s="40">
        <f>IF(Y19="","",RANK(Y19,$Y$8:$Y$57)+COUNTIF($Y$7:Y18,Y19))</f>
        <v>18</v>
      </c>
      <c r="AA19" s="36" t="str">
        <f>IF(AC19="","",INDEX(Lists!$AV$2:$AV$5,AC19))</f>
        <v>H1 - Now (0-6 months)</v>
      </c>
      <c r="AB19" s="41">
        <f>IF(Y19="","",ROUND(G19*12*INDEX(Lists!$F$2:$F$11,MATCH(O19,Lists!$B$2:$B$11,0)),0))</f>
        <v>360</v>
      </c>
      <c r="AC19" s="37">
        <f>IF(Y19="","",IF(X19="Deprioritise",4,IF(T19="AI later - close data gap first",3,IF(OR(T19="Redesign / standardise first",T19="Stretch - partner or later stage",X19="Strategic bet"),2,1))))</f>
        <v>1</v>
      </c>
      <c r="AD19" s="37">
        <f>IF(Z19="","",AC19*100+Z19)</f>
        <v>118</v>
      </c>
    </row>
    <row r="20" ht="40" customHeight="1">
      <c r="A20" s="14" t="n">
        <v>13</v>
      </c>
      <c r="B20" s="35" t="inlineStr">
        <is>
          <t>HR &amp; people</t>
        </is>
      </c>
      <c r="C20" s="35" t="inlineStr">
        <is>
          <t>Recruitment - CV screening</t>
        </is>
      </c>
      <c r="D20" s="35" t="inlineStr">
        <is>
          <t>Peaks of applications during graduate intake</t>
        </is>
      </c>
      <c r="E20" s="35" t="inlineStr">
        <is>
          <t>Forecast, score, classify or detect anomalies from historical data</t>
        </is>
      </c>
      <c r="F20" s="35" t="inlineStr">
        <is>
          <t>Medium (100 - 1,000 a month)</t>
        </is>
      </c>
      <c r="G20" s="35" t="n">
        <v>80</v>
      </c>
      <c r="H20" s="35" t="inlineStr">
        <is>
          <t>Partly - common steps, some variation</t>
        </is>
      </c>
      <c r="I20" s="35" t="inlineStr">
        <is>
          <t>Partial or paper-based</t>
        </is>
      </c>
      <c r="J20" s="35" t="n">
        <v>3</v>
      </c>
      <c r="K20" s="35" t="n">
        <v>3</v>
      </c>
      <c r="L20" s="35" t="inlineStr">
        <is>
          <t>Yes</t>
        </is>
      </c>
      <c r="M20" s="35" t="inlineStr">
        <is>
          <t>Yes</t>
        </is>
      </c>
      <c r="N20" s="35" t="inlineStr">
        <is>
          <t>Human approves each AI output</t>
        </is>
      </c>
      <c r="O20" s="36" t="str">
        <f>IF(OR(C20="",E20=""),"",INDEX(Lists!$B$2:$B$11,MATCH(E20,Lists!$A$2:$A$11,0)))</f>
        <v>Predictive analytics / machine learning</v>
      </c>
      <c r="P20" s="37">
        <f>IF(O20="","",INDEX(Lists!$C$2:$C$11,MATCH(O20,Lists!$B$2:$B$11,0)))</f>
        <v>5</v>
      </c>
      <c r="Q20" s="37" t="str">
        <f>IF(O20="","",INDEX(Lists!$D$2:$D$11,MATCH(O20,Lists!$B$2:$B$11,0)))</f>
        <v>Yes</v>
      </c>
      <c r="R20" s="37" t="str">
        <f>IF(OR(O20="",I20=""),"",IF(INDEX(Lists!$N$2:$N$5,MATCH(I20,Lists!$M$2:$M$5,0))&gt;=INDEX(Lists!$E$2:$E$11,MATCH(O20,Lists!$B$2:$B$11,0)),"Data ready","Data gap"))</f>
        <v>Data gap</v>
      </c>
      <c r="S20" s="36" t="str">
        <f>IF(O20="","",IF(P20&lt;=IF('1. AI Position'!$C$30="",5,INDEX(Lists!$AI$2:$AI$5,'1. AI Position'!$C$30)),"Within current position","Beyond current position"))</f>
        <v>Beyond current position</v>
      </c>
      <c r="T20" s="38" t="str">
        <f>IF(O20="","",IF(COUNTA(E20:N20)&lt;10,"Complete inputs",IF(H20="No - varies by person / team","Redesign / standardise first",IF(Q20="No","Automate - AI not needed",IF(R20="Data gap","AI later - close data gap first",IF(S20="Beyond current position","Stretch - partner or later stage","AI fit now"))))))</f>
        <v>AI later - close data gap first</v>
      </c>
      <c r="U20" s="39">
        <f>IF(OR(T20="",T20="Complete inputs"),"",ROUND(0.3*INDEX(Lists!$N$8:$N$10,MATCH(F20,Lists!$M$8:$M$10,0))+0.25*IF(G20&lt;20,1,IF(G20&lt;80,2,IF(G20&lt;160,3,IF(G20&lt;480,4,5))))+0.25*J20+0.2*K20,2))</f>
        <v>3</v>
      </c>
      <c r="V20" s="39">
        <f>IF(U20="","",ROUND(0.3*IF(R20="Data ready",5,IF(INDEX(Lists!$N$2:$N$5,MATCH(I20,Lists!$M$2:$M$5,0))=INDEX(Lists!$E$2:$E$11,MATCH(O20,Lists!$B$2:$B$11,0))-1,3,1))+0.25*INDEX(Lists!$N$13:$N$15,MATCH(H20,Lists!$M$13:$M$15,0))+0.25*(6-P20)+0.2*IF(S20="Within current position",5,2),2))</f>
        <v>2.3</v>
      </c>
      <c r="W20" s="37" t="str">
        <f>IF(U20="","",IF(Q20="No",IF(L20="Yes","Medium","Low"),IF(IF(L20="Yes",2,0)+IF(M20="Yes",1,0)+INDEX(Lists!$N$18:$N$20,MATCH(N20,Lists!$M$18:$M$20,0))+IF(K20=5,2,IF(K20&gt;=4,1,0))&gt;=4,"High",IF(IF(L20="Yes",2,0)+IF(M20="Yes",1,0)+INDEX(Lists!$N$18:$N$20,MATCH(N20,Lists!$M$18:$M$20,0))+IF(K20=5,2,IF(K20&gt;=4,1,0))&gt;=2,"Medium","Low"))))</f>
        <v>High</v>
      </c>
      <c r="X20" s="37" t="str">
        <f>IF(U20="","",IF(AND(U20&gt;=$D$4,V20&gt;=$D$4),"Quick win",IF(U20&gt;=$D$4,"Strategic bet",IF(V20&gt;=$D$4,"Fill-in","Deprioritise"))))</f>
        <v>Deprioritise</v>
      </c>
      <c r="Y20" s="39">
        <f>IF(U20="","",ROUND(U20*V20*IF(W20="High",0.85,1)*IF(T20="Redesign / standardise first",0.8,1),2))</f>
        <v>5.87</v>
      </c>
      <c r="Z20" s="40">
        <f>IF(Y20="","",RANK(Y20,$Y$8:$Y$57)+COUNTIF($Y$7:Y19,Y20))</f>
        <v>20</v>
      </c>
      <c r="AA20" s="36" t="str">
        <f>IF(AC20="","",INDEX(Lists!$AV$2:$AV$5,AC20))</f>
        <v>Backlog / not prioritised</v>
      </c>
      <c r="AB20" s="41">
        <f>IF(Y20="","",ROUND(G20*12*INDEX(Lists!$F$2:$F$11,MATCH(O20,Lists!$B$2:$B$11,0)),0))</f>
        <v>192</v>
      </c>
      <c r="AC20" s="37">
        <f>IF(Y20="","",IF(X20="Deprioritise",4,IF(T20="AI later - close data gap first",3,IF(OR(T20="Redesign / standardise first",T20="Stretch - partner or later stage",X20="Strategic bet"),2,1))))</f>
        <v>4</v>
      </c>
      <c r="AD20" s="37">
        <f>IF(Z20="","",AC20*100+Z20)</f>
        <v>420</v>
      </c>
    </row>
    <row r="21" ht="40" customHeight="1">
      <c r="A21" s="14" t="n">
        <v>14</v>
      </c>
      <c r="B21" s="35" t="inlineStr">
        <is>
          <t>HR &amp; people</t>
        </is>
      </c>
      <c r="C21" s="35" t="inlineStr">
        <is>
          <t>HR policy and leave queries</t>
        </is>
      </c>
      <c r="D21" s="35" t="inlineStr">
        <is>
          <t>HR answering repeat questions</t>
        </is>
      </c>
      <c r="E21" s="35" t="inlineStr">
        <is>
          <t>Converse with customers, citizens or staff (chat, voice, WhatsApp)</t>
        </is>
      </c>
      <c r="F21" s="35" t="inlineStr">
        <is>
          <t>Medium (100 - 1,000 a month)</t>
        </is>
      </c>
      <c r="G21" s="35" t="n">
        <v>60</v>
      </c>
      <c r="H21" s="35" t="inlineStr">
        <is>
          <t>Yes - documented and consistent</t>
        </is>
      </c>
      <c r="I21" s="35" t="inlineStr">
        <is>
          <t>Digital history available</t>
        </is>
      </c>
      <c r="J21" s="35" t="n">
        <v>2</v>
      </c>
      <c r="K21" s="35" t="n">
        <v>3</v>
      </c>
      <c r="L21" s="35" t="inlineStr">
        <is>
          <t>No</t>
        </is>
      </c>
      <c r="M21" s="35" t="inlineStr">
        <is>
          <t>Yes</t>
        </is>
      </c>
      <c r="N21" s="35" t="inlineStr">
        <is>
          <t>Assist - AI suggests, a person does the work</t>
        </is>
      </c>
      <c r="O21" s="36" t="str">
        <f>IF(OR(C21="",E21=""),"",INDEX(Lists!$B$2:$B$11,MATCH(E21,Lists!$A$2:$A$11,0)))</f>
        <v>Conversational AI / virtual agent</v>
      </c>
      <c r="P21" s="37">
        <f>IF(O21="","",INDEX(Lists!$C$2:$C$11,MATCH(O21,Lists!$B$2:$B$11,0)))</f>
        <v>4</v>
      </c>
      <c r="Q21" s="37" t="str">
        <f>IF(O21="","",INDEX(Lists!$D$2:$D$11,MATCH(O21,Lists!$B$2:$B$11,0)))</f>
        <v>Yes</v>
      </c>
      <c r="R21" s="37" t="str">
        <f>IF(OR(O21="",I21=""),"",IF(INDEX(Lists!$N$2:$N$5,MATCH(I21,Lists!$M$2:$M$5,0))&gt;=INDEX(Lists!$E$2:$E$11,MATCH(O21,Lists!$B$2:$B$11,0)),"Data ready","Data gap"))</f>
        <v>Data ready</v>
      </c>
      <c r="S21" s="36" t="str">
        <f>IF(O21="","",IF(P21&lt;=IF('1. AI Position'!$C$30="",5,INDEX(Lists!$AI$2:$AI$5,'1. AI Position'!$C$30)),"Within current position","Beyond current position"))</f>
        <v>Within current position</v>
      </c>
      <c r="T21" s="38" t="str">
        <f>IF(O21="","",IF(COUNTA(E21:N21)&lt;10,"Complete inputs",IF(H21="No - varies by person / team","Redesign / standardise first",IF(Q21="No","Automate - AI not needed",IF(R21="Data gap","AI later - close data gap first",IF(S21="Beyond current position","Stretch - partner or later stage","AI fit now"))))))</f>
        <v>AI fit now</v>
      </c>
      <c r="U21" s="39">
        <f>IF(OR(T21="",T21="Complete inputs"),"",ROUND(0.3*INDEX(Lists!$N$8:$N$10,MATCH(F21,Lists!$M$8:$M$10,0))+0.25*IF(G21&lt;20,1,IF(G21&lt;80,2,IF(G21&lt;160,3,IF(G21&lt;480,4,5))))+0.25*J21+0.2*K21,2))</f>
        <v>2.5</v>
      </c>
      <c r="V21" s="39">
        <f>IF(U21="","",ROUND(0.3*IF(R21="Data ready",5,IF(INDEX(Lists!$N$2:$N$5,MATCH(I21,Lists!$M$2:$M$5,0))=INDEX(Lists!$E$2:$E$11,MATCH(O21,Lists!$B$2:$B$11,0))-1,3,1))+0.25*INDEX(Lists!$N$13:$N$15,MATCH(H21,Lists!$M$13:$M$15,0))+0.25*(6-P21)+0.2*IF(S21="Within current position",5,2),2))</f>
        <v>4.25</v>
      </c>
      <c r="W21" s="37" t="str">
        <f>IF(U21="","",IF(Q21="No",IF(L21="Yes","Medium","Low"),IF(IF(L21="Yes",2,0)+IF(M21="Yes",1,0)+INDEX(Lists!$N$18:$N$20,MATCH(N21,Lists!$M$18:$M$20,0))+IF(K21=5,2,IF(K21&gt;=4,1,0))&gt;=4,"High",IF(IF(L21="Yes",2,0)+IF(M21="Yes",1,0)+INDEX(Lists!$N$18:$N$20,MATCH(N21,Lists!$M$18:$M$20,0))+IF(K21=5,2,IF(K21&gt;=4,1,0))&gt;=2,"Medium","Low"))))</f>
        <v>Low</v>
      </c>
      <c r="X21" s="37" t="str">
        <f>IF(U21="","",IF(AND(U21&gt;=$D$4,V21&gt;=$D$4),"Quick win",IF(U21&gt;=$D$4,"Strategic bet",IF(V21&gt;=$D$4,"Fill-in","Deprioritise"))))</f>
        <v>Fill-in</v>
      </c>
      <c r="Y21" s="39">
        <f>IF(U21="","",ROUND(U21*V21*IF(W21="High",0.85,1)*IF(T21="Redesign / standardise first",0.8,1),2))</f>
        <v>10.63</v>
      </c>
      <c r="Z21" s="40">
        <f>IF(Y21="","",RANK(Y21,$Y$8:$Y$57)+COUNTIF($Y$7:Y20,Y21))</f>
        <v>17</v>
      </c>
      <c r="AA21" s="36" t="str">
        <f>IF(AC21="","",INDEX(Lists!$AV$2:$AV$5,AC21))</f>
        <v>H1 - Now (0-6 months)</v>
      </c>
      <c r="AB21" s="41">
        <f>IF(Y21="","",ROUND(G21*12*INDEX(Lists!$F$2:$F$11,MATCH(O21,Lists!$B$2:$B$11,0)),0))</f>
        <v>216</v>
      </c>
      <c r="AC21" s="37">
        <f>IF(Y21="","",IF(X21="Deprioritise",4,IF(T21="AI later - close data gap first",3,IF(OR(T21="Redesign / standardise first",T21="Stretch - partner or later stage",X21="Strategic bet"),2,1))))</f>
        <v>1</v>
      </c>
      <c r="AD21" s="37">
        <f>IF(Z21="","",AC21*100+Z21)</f>
        <v>117</v>
      </c>
    </row>
    <row r="22" ht="40" customHeight="1">
      <c r="A22" s="14" t="n">
        <v>15</v>
      </c>
      <c r="B22" s="35" t="inlineStr">
        <is>
          <t>Marketing &amp; communications</t>
        </is>
      </c>
      <c r="C22" s="35" t="inlineStr">
        <is>
          <t>Thought-leadership and social content</t>
        </is>
      </c>
      <c r="D22" s="35" t="inlineStr">
        <is>
          <t>Slow content production</t>
        </is>
      </c>
      <c r="E22" s="35" t="inlineStr">
        <is>
          <t>Draft, summarise, translate or review text</t>
        </is>
      </c>
      <c r="F22" s="35" t="inlineStr">
        <is>
          <t>Medium (100 - 1,000 a month)</t>
        </is>
      </c>
      <c r="G22" s="35" t="n">
        <v>80</v>
      </c>
      <c r="H22" s="35" t="inlineStr">
        <is>
          <t>Yes - documented and consistent</t>
        </is>
      </c>
      <c r="I22" s="35" t="inlineStr">
        <is>
          <t>None - not captured</t>
        </is>
      </c>
      <c r="J22" s="35" t="n">
        <v>3</v>
      </c>
      <c r="K22" s="35" t="n">
        <v>2</v>
      </c>
      <c r="L22" s="35" t="inlineStr">
        <is>
          <t>No</t>
        </is>
      </c>
      <c r="M22" s="35" t="inlineStr">
        <is>
          <t>No</t>
        </is>
      </c>
      <c r="N22" s="35" t="inlineStr">
        <is>
          <t>Assist - AI suggests, a person does the work</t>
        </is>
      </c>
      <c r="O22" s="36" t="str">
        <f>IF(OR(C22="",E22=""),"",INDEX(Lists!$B$2:$B$11,MATCH(E22,Lists!$A$2:$A$11,0)))</f>
        <v>Generative AI assistant (off-the-shelf)</v>
      </c>
      <c r="P22" s="37">
        <f>IF(O22="","",INDEX(Lists!$C$2:$C$11,MATCH(O22,Lists!$B$2:$B$11,0)))</f>
        <v>3</v>
      </c>
      <c r="Q22" s="37" t="str">
        <f>IF(O22="","",INDEX(Lists!$D$2:$D$11,MATCH(O22,Lists!$B$2:$B$11,0)))</f>
        <v>Yes</v>
      </c>
      <c r="R22" s="37" t="str">
        <f>IF(OR(O22="",I22=""),"",IF(INDEX(Lists!$N$2:$N$5,MATCH(I22,Lists!$M$2:$M$5,0))&gt;=INDEX(Lists!$E$2:$E$11,MATCH(O22,Lists!$B$2:$B$11,0)),"Data ready","Data gap"))</f>
        <v>Data ready</v>
      </c>
      <c r="S22" s="36" t="str">
        <f>IF(O22="","",IF(P22&lt;=IF('1. AI Position'!$C$30="",5,INDEX(Lists!$AI$2:$AI$5,'1. AI Position'!$C$30)),"Within current position","Beyond current position"))</f>
        <v>Within current position</v>
      </c>
      <c r="T22" s="38" t="str">
        <f>IF(O22="","",IF(COUNTA(E22:N22)&lt;10,"Complete inputs",IF(H22="No - varies by person / team","Redesign / standardise first",IF(Q22="No","Automate - AI not needed",IF(R22="Data gap","AI later - close data gap first",IF(S22="Beyond current position","Stretch - partner or later stage","AI fit now"))))))</f>
        <v>AI fit now</v>
      </c>
      <c r="U22" s="39">
        <f>IF(OR(T22="",T22="Complete inputs"),"",ROUND(0.3*INDEX(Lists!$N$8:$N$10,MATCH(F22,Lists!$M$8:$M$10,0))+0.25*IF(G22&lt;20,1,IF(G22&lt;80,2,IF(G22&lt;160,3,IF(G22&lt;480,4,5))))+0.25*J22+0.2*K22,2))</f>
        <v>2.8</v>
      </c>
      <c r="V22" s="39">
        <f>IF(U22="","",ROUND(0.3*IF(R22="Data ready",5,IF(INDEX(Lists!$N$2:$N$5,MATCH(I22,Lists!$M$2:$M$5,0))=INDEX(Lists!$E$2:$E$11,MATCH(O22,Lists!$B$2:$B$11,0))-1,3,1))+0.25*INDEX(Lists!$N$13:$N$15,MATCH(H22,Lists!$M$13:$M$15,0))+0.25*(6-P22)+0.2*IF(S22="Within current position",5,2),2))</f>
        <v>4.5</v>
      </c>
      <c r="W22" s="37" t="str">
        <f>IF(U22="","",IF(Q22="No",IF(L22="Yes","Medium","Low"),IF(IF(L22="Yes",2,0)+IF(M22="Yes",1,0)+INDEX(Lists!$N$18:$N$20,MATCH(N22,Lists!$M$18:$M$20,0))+IF(K22=5,2,IF(K22&gt;=4,1,0))&gt;=4,"High",IF(IF(L22="Yes",2,0)+IF(M22="Yes",1,0)+INDEX(Lists!$N$18:$N$20,MATCH(N22,Lists!$M$18:$M$20,0))+IF(K22=5,2,IF(K22&gt;=4,1,0))&gt;=2,"Medium","Low"))))</f>
        <v>Low</v>
      </c>
      <c r="X22" s="37" t="str">
        <f>IF(U22="","",IF(AND(U22&gt;=$D$4,V22&gt;=$D$4),"Quick win",IF(U22&gt;=$D$4,"Strategic bet",IF(V22&gt;=$D$4,"Fill-in","Deprioritise"))))</f>
        <v>Fill-in</v>
      </c>
      <c r="Y22" s="39">
        <f>IF(U22="","",ROUND(U22*V22*IF(W22="High",0.85,1)*IF(T22="Redesign / standardise first",0.8,1),2))</f>
        <v>12.6</v>
      </c>
      <c r="Z22" s="40">
        <f>IF(Y22="","",RANK(Y22,$Y$8:$Y$57)+COUNTIF($Y$7:Y21,Y22))</f>
        <v>12</v>
      </c>
      <c r="AA22" s="36" t="str">
        <f>IF(AC22="","",INDEX(Lists!$AV$2:$AV$5,AC22))</f>
        <v>H1 - Now (0-6 months)</v>
      </c>
      <c r="AB22" s="41">
        <f>IF(Y22="","",ROUND(G22*12*INDEX(Lists!$F$2:$F$11,MATCH(O22,Lists!$B$2:$B$11,0)),0))</f>
        <v>288</v>
      </c>
      <c r="AC22" s="37">
        <f>IF(Y22="","",IF(X22="Deprioritise",4,IF(T22="AI later - close data gap first",3,IF(OR(T22="Redesign / standardise first",T22="Stretch - partner or later stage",X22="Strategic bet"),2,1))))</f>
        <v>1</v>
      </c>
      <c r="AD22" s="37">
        <f>IF(Z22="","",AC22*100+Z22)</f>
        <v>112</v>
      </c>
    </row>
    <row r="23" ht="40" customHeight="1">
      <c r="A23" s="14" t="n">
        <v>16</v>
      </c>
      <c r="B23" s="35" t="inlineStr">
        <is>
          <t>Core service delivery / operations</t>
        </is>
      </c>
      <c r="C23" s="35" t="inlineStr">
        <is>
          <t>Engagement set-up and status coordination</t>
        </is>
      </c>
      <c r="D23" s="35" t="inlineStr">
        <is>
          <t>Status chased across teams; steps vary by partner</t>
        </is>
      </c>
      <c r="E23" s="35" t="inlineStr">
        <is>
          <t>Coordinate multi-step work across systems that needs judgement</t>
        </is>
      </c>
      <c r="F23" s="35" t="inlineStr">
        <is>
          <t>Medium (100 - 1,000 a month)</t>
        </is>
      </c>
      <c r="G23" s="35" t="n">
        <v>150</v>
      </c>
      <c r="H23" s="35" t="inlineStr">
        <is>
          <t>No - varies by person / team</t>
        </is>
      </c>
      <c r="I23" s="35" t="inlineStr">
        <is>
          <t>Partial or paper-based</t>
        </is>
      </c>
      <c r="J23" s="35" t="n">
        <v>4</v>
      </c>
      <c r="K23" s="35" t="n">
        <v>3</v>
      </c>
      <c r="L23" s="35" t="inlineStr">
        <is>
          <t>No</t>
        </is>
      </c>
      <c r="M23" s="35" t="inlineStr">
        <is>
          <t>Yes</t>
        </is>
      </c>
      <c r="N23" s="35" t="inlineStr">
        <is>
          <t>Human approves each AI output</t>
        </is>
      </c>
      <c r="O23" s="36" t="str">
        <f>IF(OR(C23="",E23=""),"",INDEX(Lists!$B$2:$B$11,MATCH(E23,Lists!$A$2:$A$11,0)))</f>
        <v>Agentic AI (supervised agents)</v>
      </c>
      <c r="P23" s="37">
        <f>IF(O23="","",INDEX(Lists!$C$2:$C$11,MATCH(O23,Lists!$B$2:$B$11,0)))</f>
        <v>5</v>
      </c>
      <c r="Q23" s="37" t="str">
        <f>IF(O23="","",INDEX(Lists!$D$2:$D$11,MATCH(O23,Lists!$B$2:$B$11,0)))</f>
        <v>Yes</v>
      </c>
      <c r="R23" s="37" t="str">
        <f>IF(OR(O23="",I23=""),"",IF(INDEX(Lists!$N$2:$N$5,MATCH(I23,Lists!$M$2:$M$5,0))&gt;=INDEX(Lists!$E$2:$E$11,MATCH(O23,Lists!$B$2:$B$11,0)),"Data ready","Data gap"))</f>
        <v>Data gap</v>
      </c>
      <c r="S23" s="36" t="str">
        <f>IF(O23="","",IF(P23&lt;=IF('1. AI Position'!$C$30="",5,INDEX(Lists!$AI$2:$AI$5,'1. AI Position'!$C$30)),"Within current position","Beyond current position"))</f>
        <v>Beyond current position</v>
      </c>
      <c r="T23" s="38" t="str">
        <f>IF(O23="","",IF(COUNTA(E23:N23)&lt;10,"Complete inputs",IF(H23="No - varies by person / team","Redesign / standardise first",IF(Q23="No","Automate - AI not needed",IF(R23="Data gap","AI later - close data gap first",IF(S23="Beyond current position","Stretch - partner or later stage","AI fit now"))))))</f>
        <v>Redesign / standardise first</v>
      </c>
      <c r="U23" s="39">
        <f>IF(OR(T23="",T23="Complete inputs"),"",ROUND(0.3*INDEX(Lists!$N$8:$N$10,MATCH(F23,Lists!$M$8:$M$10,0))+0.25*IF(G23&lt;20,1,IF(G23&lt;80,2,IF(G23&lt;160,3,IF(G23&lt;480,4,5))))+0.25*J23+0.2*K23,2))</f>
        <v>3.25</v>
      </c>
      <c r="V23" s="39">
        <f>IF(U23="","",ROUND(0.3*IF(R23="Data ready",5,IF(INDEX(Lists!$N$2:$N$5,MATCH(I23,Lists!$M$2:$M$5,0))=INDEX(Lists!$E$2:$E$11,MATCH(O23,Lists!$B$2:$B$11,0))-1,3,1))+0.25*INDEX(Lists!$N$13:$N$15,MATCH(H23,Lists!$M$13:$M$15,0))+0.25*(6-P23)+0.2*IF(S23="Within current position",5,2),2))</f>
        <v>1.8</v>
      </c>
      <c r="W23" s="37" t="str">
        <f>IF(U23="","",IF(Q23="No",IF(L23="Yes","Medium","Low"),IF(IF(L23="Yes",2,0)+IF(M23="Yes",1,0)+INDEX(Lists!$N$18:$N$20,MATCH(N23,Lists!$M$18:$M$20,0))+IF(K23=5,2,IF(K23&gt;=4,1,0))&gt;=4,"High",IF(IF(L23="Yes",2,0)+IF(M23="Yes",1,0)+INDEX(Lists!$N$18:$N$20,MATCH(N23,Lists!$M$18:$M$20,0))+IF(K23=5,2,IF(K23&gt;=4,1,0))&gt;=2,"Medium","Low"))))</f>
        <v>Medium</v>
      </c>
      <c r="X23" s="37" t="str">
        <f>IF(U23="","",IF(AND(U23&gt;=$D$4,V23&gt;=$D$4),"Quick win",IF(U23&gt;=$D$4,"Strategic bet",IF(V23&gt;=$D$4,"Fill-in","Deprioritise"))))</f>
        <v>Strategic bet</v>
      </c>
      <c r="Y23" s="39">
        <f>IF(U23="","",ROUND(U23*V23*IF(W23="High",0.85,1)*IF(T23="Redesign / standardise first",0.8,1),2))</f>
        <v>4.68</v>
      </c>
      <c r="Z23" s="40">
        <f>IF(Y23="","",RANK(Y23,$Y$8:$Y$57)+COUNTIF($Y$7:Y22,Y23))</f>
        <v>21</v>
      </c>
      <c r="AA23" s="36" t="str">
        <f>IF(AC23="","",INDEX(Lists!$AV$2:$AV$5,AC23))</f>
        <v>H2 - Next (6-12 months)</v>
      </c>
      <c r="AB23" s="41">
        <f>IF(Y23="","",ROUND(G23*12*INDEX(Lists!$F$2:$F$11,MATCH(O23,Lists!$B$2:$B$11,0)),0))</f>
        <v>720</v>
      </c>
      <c r="AC23" s="37">
        <f>IF(Y23="","",IF(X23="Deprioritise",4,IF(T23="AI later - close data gap first",3,IF(OR(T23="Redesign / standardise first",T23="Stretch - partner or later stage",X23="Strategic bet"),2,1))))</f>
        <v>2</v>
      </c>
      <c r="AD23" s="37">
        <f>IF(Z23="","",AC23*100+Z23)</f>
        <v>221</v>
      </c>
    </row>
    <row r="24" ht="40" customHeight="1">
      <c r="A24" s="14" t="n">
        <v>17</v>
      </c>
      <c r="B24" s="35" t="inlineStr">
        <is>
          <t>Management &amp; reporting</t>
        </is>
      </c>
      <c r="C24" s="35" t="inlineStr">
        <is>
          <t>Management KPI reporting</t>
        </is>
      </c>
      <c r="D24" s="35" t="inlineStr">
        <is>
          <t>Partner packs compiled by hand</t>
        </is>
      </c>
      <c r="E24" s="35" t="inlineStr">
        <is>
          <t>Produce reports, dashboards or reconciliations from existing data</t>
        </is>
      </c>
      <c r="F24" s="35" t="inlineStr">
        <is>
          <t>Low (fewer than 100 a month)</t>
        </is>
      </c>
      <c r="G24" s="35" t="n">
        <v>100</v>
      </c>
      <c r="H24" s="35" t="inlineStr">
        <is>
          <t>Partly - common steps, some variation</t>
        </is>
      </c>
      <c r="I24" s="35" t="inlineStr">
        <is>
          <t>Digital history available</t>
        </is>
      </c>
      <c r="J24" s="35" t="n">
        <v>4</v>
      </c>
      <c r="K24" s="35" t="n">
        <v>3</v>
      </c>
      <c r="L24" s="35" t="inlineStr">
        <is>
          <t>No</t>
        </is>
      </c>
      <c r="M24" s="35" t="inlineStr">
        <is>
          <t>No</t>
        </is>
      </c>
      <c r="N24" s="35" t="inlineStr">
        <is>
          <t>Human approves each AI output</t>
        </is>
      </c>
      <c r="O24" s="36" t="str">
        <f>IF(OR(C24="",E24=""),"",INDEX(Lists!$B$2:$B$11,MATCH(E24,Lists!$A$2:$A$11,0)))</f>
        <v>BI, dashboards &amp; reconciliation automation</v>
      </c>
      <c r="P24" s="37">
        <f>IF(O24="","",INDEX(Lists!$C$2:$C$11,MATCH(O24,Lists!$B$2:$B$11,0)))</f>
        <v>2</v>
      </c>
      <c r="Q24" s="37" t="str">
        <f>IF(O24="","",INDEX(Lists!$D$2:$D$11,MATCH(O24,Lists!$B$2:$B$11,0)))</f>
        <v>No</v>
      </c>
      <c r="R24" s="37" t="str">
        <f>IF(OR(O24="",I24=""),"",IF(INDEX(Lists!$N$2:$N$5,MATCH(I24,Lists!$M$2:$M$5,0))&gt;=INDEX(Lists!$E$2:$E$11,MATCH(O24,Lists!$B$2:$B$11,0)),"Data ready","Data gap"))</f>
        <v>Data ready</v>
      </c>
      <c r="S24" s="36" t="str">
        <f>IF(O24="","",IF(P24&lt;=IF('1. AI Position'!$C$30="",5,INDEX(Lists!$AI$2:$AI$5,'1. AI Position'!$C$30)),"Within current position","Beyond current position"))</f>
        <v>Within current position</v>
      </c>
      <c r="T24" s="38" t="str">
        <f>IF(O24="","",IF(COUNTA(E24:N24)&lt;10,"Complete inputs",IF(H24="No - varies by person / team","Redesign / standardise first",IF(Q24="No","Automate - AI not needed",IF(R24="Data gap","AI later - close data gap first",IF(S24="Beyond current position","Stretch - partner or later stage","AI fit now"))))))</f>
        <v>Automate - AI not needed</v>
      </c>
      <c r="U24" s="39">
        <f>IF(OR(T24="",T24="Complete inputs"),"",ROUND(0.3*INDEX(Lists!$N$8:$N$10,MATCH(F24,Lists!$M$8:$M$10,0))+0.25*IF(G24&lt;20,1,IF(G24&lt;80,2,IF(G24&lt;160,3,IF(G24&lt;480,4,5))))+0.25*J24+0.2*K24,2))</f>
        <v>2.65</v>
      </c>
      <c r="V24" s="39">
        <f>IF(U24="","",ROUND(0.3*IF(R24="Data ready",5,IF(INDEX(Lists!$N$2:$N$5,MATCH(I24,Lists!$M$2:$M$5,0))=INDEX(Lists!$E$2:$E$11,MATCH(O24,Lists!$B$2:$B$11,0))-1,3,1))+0.25*INDEX(Lists!$N$13:$N$15,MATCH(H24,Lists!$M$13:$M$15,0))+0.25*(6-P24)+0.2*IF(S24="Within current position",5,2),2))</f>
        <v>4.25</v>
      </c>
      <c r="W24" s="37" t="str">
        <f>IF(U24="","",IF(Q24="No",IF(L24="Yes","Medium","Low"),IF(IF(L24="Yes",2,0)+IF(M24="Yes",1,0)+INDEX(Lists!$N$18:$N$20,MATCH(N24,Lists!$M$18:$M$20,0))+IF(K24=5,2,IF(K24&gt;=4,1,0))&gt;=4,"High",IF(IF(L24="Yes",2,0)+IF(M24="Yes",1,0)+INDEX(Lists!$N$18:$N$20,MATCH(N24,Lists!$M$18:$M$20,0))+IF(K24=5,2,IF(K24&gt;=4,1,0))&gt;=2,"Medium","Low"))))</f>
        <v>Low</v>
      </c>
      <c r="X24" s="37" t="str">
        <f>IF(U24="","",IF(AND(U24&gt;=$D$4,V24&gt;=$D$4),"Quick win",IF(U24&gt;=$D$4,"Strategic bet",IF(V24&gt;=$D$4,"Fill-in","Deprioritise"))))</f>
        <v>Fill-in</v>
      </c>
      <c r="Y24" s="39">
        <f>IF(U24="","",ROUND(U24*V24*IF(W24="High",0.85,1)*IF(T24="Redesign / standardise first",0.8,1),2))</f>
        <v>11.26</v>
      </c>
      <c r="Z24" s="40">
        <f>IF(Y24="","",RANK(Y24,$Y$8:$Y$57)+COUNTIF($Y$7:Y23,Y24))</f>
        <v>16</v>
      </c>
      <c r="AA24" s="36" t="str">
        <f>IF(AC24="","",INDEX(Lists!$AV$2:$AV$5,AC24))</f>
        <v>H1 - Now (0-6 months)</v>
      </c>
      <c r="AB24" s="41">
        <f>IF(Y24="","",ROUND(G24*12*INDEX(Lists!$F$2:$F$11,MATCH(O24,Lists!$B$2:$B$11,0)),0))</f>
        <v>300</v>
      </c>
      <c r="AC24" s="37">
        <f>IF(Y24="","",IF(X24="Deprioritise",4,IF(T24="AI later - close data gap first",3,IF(OR(T24="Redesign / standardise first",T24="Stretch - partner or later stage",X24="Strategic bet"),2,1))))</f>
        <v>1</v>
      </c>
      <c r="AD24" s="37">
        <f>IF(Z24="","",AC24*100+Z24)</f>
        <v>116</v>
      </c>
    </row>
    <row r="25" ht="40" customHeight="1">
      <c r="A25" s="14" t="n">
        <v>18</v>
      </c>
      <c r="B25" s="35" t="inlineStr">
        <is>
          <t>Customer service &amp; sales</t>
        </is>
      </c>
      <c r="C25" s="35" t="inlineStr">
        <is>
          <t>Client cross-sell and retention insights</t>
        </is>
      </c>
      <c r="D25" s="35" t="inlineStr">
        <is>
          <t>No view of which clients need which services or are at risk of leaving</t>
        </is>
      </c>
      <c r="E25" s="35" t="inlineStr">
        <is>
          <t>Forecast, score, classify or detect anomalies from historical data</t>
        </is>
      </c>
      <c r="F25" s="35" t="inlineStr">
        <is>
          <t>Medium (100 - 1,000 a month)</t>
        </is>
      </c>
      <c r="G25" s="35" t="n">
        <v>200</v>
      </c>
      <c r="H25" s="35" t="inlineStr">
        <is>
          <t>Partly - common steps, some variation</t>
        </is>
      </c>
      <c r="I25" s="35" t="inlineStr">
        <is>
          <t>Partial or paper-based</t>
        </is>
      </c>
      <c r="J25" s="35" t="n">
        <v>4</v>
      </c>
      <c r="K25" s="35" t="n">
        <v>4</v>
      </c>
      <c r="L25" s="35" t="inlineStr">
        <is>
          <t>No</t>
        </is>
      </c>
      <c r="M25" s="35" t="inlineStr">
        <is>
          <t>Yes</t>
        </is>
      </c>
      <c r="N25" s="35" t="inlineStr">
        <is>
          <t>Assist - AI suggests, a person does the work</t>
        </is>
      </c>
      <c r="O25" s="36" t="str">
        <f>IF(OR(C25="",E25=""),"",INDEX(Lists!$B$2:$B$11,MATCH(E25,Lists!$A$2:$A$11,0)))</f>
        <v>Predictive analytics / machine learning</v>
      </c>
      <c r="P25" s="37">
        <f>IF(O25="","",INDEX(Lists!$C$2:$C$11,MATCH(O25,Lists!$B$2:$B$11,0)))</f>
        <v>5</v>
      </c>
      <c r="Q25" s="37" t="str">
        <f>IF(O25="","",INDEX(Lists!$D$2:$D$11,MATCH(O25,Lists!$B$2:$B$11,0)))</f>
        <v>Yes</v>
      </c>
      <c r="R25" s="37" t="str">
        <f>IF(OR(O25="",I25=""),"",IF(INDEX(Lists!$N$2:$N$5,MATCH(I25,Lists!$M$2:$M$5,0))&gt;=INDEX(Lists!$E$2:$E$11,MATCH(O25,Lists!$B$2:$B$11,0)),"Data ready","Data gap"))</f>
        <v>Data gap</v>
      </c>
      <c r="S25" s="36" t="str">
        <f>IF(O25="","",IF(P25&lt;=IF('1. AI Position'!$C$30="",5,INDEX(Lists!$AI$2:$AI$5,'1. AI Position'!$C$30)),"Within current position","Beyond current position"))</f>
        <v>Beyond current position</v>
      </c>
      <c r="T25" s="38" t="str">
        <f>IF(O25="","",IF(COUNTA(E25:N25)&lt;10,"Complete inputs",IF(H25="No - varies by person / team","Redesign / standardise first",IF(Q25="No","Automate - AI not needed",IF(R25="Data gap","AI later - close data gap first",IF(S25="Beyond current position","Stretch - partner or later stage","AI fit now"))))))</f>
        <v>AI later - close data gap first</v>
      </c>
      <c r="U25" s="39">
        <f>IF(OR(T25="",T25="Complete inputs"),"",ROUND(0.3*INDEX(Lists!$N$8:$N$10,MATCH(F25,Lists!$M$8:$M$10,0))+0.25*IF(G25&lt;20,1,IF(G25&lt;80,2,IF(G25&lt;160,3,IF(G25&lt;480,4,5))))+0.25*J25+0.2*K25,2))</f>
        <v>3.7</v>
      </c>
      <c r="V25" s="39">
        <f>IF(U25="","",ROUND(0.3*IF(R25="Data ready",5,IF(INDEX(Lists!$N$2:$N$5,MATCH(I25,Lists!$M$2:$M$5,0))=INDEX(Lists!$E$2:$E$11,MATCH(O25,Lists!$B$2:$B$11,0))-1,3,1))+0.25*INDEX(Lists!$N$13:$N$15,MATCH(H25,Lists!$M$13:$M$15,0))+0.25*(6-P25)+0.2*IF(S25="Within current position",5,2),2))</f>
        <v>2.3</v>
      </c>
      <c r="W25" s="37" t="str">
        <f>IF(U25="","",IF(Q25="No",IF(L25="Yes","Medium","Low"),IF(IF(L25="Yes",2,0)+IF(M25="Yes",1,0)+INDEX(Lists!$N$18:$N$20,MATCH(N25,Lists!$M$18:$M$20,0))+IF(K25=5,2,IF(K25&gt;=4,1,0))&gt;=4,"High",IF(IF(L25="Yes",2,0)+IF(M25="Yes",1,0)+INDEX(Lists!$N$18:$N$20,MATCH(N25,Lists!$M$18:$M$20,0))+IF(K25=5,2,IF(K25&gt;=4,1,0))&gt;=2,"Medium","Low"))))</f>
        <v>Medium</v>
      </c>
      <c r="X25" s="37" t="str">
        <f>IF(U25="","",IF(AND(U25&gt;=$D$4,V25&gt;=$D$4),"Quick win",IF(U25&gt;=$D$4,"Strategic bet",IF(V25&gt;=$D$4,"Fill-in","Deprioritise"))))</f>
        <v>Strategic bet</v>
      </c>
      <c r="Y25" s="39">
        <f>IF(U25="","",ROUND(U25*V25*IF(W25="High",0.85,1)*IF(T25="Redesign / standardise first",0.8,1),2))</f>
        <v>8.51</v>
      </c>
      <c r="Z25" s="40">
        <f>IF(Y25="","",RANK(Y25,$Y$8:$Y$57)+COUNTIF($Y$7:Y24,Y25))</f>
        <v>19</v>
      </c>
      <c r="AA25" s="36" t="str">
        <f>IF(AC25="","",INDEX(Lists!$AV$2:$AV$5,AC25))</f>
        <v>H3 - Later (12-24 months)</v>
      </c>
      <c r="AB25" s="41">
        <f>IF(Y25="","",ROUND(G25*12*INDEX(Lists!$F$2:$F$11,MATCH(O25,Lists!$B$2:$B$11,0)),0))</f>
        <v>480</v>
      </c>
      <c r="AC25" s="37">
        <f>IF(Y25="","",IF(X25="Deprioritise",4,IF(T25="AI later - close data gap first",3,IF(OR(T25="Redesign / standardise first",T25="Stretch - partner or later stage",X25="Strategic bet"),2,1))))</f>
        <v>3</v>
      </c>
      <c r="AD25" s="37">
        <f>IF(Z25="","",AC25*100+Z25)</f>
        <v>319</v>
      </c>
    </row>
    <row r="26" ht="40" customHeight="1">
      <c r="A26" s="14" t="n">
        <v>19</v>
      </c>
      <c r="B26" s="35" t="inlineStr">
        <is>
          <t>Core service delivery / operations</t>
        </is>
      </c>
      <c r="C26" s="35" t="inlineStr">
        <is>
          <t>AI readiness assessment report production</t>
        </is>
      </c>
      <c r="D26" s="35" t="inlineStr">
        <is>
          <t>Report built manually per client</t>
        </is>
      </c>
      <c r="E26" s="35" t="inlineStr">
        <is>
          <t>Move or re-key data between systems following fixed rules</t>
        </is>
      </c>
      <c r="F26" s="35" t="inlineStr">
        <is>
          <t>Low (fewer than 100 a month)</t>
        </is>
      </c>
      <c r="G26" s="35" t="n">
        <v>40</v>
      </c>
      <c r="H26" s="35" t="inlineStr">
        <is>
          <t>Yes - documented and consistent</t>
        </is>
      </c>
      <c r="I26" s="35" t="inlineStr">
        <is>
          <t>Digital history available</t>
        </is>
      </c>
      <c r="J26" s="35" t="n">
        <v>4</v>
      </c>
      <c r="K26" s="35" t="n">
        <v>4</v>
      </c>
      <c r="L26" s="35" t="inlineStr">
        <is>
          <t>No</t>
        </is>
      </c>
      <c r="M26" s="35" t="inlineStr">
        <is>
          <t>No</t>
        </is>
      </c>
      <c r="N26" s="35" t="inlineStr">
        <is>
          <t>Human approves each AI output</t>
        </is>
      </c>
      <c r="O26" s="36" t="str">
        <f>IF(OR(C26="",E26=""),"",INDEX(Lists!$B$2:$B$11,MATCH(E26,Lists!$A$2:$A$11,0)))</f>
        <v>Workflow automation / RPA</v>
      </c>
      <c r="P26" s="37">
        <f>IF(O26="","",INDEX(Lists!$C$2:$C$11,MATCH(O26,Lists!$B$2:$B$11,0)))</f>
        <v>2</v>
      </c>
      <c r="Q26" s="37" t="str">
        <f>IF(O26="","",INDEX(Lists!$D$2:$D$11,MATCH(O26,Lists!$B$2:$B$11,0)))</f>
        <v>No</v>
      </c>
      <c r="R26" s="37" t="str">
        <f>IF(OR(O26="",I26=""),"",IF(INDEX(Lists!$N$2:$N$5,MATCH(I26,Lists!$M$2:$M$5,0))&gt;=INDEX(Lists!$E$2:$E$11,MATCH(O26,Lists!$B$2:$B$11,0)),"Data ready","Data gap"))</f>
        <v>Data ready</v>
      </c>
      <c r="S26" s="36" t="str">
        <f>IF(O26="","",IF(P26&lt;=IF('1. AI Position'!$C$30="",5,INDEX(Lists!$AI$2:$AI$5,'1. AI Position'!$C$30)),"Within current position","Beyond current position"))</f>
        <v>Within current position</v>
      </c>
      <c r="T26" s="38" t="str">
        <f>IF(O26="","",IF(COUNTA(E26:N26)&lt;10,"Complete inputs",IF(H26="No - varies by person / team","Redesign / standardise first",IF(Q26="No","Automate - AI not needed",IF(R26="Data gap","AI later - close data gap first",IF(S26="Beyond current position","Stretch - partner or later stage","AI fit now"))))))</f>
        <v>Automate - AI not needed</v>
      </c>
      <c r="U26" s="39">
        <f>IF(OR(T26="",T26="Complete inputs"),"",ROUND(0.3*INDEX(Lists!$N$8:$N$10,MATCH(F26,Lists!$M$8:$M$10,0))+0.25*IF(G26&lt;20,1,IF(G26&lt;80,2,IF(G26&lt;160,3,IF(G26&lt;480,4,5))))+0.25*J26+0.2*K26,2))</f>
        <v>2.6</v>
      </c>
      <c r="V26" s="39">
        <f>IF(U26="","",ROUND(0.3*IF(R26="Data ready",5,IF(INDEX(Lists!$N$2:$N$5,MATCH(I26,Lists!$M$2:$M$5,0))=INDEX(Lists!$E$2:$E$11,MATCH(O26,Lists!$B$2:$B$11,0))-1,3,1))+0.25*INDEX(Lists!$N$13:$N$15,MATCH(H26,Lists!$M$13:$M$15,0))+0.25*(6-P26)+0.2*IF(S26="Within current position",5,2),2))</f>
        <v>4.75</v>
      </c>
      <c r="W26" s="37" t="str">
        <f>IF(U26="","",IF(Q26="No",IF(L26="Yes","Medium","Low"),IF(IF(L26="Yes",2,0)+IF(M26="Yes",1,0)+INDEX(Lists!$N$18:$N$20,MATCH(N26,Lists!$M$18:$M$20,0))+IF(K26=5,2,IF(K26&gt;=4,1,0))&gt;=4,"High",IF(IF(L26="Yes",2,0)+IF(M26="Yes",1,0)+INDEX(Lists!$N$18:$N$20,MATCH(N26,Lists!$M$18:$M$20,0))+IF(K26=5,2,IF(K26&gt;=4,1,0))&gt;=2,"Medium","Low"))))</f>
        <v>Low</v>
      </c>
      <c r="X26" s="37" t="str">
        <f>IF(U26="","",IF(AND(U26&gt;=$D$4,V26&gt;=$D$4),"Quick win",IF(U26&gt;=$D$4,"Strategic bet",IF(V26&gt;=$D$4,"Fill-in","Deprioritise"))))</f>
        <v>Fill-in</v>
      </c>
      <c r="Y26" s="39">
        <f>IF(U26="","",ROUND(U26*V26*IF(W26="High",0.85,1)*IF(T26="Redesign / standardise first",0.8,1),2))</f>
        <v>12.35</v>
      </c>
      <c r="Z26" s="40">
        <f>IF(Y26="","",RANK(Y26,$Y$8:$Y$57)+COUNTIF($Y$7:Y25,Y26))</f>
        <v>13</v>
      </c>
      <c r="AA26" s="36" t="str">
        <f>IF(AC26="","",INDEX(Lists!$AV$2:$AV$5,AC26))</f>
        <v>H1 - Now (0-6 months)</v>
      </c>
      <c r="AB26" s="41">
        <f>IF(Y26="","",ROUND(G26*12*INDEX(Lists!$F$2:$F$11,MATCH(O26,Lists!$B$2:$B$11,0)),0))</f>
        <v>288</v>
      </c>
      <c r="AC26" s="37">
        <f>IF(Y26="","",IF(X26="Deprioritise",4,IF(T26="AI later - close data gap first",3,IF(OR(T26="Redesign / standardise first",T26="Stretch - partner or later stage",X26="Strategic bet"),2,1))))</f>
        <v>1</v>
      </c>
      <c r="AD26" s="37">
        <f>IF(Z26="","",AC26*100+Z26)</f>
        <v>113</v>
      </c>
    </row>
    <row r="27" ht="40" customHeight="1">
      <c r="A27" s="14" t="n">
        <v>20</v>
      </c>
      <c r="B27" s="35" t="inlineStr">
        <is>
          <t>Risk, compliance &amp; legal</t>
        </is>
      </c>
      <c r="C27" s="35" t="inlineStr">
        <is>
          <t>Client BCP and business impact analysis (AI-powered BCP tool - in preparation)</t>
        </is>
      </c>
      <c r="D27" s="35" t="inlineStr">
        <is>
          <t>Generic, outdated plans; slow BIA workshops</t>
        </is>
      </c>
      <c r="E27" s="35" t="inlineStr">
        <is>
          <t>Draft, summarise, translate or review text</t>
        </is>
      </c>
      <c r="F27" s="35" t="inlineStr">
        <is>
          <t>Low (fewer than 100 a month)</t>
        </is>
      </c>
      <c r="G27" s="35" t="n">
        <v>200</v>
      </c>
      <c r="H27" s="35" t="inlineStr">
        <is>
          <t>Partly - common steps, some variation</t>
        </is>
      </c>
      <c r="I27" s="35" t="inlineStr">
        <is>
          <t>Partial or paper-based</t>
        </is>
      </c>
      <c r="J27" s="35" t="n">
        <v>5</v>
      </c>
      <c r="K27" s="35" t="n">
        <v>4</v>
      </c>
      <c r="L27" s="35" t="inlineStr">
        <is>
          <t>No</t>
        </is>
      </c>
      <c r="M27" s="35" t="inlineStr">
        <is>
          <t>Yes</t>
        </is>
      </c>
      <c r="N27" s="35" t="inlineStr">
        <is>
          <t>Human approves each AI output</t>
        </is>
      </c>
      <c r="O27" s="36" t="str">
        <f>IF(OR(C27="",E27=""),"",INDEX(Lists!$B$2:$B$11,MATCH(E27,Lists!$A$2:$A$11,0)))</f>
        <v>Generative AI assistant (off-the-shelf)</v>
      </c>
      <c r="P27" s="37">
        <f>IF(O27="","",INDEX(Lists!$C$2:$C$11,MATCH(O27,Lists!$B$2:$B$11,0)))</f>
        <v>3</v>
      </c>
      <c r="Q27" s="37" t="str">
        <f>IF(O27="","",INDEX(Lists!$D$2:$D$11,MATCH(O27,Lists!$B$2:$B$11,0)))</f>
        <v>Yes</v>
      </c>
      <c r="R27" s="37" t="str">
        <f>IF(OR(O27="",I27=""),"",IF(INDEX(Lists!$N$2:$N$5,MATCH(I27,Lists!$M$2:$M$5,0))&gt;=INDEX(Lists!$E$2:$E$11,MATCH(O27,Lists!$B$2:$B$11,0)),"Data ready","Data gap"))</f>
        <v>Data ready</v>
      </c>
      <c r="S27" s="36" t="str">
        <f>IF(O27="","",IF(P27&lt;=IF('1. AI Position'!$C$30="",5,INDEX(Lists!$AI$2:$AI$5,'1. AI Position'!$C$30)),"Within current position","Beyond current position"))</f>
        <v>Within current position</v>
      </c>
      <c r="T27" s="38" t="str">
        <f>IF(O27="","",IF(COUNTA(E27:N27)&lt;10,"Complete inputs",IF(H27="No - varies by person / team","Redesign / standardise first",IF(Q27="No","Automate - AI not needed",IF(R27="Data gap","AI later - close data gap first",IF(S27="Beyond current position","Stretch - partner or later stage","AI fit now"))))))</f>
        <v>AI fit now</v>
      </c>
      <c r="U27" s="39">
        <f>IF(OR(T27="",T27="Complete inputs"),"",ROUND(0.3*INDEX(Lists!$N$8:$N$10,MATCH(F27,Lists!$M$8:$M$10,0))+0.25*IF(G27&lt;20,1,IF(G27&lt;80,2,IF(G27&lt;160,3,IF(G27&lt;480,4,5))))+0.25*J27+0.2*K27,2))</f>
        <v>3.35</v>
      </c>
      <c r="V27" s="39">
        <f>IF(U27="","",ROUND(0.3*IF(R27="Data ready",5,IF(INDEX(Lists!$N$2:$N$5,MATCH(I27,Lists!$M$2:$M$5,0))=INDEX(Lists!$E$2:$E$11,MATCH(O27,Lists!$B$2:$B$11,0))-1,3,1))+0.25*INDEX(Lists!$N$13:$N$15,MATCH(H27,Lists!$M$13:$M$15,0))+0.25*(6-P27)+0.2*IF(S27="Within current position",5,2),2))</f>
        <v>4</v>
      </c>
      <c r="W27" s="37" t="str">
        <f>IF(U27="","",IF(Q27="No",IF(L27="Yes","Medium","Low"),IF(IF(L27="Yes",2,0)+IF(M27="Yes",1,0)+INDEX(Lists!$N$18:$N$20,MATCH(N27,Lists!$M$18:$M$20,0))+IF(K27=5,2,IF(K27&gt;=4,1,0))&gt;=4,"High",IF(IF(L27="Yes",2,0)+IF(M27="Yes",1,0)+INDEX(Lists!$N$18:$N$20,MATCH(N27,Lists!$M$18:$M$20,0))+IF(K27=5,2,IF(K27&gt;=4,1,0))&gt;=2,"Medium","Low"))))</f>
        <v>Medium</v>
      </c>
      <c r="X27" s="37" t="str">
        <f>IF(U27="","",IF(AND(U27&gt;=$D$4,V27&gt;=$D$4),"Quick win",IF(U27&gt;=$D$4,"Strategic bet",IF(V27&gt;=$D$4,"Fill-in","Deprioritise"))))</f>
        <v>Quick win</v>
      </c>
      <c r="Y27" s="39">
        <f>IF(U27="","",ROUND(U27*V27*IF(W27="High",0.85,1)*IF(T27="Redesign / standardise first",0.8,1),2))</f>
        <v>13.4</v>
      </c>
      <c r="Z27" s="40">
        <f>IF(Y27="","",RANK(Y27,$Y$8:$Y$57)+COUNTIF($Y$7:Y26,Y27))</f>
        <v>11</v>
      </c>
      <c r="AA27" s="36" t="str">
        <f>IF(AC27="","",INDEX(Lists!$AV$2:$AV$5,AC27))</f>
        <v>H1 - Now (0-6 months)</v>
      </c>
      <c r="AB27" s="41">
        <f>IF(Y27="","",ROUND(G27*12*INDEX(Lists!$F$2:$F$11,MATCH(O27,Lists!$B$2:$B$11,0)),0))</f>
        <v>720</v>
      </c>
      <c r="AC27" s="37">
        <f>IF(Y27="","",IF(X27="Deprioritise",4,IF(T27="AI later - close data gap first",3,IF(OR(T27="Redesign / standardise first",T27="Stretch - partner or later stage",X27="Strategic bet"),2,1))))</f>
        <v>1</v>
      </c>
      <c r="AD27" s="37">
        <f>IF(Z27="","",AC27*100+Z27)</f>
        <v>111</v>
      </c>
    </row>
    <row r="28" ht="40" customHeight="1">
      <c r="A28" s="14" t="n">
        <v>21</v>
      </c>
      <c r="B28" s="35" t="inlineStr">
        <is>
          <t>Core service delivery / operations</t>
        </is>
      </c>
      <c r="C28" s="35" t="inlineStr">
        <is>
          <t>Financial statements preparation (AI-powered FS tool - in preparation)</t>
        </is>
      </c>
      <c r="D28" s="35" t="inlineStr">
        <is>
          <t>Mapping trial balances and drafting notes manually</t>
        </is>
      </c>
      <c r="E28" s="35" t="inlineStr">
        <is>
          <t>Forecast, score, classify or detect anomalies from historical data</t>
        </is>
      </c>
      <c r="F28" s="35" t="inlineStr">
        <is>
          <t>Medium (100 - 1,000 a month)</t>
        </is>
      </c>
      <c r="G28" s="35" t="n">
        <v>260</v>
      </c>
      <c r="H28" s="35" t="inlineStr">
        <is>
          <t>Yes - documented and consistent</t>
        </is>
      </c>
      <c r="I28" s="35" t="inlineStr">
        <is>
          <t>Digital history available</t>
        </is>
      </c>
      <c r="J28" s="35" t="n">
        <v>5</v>
      </c>
      <c r="K28" s="35" t="n">
        <v>5</v>
      </c>
      <c r="L28" s="35" t="inlineStr">
        <is>
          <t>No</t>
        </is>
      </c>
      <c r="M28" s="35" t="inlineStr">
        <is>
          <t>Yes</t>
        </is>
      </c>
      <c r="N28" s="35" t="inlineStr">
        <is>
          <t>Human approves each AI output</t>
        </is>
      </c>
      <c r="O28" s="36" t="str">
        <f>IF(OR(C28="",E28=""),"",INDEX(Lists!$B$2:$B$11,MATCH(E28,Lists!$A$2:$A$11,0)))</f>
        <v>Predictive analytics / machine learning</v>
      </c>
      <c r="P28" s="37">
        <f>IF(O28="","",INDEX(Lists!$C$2:$C$11,MATCH(O28,Lists!$B$2:$B$11,0)))</f>
        <v>5</v>
      </c>
      <c r="Q28" s="37" t="str">
        <f>IF(O28="","",INDEX(Lists!$D$2:$D$11,MATCH(O28,Lists!$B$2:$B$11,0)))</f>
        <v>Yes</v>
      </c>
      <c r="R28" s="37" t="str">
        <f>IF(OR(O28="",I28=""),"",IF(INDEX(Lists!$N$2:$N$5,MATCH(I28,Lists!$M$2:$M$5,0))&gt;=INDEX(Lists!$E$2:$E$11,MATCH(O28,Lists!$B$2:$B$11,0)),"Data ready","Data gap"))</f>
        <v>Data ready</v>
      </c>
      <c r="S28" s="36" t="str">
        <f>IF(O28="","",IF(P28&lt;=IF('1. AI Position'!$C$30="",5,INDEX(Lists!$AI$2:$AI$5,'1. AI Position'!$C$30)),"Within current position","Beyond current position"))</f>
        <v>Beyond current position</v>
      </c>
      <c r="T28" s="38" t="str">
        <f>IF(O28="","",IF(COUNTA(E28:N28)&lt;10,"Complete inputs",IF(H28="No - varies by person / team","Redesign / standardise first",IF(Q28="No","Automate - AI not needed",IF(R28="Data gap","AI later - close data gap first",IF(S28="Beyond current position","Stretch - partner or later stage","AI fit now"))))))</f>
        <v>Stretch - partner or later stage</v>
      </c>
      <c r="U28" s="39">
        <f>IF(OR(T28="",T28="Complete inputs"),"",ROUND(0.3*INDEX(Lists!$N$8:$N$10,MATCH(F28,Lists!$M$8:$M$10,0))+0.25*IF(G28&lt;20,1,IF(G28&lt;80,2,IF(G28&lt;160,3,IF(G28&lt;480,4,5))))+0.25*J28+0.2*K28,2))</f>
        <v>4.15</v>
      </c>
      <c r="V28" s="39">
        <f>IF(U28="","",ROUND(0.3*IF(R28="Data ready",5,IF(INDEX(Lists!$N$2:$N$5,MATCH(I28,Lists!$M$2:$M$5,0))=INDEX(Lists!$E$2:$E$11,MATCH(O28,Lists!$B$2:$B$11,0))-1,3,1))+0.25*INDEX(Lists!$N$13:$N$15,MATCH(H28,Lists!$M$13:$M$15,0))+0.25*(6-P28)+0.2*IF(S28="Within current position",5,2),2))</f>
        <v>3.4</v>
      </c>
      <c r="W28" s="37" t="str">
        <f>IF(U28="","",IF(Q28="No",IF(L28="Yes","Medium","Low"),IF(IF(L28="Yes",2,0)+IF(M28="Yes",1,0)+INDEX(Lists!$N$18:$N$20,MATCH(N28,Lists!$M$18:$M$20,0))+IF(K28=5,2,IF(K28&gt;=4,1,0))&gt;=4,"High",IF(IF(L28="Yes",2,0)+IF(M28="Yes",1,0)+INDEX(Lists!$N$18:$N$20,MATCH(N28,Lists!$M$18:$M$20,0))+IF(K28=5,2,IF(K28&gt;=4,1,0))&gt;=2,"Medium","Low"))))</f>
        <v>High</v>
      </c>
      <c r="X28" s="37" t="str">
        <f>IF(U28="","",IF(AND(U28&gt;=$D$4,V28&gt;=$D$4),"Quick win",IF(U28&gt;=$D$4,"Strategic bet",IF(V28&gt;=$D$4,"Fill-in","Deprioritise"))))</f>
        <v>Quick win</v>
      </c>
      <c r="Y28" s="39">
        <f>IF(U28="","",ROUND(U28*V28*IF(W28="High",0.85,1)*IF(T28="Redesign / standardise first",0.8,1),2))</f>
        <v>11.99</v>
      </c>
      <c r="Z28" s="40">
        <f>IF(Y28="","",RANK(Y28,$Y$8:$Y$57)+COUNTIF($Y$7:Y27,Y28))</f>
        <v>14</v>
      </c>
      <c r="AA28" s="36" t="str">
        <f>IF(AC28="","",INDEX(Lists!$AV$2:$AV$5,AC28))</f>
        <v>H2 - Next (6-12 months)</v>
      </c>
      <c r="AB28" s="41">
        <f>IF(Y28="","",ROUND(G28*12*INDEX(Lists!$F$2:$F$11,MATCH(O28,Lists!$B$2:$B$11,0)),0))</f>
        <v>624</v>
      </c>
      <c r="AC28" s="37">
        <f>IF(Y28="","",IF(X28="Deprioritise",4,IF(T28="AI later - close data gap first",3,IF(OR(T28="Redesign / standardise first",T28="Stretch - partner or later stage",X28="Strategic bet"),2,1))))</f>
        <v>2</v>
      </c>
      <c r="AD28" s="37">
        <f>IF(Z28="","",AC28*100+Z28)</f>
        <v>214</v>
      </c>
    </row>
    <row r="29" ht="40" customHeight="1">
      <c r="A29" s="14" t="n">
        <v>22</v>
      </c>
      <c r="B29" s="35" t="n"/>
      <c r="C29" s="35" t="n"/>
      <c r="D29" s="35" t="n"/>
      <c r="E29" s="35" t="n"/>
      <c r="F29" s="35" t="n"/>
      <c r="G29" s="35" t="n"/>
      <c r="H29" s="35" t="n"/>
      <c r="I29" s="35" t="n"/>
      <c r="J29" s="35" t="n"/>
      <c r="K29" s="35" t="n"/>
      <c r="L29" s="35" t="n"/>
      <c r="M29" s="35" t="n"/>
      <c r="N29" s="35" t="n"/>
      <c r="O29" s="36" t="str">
        <f>IF(OR(C29="",E29=""),"",INDEX(Lists!$B$2:$B$11,MATCH(E29,Lists!$A$2:$A$11,0)))</f>
        <v/>
      </c>
      <c r="P29" s="37" t="str">
        <f>IF(O29="","",INDEX(Lists!$C$2:$C$11,MATCH(O29,Lists!$B$2:$B$11,0)))</f>
        <v/>
      </c>
      <c r="Q29" s="37" t="str">
        <f>IF(O29="","",INDEX(Lists!$D$2:$D$11,MATCH(O29,Lists!$B$2:$B$11,0)))</f>
        <v/>
      </c>
      <c r="R29" s="37" t="str">
        <f>IF(OR(O29="",I29=""),"",IF(INDEX(Lists!$N$2:$N$5,MATCH(I29,Lists!$M$2:$M$5,0))&gt;=INDEX(Lists!$E$2:$E$11,MATCH(O29,Lists!$B$2:$B$11,0)),"Data ready","Data gap"))</f>
        <v/>
      </c>
      <c r="S29" s="36" t="str">
        <f>IF(O29="","",IF(P29&lt;=IF('1. AI Position'!$C$30="",5,INDEX(Lists!$AI$2:$AI$5,'1. AI Position'!$C$30)),"Within current position","Beyond current position"))</f>
        <v/>
      </c>
      <c r="T29" s="38" t="str">
        <f>IF(O29="","",IF(COUNTA(E29:N29)&lt;10,"Complete inputs",IF(H29="No - varies by person / team","Redesign / standardise first",IF(Q29="No","Automate - AI not needed",IF(R29="Data gap","AI later - close data gap first",IF(S29="Beyond current position","Stretch - partner or later stage","AI fit now"))))))</f>
        <v/>
      </c>
      <c r="U29" s="39" t="str">
        <f>IF(OR(T29="",T29="Complete inputs"),"",ROUND(0.3*INDEX(Lists!$N$8:$N$10,MATCH(F29,Lists!$M$8:$M$10,0))+0.25*IF(G29&lt;20,1,IF(G29&lt;80,2,IF(G29&lt;160,3,IF(G29&lt;480,4,5))))+0.25*J29+0.2*K29,2))</f>
        <v/>
      </c>
      <c r="V29" s="39" t="str">
        <f>IF(U29="","",ROUND(0.3*IF(R29="Data ready",5,IF(INDEX(Lists!$N$2:$N$5,MATCH(I29,Lists!$M$2:$M$5,0))=INDEX(Lists!$E$2:$E$11,MATCH(O29,Lists!$B$2:$B$11,0))-1,3,1))+0.25*INDEX(Lists!$N$13:$N$15,MATCH(H29,Lists!$M$13:$M$15,0))+0.25*(6-P29)+0.2*IF(S29="Within current position",5,2),2))</f>
        <v/>
      </c>
      <c r="W29" s="37" t="str">
        <f>IF(U29="","",IF(Q29="No",IF(L29="Yes","Medium","Low"),IF(IF(L29="Yes",2,0)+IF(M29="Yes",1,0)+INDEX(Lists!$N$18:$N$20,MATCH(N29,Lists!$M$18:$M$20,0))+IF(K29=5,2,IF(K29&gt;=4,1,0))&gt;=4,"High",IF(IF(L29="Yes",2,0)+IF(M29="Yes",1,0)+INDEX(Lists!$N$18:$N$20,MATCH(N29,Lists!$M$18:$M$20,0))+IF(K29=5,2,IF(K29&gt;=4,1,0))&gt;=2,"Medium","Low"))))</f>
        <v/>
      </c>
      <c r="X29" s="37" t="str">
        <f>IF(U29="","",IF(AND(U29&gt;=$D$4,V29&gt;=$D$4),"Quick win",IF(U29&gt;=$D$4,"Strategic bet",IF(V29&gt;=$D$4,"Fill-in","Deprioritise"))))</f>
        <v/>
      </c>
      <c r="Y29" s="39" t="str">
        <f>IF(U29="","",ROUND(U29*V29*IF(W29="High",0.85,1)*IF(T29="Redesign / standardise first",0.8,1),2))</f>
        <v/>
      </c>
      <c r="Z29" s="40" t="str">
        <f>IF(Y29="","",RANK(Y29,$Y$8:$Y$57)+COUNTIF($Y$7:Y28,Y29))</f>
        <v/>
      </c>
      <c r="AA29" s="36" t="str">
        <f>IF(AC29="","",INDEX(Lists!$AV$2:$AV$5,AC29))</f>
        <v/>
      </c>
      <c r="AB29" s="41" t="str">
        <f>IF(Y29="","",ROUND(G29*12*INDEX(Lists!$F$2:$F$11,MATCH(O29,Lists!$B$2:$B$11,0)),0))</f>
        <v/>
      </c>
      <c r="AC29" s="37" t="str">
        <f>IF(Y29="","",IF(X29="Deprioritise",4,IF(T29="AI later - close data gap first",3,IF(OR(T29="Redesign / standardise first",T29="Stretch - partner or later stage",X29="Strategic bet"),2,1))))</f>
        <v/>
      </c>
      <c r="AD29" s="37" t="str">
        <f>IF(Z29="","",AC29*100+Z29)</f>
        <v/>
      </c>
    </row>
    <row r="30" ht="40" customHeight="1">
      <c r="A30" s="14" t="n">
        <v>23</v>
      </c>
      <c r="B30" s="35" t="n"/>
      <c r="C30" s="35" t="n"/>
      <c r="D30" s="35" t="n"/>
      <c r="E30" s="35" t="n"/>
      <c r="F30" s="35" t="n"/>
      <c r="G30" s="35" t="n"/>
      <c r="H30" s="35" t="n"/>
      <c r="I30" s="35" t="n"/>
      <c r="J30" s="35" t="n"/>
      <c r="K30" s="35" t="n"/>
      <c r="L30" s="35" t="n"/>
      <c r="M30" s="35" t="n"/>
      <c r="N30" s="35" t="n"/>
      <c r="O30" s="36" t="str">
        <f>IF(OR(C30="",E30=""),"",INDEX(Lists!$B$2:$B$11,MATCH(E30,Lists!$A$2:$A$11,0)))</f>
        <v/>
      </c>
      <c r="P30" s="37" t="str">
        <f>IF(O30="","",INDEX(Lists!$C$2:$C$11,MATCH(O30,Lists!$B$2:$B$11,0)))</f>
        <v/>
      </c>
      <c r="Q30" s="37" t="str">
        <f>IF(O30="","",INDEX(Lists!$D$2:$D$11,MATCH(O30,Lists!$B$2:$B$11,0)))</f>
        <v/>
      </c>
      <c r="R30" s="37" t="str">
        <f>IF(OR(O30="",I30=""),"",IF(INDEX(Lists!$N$2:$N$5,MATCH(I30,Lists!$M$2:$M$5,0))&gt;=INDEX(Lists!$E$2:$E$11,MATCH(O30,Lists!$B$2:$B$11,0)),"Data ready","Data gap"))</f>
        <v/>
      </c>
      <c r="S30" s="36" t="str">
        <f>IF(O30="","",IF(P30&lt;=IF('1. AI Position'!$C$30="",5,INDEX(Lists!$AI$2:$AI$5,'1. AI Position'!$C$30)),"Within current position","Beyond current position"))</f>
        <v/>
      </c>
      <c r="T30" s="38" t="str">
        <f>IF(O30="","",IF(COUNTA(E30:N30)&lt;10,"Complete inputs",IF(H30="No - varies by person / team","Redesign / standardise first",IF(Q30="No","Automate - AI not needed",IF(R30="Data gap","AI later - close data gap first",IF(S30="Beyond current position","Stretch - partner or later stage","AI fit now"))))))</f>
        <v/>
      </c>
      <c r="U30" s="39" t="str">
        <f>IF(OR(T30="",T30="Complete inputs"),"",ROUND(0.3*INDEX(Lists!$N$8:$N$10,MATCH(F30,Lists!$M$8:$M$10,0))+0.25*IF(G30&lt;20,1,IF(G30&lt;80,2,IF(G30&lt;160,3,IF(G30&lt;480,4,5))))+0.25*J30+0.2*K30,2))</f>
        <v/>
      </c>
      <c r="V30" s="39" t="str">
        <f>IF(U30="","",ROUND(0.3*IF(R30="Data ready",5,IF(INDEX(Lists!$N$2:$N$5,MATCH(I30,Lists!$M$2:$M$5,0))=INDEX(Lists!$E$2:$E$11,MATCH(O30,Lists!$B$2:$B$11,0))-1,3,1))+0.25*INDEX(Lists!$N$13:$N$15,MATCH(H30,Lists!$M$13:$M$15,0))+0.25*(6-P30)+0.2*IF(S30="Within current position",5,2),2))</f>
        <v/>
      </c>
      <c r="W30" s="37" t="str">
        <f>IF(U30="","",IF(Q30="No",IF(L30="Yes","Medium","Low"),IF(IF(L30="Yes",2,0)+IF(M30="Yes",1,0)+INDEX(Lists!$N$18:$N$20,MATCH(N30,Lists!$M$18:$M$20,0))+IF(K30=5,2,IF(K30&gt;=4,1,0))&gt;=4,"High",IF(IF(L30="Yes",2,0)+IF(M30="Yes",1,0)+INDEX(Lists!$N$18:$N$20,MATCH(N30,Lists!$M$18:$M$20,0))+IF(K30=5,2,IF(K30&gt;=4,1,0))&gt;=2,"Medium","Low"))))</f>
        <v/>
      </c>
      <c r="X30" s="37" t="str">
        <f>IF(U30="","",IF(AND(U30&gt;=$D$4,V30&gt;=$D$4),"Quick win",IF(U30&gt;=$D$4,"Strategic bet",IF(V30&gt;=$D$4,"Fill-in","Deprioritise"))))</f>
        <v/>
      </c>
      <c r="Y30" s="39" t="str">
        <f>IF(U30="","",ROUND(U30*V30*IF(W30="High",0.85,1)*IF(T30="Redesign / standardise first",0.8,1),2))</f>
        <v/>
      </c>
      <c r="Z30" s="40" t="str">
        <f>IF(Y30="","",RANK(Y30,$Y$8:$Y$57)+COUNTIF($Y$7:Y29,Y30))</f>
        <v/>
      </c>
      <c r="AA30" s="36" t="str">
        <f>IF(AC30="","",INDEX(Lists!$AV$2:$AV$5,AC30))</f>
        <v/>
      </c>
      <c r="AB30" s="41" t="str">
        <f>IF(Y30="","",ROUND(G30*12*INDEX(Lists!$F$2:$F$11,MATCH(O30,Lists!$B$2:$B$11,0)),0))</f>
        <v/>
      </c>
      <c r="AC30" s="37" t="str">
        <f>IF(Y30="","",IF(X30="Deprioritise",4,IF(T30="AI later - close data gap first",3,IF(OR(T30="Redesign / standardise first",T30="Stretch - partner or later stage",X30="Strategic bet"),2,1))))</f>
        <v/>
      </c>
      <c r="AD30" s="37" t="str">
        <f>IF(Z30="","",AC30*100+Z30)</f>
        <v/>
      </c>
    </row>
    <row r="31" ht="40" customHeight="1">
      <c r="A31" s="14" t="n">
        <v>24</v>
      </c>
      <c r="B31" s="35" t="n"/>
      <c r="C31" s="35" t="n"/>
      <c r="D31" s="35" t="n"/>
      <c r="E31" s="35" t="n"/>
      <c r="F31" s="35" t="n"/>
      <c r="G31" s="35" t="n"/>
      <c r="H31" s="35" t="n"/>
      <c r="I31" s="35" t="n"/>
      <c r="J31" s="35" t="n"/>
      <c r="K31" s="35" t="n"/>
      <c r="L31" s="35" t="n"/>
      <c r="M31" s="35" t="n"/>
      <c r="N31" s="35" t="n"/>
      <c r="O31" s="36" t="str">
        <f>IF(OR(C31="",E31=""),"",INDEX(Lists!$B$2:$B$11,MATCH(E31,Lists!$A$2:$A$11,0)))</f>
        <v/>
      </c>
      <c r="P31" s="37" t="str">
        <f>IF(O31="","",INDEX(Lists!$C$2:$C$11,MATCH(O31,Lists!$B$2:$B$11,0)))</f>
        <v/>
      </c>
      <c r="Q31" s="37" t="str">
        <f>IF(O31="","",INDEX(Lists!$D$2:$D$11,MATCH(O31,Lists!$B$2:$B$11,0)))</f>
        <v/>
      </c>
      <c r="R31" s="37" t="str">
        <f>IF(OR(O31="",I31=""),"",IF(INDEX(Lists!$N$2:$N$5,MATCH(I31,Lists!$M$2:$M$5,0))&gt;=INDEX(Lists!$E$2:$E$11,MATCH(O31,Lists!$B$2:$B$11,0)),"Data ready","Data gap"))</f>
        <v/>
      </c>
      <c r="S31" s="36" t="str">
        <f>IF(O31="","",IF(P31&lt;=IF('1. AI Position'!$C$30="",5,INDEX(Lists!$AI$2:$AI$5,'1. AI Position'!$C$30)),"Within current position","Beyond current position"))</f>
        <v/>
      </c>
      <c r="T31" s="38" t="str">
        <f>IF(O31="","",IF(COUNTA(E31:N31)&lt;10,"Complete inputs",IF(H31="No - varies by person / team","Redesign / standardise first",IF(Q31="No","Automate - AI not needed",IF(R31="Data gap","AI later - close data gap first",IF(S31="Beyond current position","Stretch - partner or later stage","AI fit now"))))))</f>
        <v/>
      </c>
      <c r="U31" s="39" t="str">
        <f>IF(OR(T31="",T31="Complete inputs"),"",ROUND(0.3*INDEX(Lists!$N$8:$N$10,MATCH(F31,Lists!$M$8:$M$10,0))+0.25*IF(G31&lt;20,1,IF(G31&lt;80,2,IF(G31&lt;160,3,IF(G31&lt;480,4,5))))+0.25*J31+0.2*K31,2))</f>
        <v/>
      </c>
      <c r="V31" s="39" t="str">
        <f>IF(U31="","",ROUND(0.3*IF(R31="Data ready",5,IF(INDEX(Lists!$N$2:$N$5,MATCH(I31,Lists!$M$2:$M$5,0))=INDEX(Lists!$E$2:$E$11,MATCH(O31,Lists!$B$2:$B$11,0))-1,3,1))+0.25*INDEX(Lists!$N$13:$N$15,MATCH(H31,Lists!$M$13:$M$15,0))+0.25*(6-P31)+0.2*IF(S31="Within current position",5,2),2))</f>
        <v/>
      </c>
      <c r="W31" s="37" t="str">
        <f>IF(U31="","",IF(Q31="No",IF(L31="Yes","Medium","Low"),IF(IF(L31="Yes",2,0)+IF(M31="Yes",1,0)+INDEX(Lists!$N$18:$N$20,MATCH(N31,Lists!$M$18:$M$20,0))+IF(K31=5,2,IF(K31&gt;=4,1,0))&gt;=4,"High",IF(IF(L31="Yes",2,0)+IF(M31="Yes",1,0)+INDEX(Lists!$N$18:$N$20,MATCH(N31,Lists!$M$18:$M$20,0))+IF(K31=5,2,IF(K31&gt;=4,1,0))&gt;=2,"Medium","Low"))))</f>
        <v/>
      </c>
      <c r="X31" s="37" t="str">
        <f>IF(U31="","",IF(AND(U31&gt;=$D$4,V31&gt;=$D$4),"Quick win",IF(U31&gt;=$D$4,"Strategic bet",IF(V31&gt;=$D$4,"Fill-in","Deprioritise"))))</f>
        <v/>
      </c>
      <c r="Y31" s="39" t="str">
        <f>IF(U31="","",ROUND(U31*V31*IF(W31="High",0.85,1)*IF(T31="Redesign / standardise first",0.8,1),2))</f>
        <v/>
      </c>
      <c r="Z31" s="40" t="str">
        <f>IF(Y31="","",RANK(Y31,$Y$8:$Y$57)+COUNTIF($Y$7:Y30,Y31))</f>
        <v/>
      </c>
      <c r="AA31" s="36" t="str">
        <f>IF(AC31="","",INDEX(Lists!$AV$2:$AV$5,AC31))</f>
        <v/>
      </c>
      <c r="AB31" s="41" t="str">
        <f>IF(Y31="","",ROUND(G31*12*INDEX(Lists!$F$2:$F$11,MATCH(O31,Lists!$B$2:$B$11,0)),0))</f>
        <v/>
      </c>
      <c r="AC31" s="37" t="str">
        <f>IF(Y31="","",IF(X31="Deprioritise",4,IF(T31="AI later - close data gap first",3,IF(OR(T31="Redesign / standardise first",T31="Stretch - partner or later stage",X31="Strategic bet"),2,1))))</f>
        <v/>
      </c>
      <c r="AD31" s="37" t="str">
        <f>IF(Z31="","",AC31*100+Z31)</f>
        <v/>
      </c>
    </row>
    <row r="32" ht="40" customHeight="1">
      <c r="A32" s="14" t="n">
        <v>25</v>
      </c>
      <c r="B32" s="35" t="n"/>
      <c r="C32" s="35" t="n"/>
      <c r="D32" s="35" t="n"/>
      <c r="E32" s="35" t="n"/>
      <c r="F32" s="35" t="n"/>
      <c r="G32" s="35" t="n"/>
      <c r="H32" s="35" t="n"/>
      <c r="I32" s="35" t="n"/>
      <c r="J32" s="35" t="n"/>
      <c r="K32" s="35" t="n"/>
      <c r="L32" s="35" t="n"/>
      <c r="M32" s="35" t="n"/>
      <c r="N32" s="35" t="n"/>
      <c r="O32" s="36" t="str">
        <f>IF(OR(C32="",E32=""),"",INDEX(Lists!$B$2:$B$11,MATCH(E32,Lists!$A$2:$A$11,0)))</f>
        <v/>
      </c>
      <c r="P32" s="37" t="str">
        <f>IF(O32="","",INDEX(Lists!$C$2:$C$11,MATCH(O32,Lists!$B$2:$B$11,0)))</f>
        <v/>
      </c>
      <c r="Q32" s="37" t="str">
        <f>IF(O32="","",INDEX(Lists!$D$2:$D$11,MATCH(O32,Lists!$B$2:$B$11,0)))</f>
        <v/>
      </c>
      <c r="R32" s="37" t="str">
        <f>IF(OR(O32="",I32=""),"",IF(INDEX(Lists!$N$2:$N$5,MATCH(I32,Lists!$M$2:$M$5,0))&gt;=INDEX(Lists!$E$2:$E$11,MATCH(O32,Lists!$B$2:$B$11,0)),"Data ready","Data gap"))</f>
        <v/>
      </c>
      <c r="S32" s="36" t="str">
        <f>IF(O32="","",IF(P32&lt;=IF('1. AI Position'!$C$30="",5,INDEX(Lists!$AI$2:$AI$5,'1. AI Position'!$C$30)),"Within current position","Beyond current position"))</f>
        <v/>
      </c>
      <c r="T32" s="38" t="str">
        <f>IF(O32="","",IF(COUNTA(E32:N32)&lt;10,"Complete inputs",IF(H32="No - varies by person / team","Redesign / standardise first",IF(Q32="No","Automate - AI not needed",IF(R32="Data gap","AI later - close data gap first",IF(S32="Beyond current position","Stretch - partner or later stage","AI fit now"))))))</f>
        <v/>
      </c>
      <c r="U32" s="39" t="str">
        <f>IF(OR(T32="",T32="Complete inputs"),"",ROUND(0.3*INDEX(Lists!$N$8:$N$10,MATCH(F32,Lists!$M$8:$M$10,0))+0.25*IF(G32&lt;20,1,IF(G32&lt;80,2,IF(G32&lt;160,3,IF(G32&lt;480,4,5))))+0.25*J32+0.2*K32,2))</f>
        <v/>
      </c>
      <c r="V32" s="39" t="str">
        <f>IF(U32="","",ROUND(0.3*IF(R32="Data ready",5,IF(INDEX(Lists!$N$2:$N$5,MATCH(I32,Lists!$M$2:$M$5,0))=INDEX(Lists!$E$2:$E$11,MATCH(O32,Lists!$B$2:$B$11,0))-1,3,1))+0.25*INDEX(Lists!$N$13:$N$15,MATCH(H32,Lists!$M$13:$M$15,0))+0.25*(6-P32)+0.2*IF(S32="Within current position",5,2),2))</f>
        <v/>
      </c>
      <c r="W32" s="37" t="str">
        <f>IF(U32="","",IF(Q32="No",IF(L32="Yes","Medium","Low"),IF(IF(L32="Yes",2,0)+IF(M32="Yes",1,0)+INDEX(Lists!$N$18:$N$20,MATCH(N32,Lists!$M$18:$M$20,0))+IF(K32=5,2,IF(K32&gt;=4,1,0))&gt;=4,"High",IF(IF(L32="Yes",2,0)+IF(M32="Yes",1,0)+INDEX(Lists!$N$18:$N$20,MATCH(N32,Lists!$M$18:$M$20,0))+IF(K32=5,2,IF(K32&gt;=4,1,0))&gt;=2,"Medium","Low"))))</f>
        <v/>
      </c>
      <c r="X32" s="37" t="str">
        <f>IF(U32="","",IF(AND(U32&gt;=$D$4,V32&gt;=$D$4),"Quick win",IF(U32&gt;=$D$4,"Strategic bet",IF(V32&gt;=$D$4,"Fill-in","Deprioritise"))))</f>
        <v/>
      </c>
      <c r="Y32" s="39" t="str">
        <f>IF(U32="","",ROUND(U32*V32*IF(W32="High",0.85,1)*IF(T32="Redesign / standardise first",0.8,1),2))</f>
        <v/>
      </c>
      <c r="Z32" s="40" t="str">
        <f>IF(Y32="","",RANK(Y32,$Y$8:$Y$57)+COUNTIF($Y$7:Y31,Y32))</f>
        <v/>
      </c>
      <c r="AA32" s="36" t="str">
        <f>IF(AC32="","",INDEX(Lists!$AV$2:$AV$5,AC32))</f>
        <v/>
      </c>
      <c r="AB32" s="41" t="str">
        <f>IF(Y32="","",ROUND(G32*12*INDEX(Lists!$F$2:$F$11,MATCH(O32,Lists!$B$2:$B$11,0)),0))</f>
        <v/>
      </c>
      <c r="AC32" s="37" t="str">
        <f>IF(Y32="","",IF(X32="Deprioritise",4,IF(T32="AI later - close data gap first",3,IF(OR(T32="Redesign / standardise first",T32="Stretch - partner or later stage",X32="Strategic bet"),2,1))))</f>
        <v/>
      </c>
      <c r="AD32" s="37" t="str">
        <f>IF(Z32="","",AC32*100+Z32)</f>
        <v/>
      </c>
    </row>
    <row r="33" ht="40" customHeight="1">
      <c r="A33" s="14" t="n">
        <v>26</v>
      </c>
      <c r="B33" s="35" t="n"/>
      <c r="C33" s="35" t="n"/>
      <c r="D33" s="35" t="n"/>
      <c r="E33" s="35" t="n"/>
      <c r="F33" s="35" t="n"/>
      <c r="G33" s="35" t="n"/>
      <c r="H33" s="35" t="n"/>
      <c r="I33" s="35" t="n"/>
      <c r="J33" s="35" t="n"/>
      <c r="K33" s="35" t="n"/>
      <c r="L33" s="35" t="n"/>
      <c r="M33" s="35" t="n"/>
      <c r="N33" s="35" t="n"/>
      <c r="O33" s="36" t="str">
        <f>IF(OR(C33="",E33=""),"",INDEX(Lists!$B$2:$B$11,MATCH(E33,Lists!$A$2:$A$11,0)))</f>
        <v/>
      </c>
      <c r="P33" s="37" t="str">
        <f>IF(O33="","",INDEX(Lists!$C$2:$C$11,MATCH(O33,Lists!$B$2:$B$11,0)))</f>
        <v/>
      </c>
      <c r="Q33" s="37" t="str">
        <f>IF(O33="","",INDEX(Lists!$D$2:$D$11,MATCH(O33,Lists!$B$2:$B$11,0)))</f>
        <v/>
      </c>
      <c r="R33" s="37" t="str">
        <f>IF(OR(O33="",I33=""),"",IF(INDEX(Lists!$N$2:$N$5,MATCH(I33,Lists!$M$2:$M$5,0))&gt;=INDEX(Lists!$E$2:$E$11,MATCH(O33,Lists!$B$2:$B$11,0)),"Data ready","Data gap"))</f>
        <v/>
      </c>
      <c r="S33" s="36" t="str">
        <f>IF(O33="","",IF(P33&lt;=IF('1. AI Position'!$C$30="",5,INDEX(Lists!$AI$2:$AI$5,'1. AI Position'!$C$30)),"Within current position","Beyond current position"))</f>
        <v/>
      </c>
      <c r="T33" s="38" t="str">
        <f>IF(O33="","",IF(COUNTA(E33:N33)&lt;10,"Complete inputs",IF(H33="No - varies by person / team","Redesign / standardise first",IF(Q33="No","Automate - AI not needed",IF(R33="Data gap","AI later - close data gap first",IF(S33="Beyond current position","Stretch - partner or later stage","AI fit now"))))))</f>
        <v/>
      </c>
      <c r="U33" s="39" t="str">
        <f>IF(OR(T33="",T33="Complete inputs"),"",ROUND(0.3*INDEX(Lists!$N$8:$N$10,MATCH(F33,Lists!$M$8:$M$10,0))+0.25*IF(G33&lt;20,1,IF(G33&lt;80,2,IF(G33&lt;160,3,IF(G33&lt;480,4,5))))+0.25*J33+0.2*K33,2))</f>
        <v/>
      </c>
      <c r="V33" s="39" t="str">
        <f>IF(U33="","",ROUND(0.3*IF(R33="Data ready",5,IF(INDEX(Lists!$N$2:$N$5,MATCH(I33,Lists!$M$2:$M$5,0))=INDEX(Lists!$E$2:$E$11,MATCH(O33,Lists!$B$2:$B$11,0))-1,3,1))+0.25*INDEX(Lists!$N$13:$N$15,MATCH(H33,Lists!$M$13:$M$15,0))+0.25*(6-P33)+0.2*IF(S33="Within current position",5,2),2))</f>
        <v/>
      </c>
      <c r="W33" s="37" t="str">
        <f>IF(U33="","",IF(Q33="No",IF(L33="Yes","Medium","Low"),IF(IF(L33="Yes",2,0)+IF(M33="Yes",1,0)+INDEX(Lists!$N$18:$N$20,MATCH(N33,Lists!$M$18:$M$20,0))+IF(K33=5,2,IF(K33&gt;=4,1,0))&gt;=4,"High",IF(IF(L33="Yes",2,0)+IF(M33="Yes",1,0)+INDEX(Lists!$N$18:$N$20,MATCH(N33,Lists!$M$18:$M$20,0))+IF(K33=5,2,IF(K33&gt;=4,1,0))&gt;=2,"Medium","Low"))))</f>
        <v/>
      </c>
      <c r="X33" s="37" t="str">
        <f>IF(U33="","",IF(AND(U33&gt;=$D$4,V33&gt;=$D$4),"Quick win",IF(U33&gt;=$D$4,"Strategic bet",IF(V33&gt;=$D$4,"Fill-in","Deprioritise"))))</f>
        <v/>
      </c>
      <c r="Y33" s="39" t="str">
        <f>IF(U33="","",ROUND(U33*V33*IF(W33="High",0.85,1)*IF(T33="Redesign / standardise first",0.8,1),2))</f>
        <v/>
      </c>
      <c r="Z33" s="40" t="str">
        <f>IF(Y33="","",RANK(Y33,$Y$8:$Y$57)+COUNTIF($Y$7:Y32,Y33))</f>
        <v/>
      </c>
      <c r="AA33" s="36" t="str">
        <f>IF(AC33="","",INDEX(Lists!$AV$2:$AV$5,AC33))</f>
        <v/>
      </c>
      <c r="AB33" s="41" t="str">
        <f>IF(Y33="","",ROUND(G33*12*INDEX(Lists!$F$2:$F$11,MATCH(O33,Lists!$B$2:$B$11,0)),0))</f>
        <v/>
      </c>
      <c r="AC33" s="37" t="str">
        <f>IF(Y33="","",IF(X33="Deprioritise",4,IF(T33="AI later - close data gap first",3,IF(OR(T33="Redesign / standardise first",T33="Stretch - partner or later stage",X33="Strategic bet"),2,1))))</f>
        <v/>
      </c>
      <c r="AD33" s="37" t="str">
        <f>IF(Z33="","",AC33*100+Z33)</f>
        <v/>
      </c>
    </row>
    <row r="34" ht="40" customHeight="1">
      <c r="A34" s="14" t="n">
        <v>27</v>
      </c>
      <c r="B34" s="35" t="n"/>
      <c r="C34" s="35" t="n"/>
      <c r="D34" s="35" t="n"/>
      <c r="E34" s="35" t="n"/>
      <c r="F34" s="35" t="n"/>
      <c r="G34" s="35" t="n"/>
      <c r="H34" s="35" t="n"/>
      <c r="I34" s="35" t="n"/>
      <c r="J34" s="35" t="n"/>
      <c r="K34" s="35" t="n"/>
      <c r="L34" s="35" t="n"/>
      <c r="M34" s="35" t="n"/>
      <c r="N34" s="35" t="n"/>
      <c r="O34" s="36" t="str">
        <f>IF(OR(C34="",E34=""),"",INDEX(Lists!$B$2:$B$11,MATCH(E34,Lists!$A$2:$A$11,0)))</f>
        <v/>
      </c>
      <c r="P34" s="37" t="str">
        <f>IF(O34="","",INDEX(Lists!$C$2:$C$11,MATCH(O34,Lists!$B$2:$B$11,0)))</f>
        <v/>
      </c>
      <c r="Q34" s="37" t="str">
        <f>IF(O34="","",INDEX(Lists!$D$2:$D$11,MATCH(O34,Lists!$B$2:$B$11,0)))</f>
        <v/>
      </c>
      <c r="R34" s="37" t="str">
        <f>IF(OR(O34="",I34=""),"",IF(INDEX(Lists!$N$2:$N$5,MATCH(I34,Lists!$M$2:$M$5,0))&gt;=INDEX(Lists!$E$2:$E$11,MATCH(O34,Lists!$B$2:$B$11,0)),"Data ready","Data gap"))</f>
        <v/>
      </c>
      <c r="S34" s="36" t="str">
        <f>IF(O34="","",IF(P34&lt;=IF('1. AI Position'!$C$30="",5,INDEX(Lists!$AI$2:$AI$5,'1. AI Position'!$C$30)),"Within current position","Beyond current position"))</f>
        <v/>
      </c>
      <c r="T34" s="38" t="str">
        <f>IF(O34="","",IF(COUNTA(E34:N34)&lt;10,"Complete inputs",IF(H34="No - varies by person / team","Redesign / standardise first",IF(Q34="No","Automate - AI not needed",IF(R34="Data gap","AI later - close data gap first",IF(S34="Beyond current position","Stretch - partner or later stage","AI fit now"))))))</f>
        <v/>
      </c>
      <c r="U34" s="39" t="str">
        <f>IF(OR(T34="",T34="Complete inputs"),"",ROUND(0.3*INDEX(Lists!$N$8:$N$10,MATCH(F34,Lists!$M$8:$M$10,0))+0.25*IF(G34&lt;20,1,IF(G34&lt;80,2,IF(G34&lt;160,3,IF(G34&lt;480,4,5))))+0.25*J34+0.2*K34,2))</f>
        <v/>
      </c>
      <c r="V34" s="39" t="str">
        <f>IF(U34="","",ROUND(0.3*IF(R34="Data ready",5,IF(INDEX(Lists!$N$2:$N$5,MATCH(I34,Lists!$M$2:$M$5,0))=INDEX(Lists!$E$2:$E$11,MATCH(O34,Lists!$B$2:$B$11,0))-1,3,1))+0.25*INDEX(Lists!$N$13:$N$15,MATCH(H34,Lists!$M$13:$M$15,0))+0.25*(6-P34)+0.2*IF(S34="Within current position",5,2),2))</f>
        <v/>
      </c>
      <c r="W34" s="37" t="str">
        <f>IF(U34="","",IF(Q34="No",IF(L34="Yes","Medium","Low"),IF(IF(L34="Yes",2,0)+IF(M34="Yes",1,0)+INDEX(Lists!$N$18:$N$20,MATCH(N34,Lists!$M$18:$M$20,0))+IF(K34=5,2,IF(K34&gt;=4,1,0))&gt;=4,"High",IF(IF(L34="Yes",2,0)+IF(M34="Yes",1,0)+INDEX(Lists!$N$18:$N$20,MATCH(N34,Lists!$M$18:$M$20,0))+IF(K34=5,2,IF(K34&gt;=4,1,0))&gt;=2,"Medium","Low"))))</f>
        <v/>
      </c>
      <c r="X34" s="37" t="str">
        <f>IF(U34="","",IF(AND(U34&gt;=$D$4,V34&gt;=$D$4),"Quick win",IF(U34&gt;=$D$4,"Strategic bet",IF(V34&gt;=$D$4,"Fill-in","Deprioritise"))))</f>
        <v/>
      </c>
      <c r="Y34" s="39" t="str">
        <f>IF(U34="","",ROUND(U34*V34*IF(W34="High",0.85,1)*IF(T34="Redesign / standardise first",0.8,1),2))</f>
        <v/>
      </c>
      <c r="Z34" s="40" t="str">
        <f>IF(Y34="","",RANK(Y34,$Y$8:$Y$57)+COUNTIF($Y$7:Y33,Y34))</f>
        <v/>
      </c>
      <c r="AA34" s="36" t="str">
        <f>IF(AC34="","",INDEX(Lists!$AV$2:$AV$5,AC34))</f>
        <v/>
      </c>
      <c r="AB34" s="41" t="str">
        <f>IF(Y34="","",ROUND(G34*12*INDEX(Lists!$F$2:$F$11,MATCH(O34,Lists!$B$2:$B$11,0)),0))</f>
        <v/>
      </c>
      <c r="AC34" s="37" t="str">
        <f>IF(Y34="","",IF(X34="Deprioritise",4,IF(T34="AI later - close data gap first",3,IF(OR(T34="Redesign / standardise first",T34="Stretch - partner or later stage",X34="Strategic bet"),2,1))))</f>
        <v/>
      </c>
      <c r="AD34" s="37" t="str">
        <f>IF(Z34="","",AC34*100+Z34)</f>
        <v/>
      </c>
    </row>
    <row r="35" ht="40" customHeight="1">
      <c r="A35" s="14" t="n">
        <v>28</v>
      </c>
      <c r="B35" s="35" t="n"/>
      <c r="C35" s="35" t="n"/>
      <c r="D35" s="35" t="n"/>
      <c r="E35" s="35" t="n"/>
      <c r="F35" s="35" t="n"/>
      <c r="G35" s="35" t="n"/>
      <c r="H35" s="35" t="n"/>
      <c r="I35" s="35" t="n"/>
      <c r="J35" s="35" t="n"/>
      <c r="K35" s="35" t="n"/>
      <c r="L35" s="35" t="n"/>
      <c r="M35" s="35" t="n"/>
      <c r="N35" s="35" t="n"/>
      <c r="O35" s="36" t="str">
        <f>IF(OR(C35="",E35=""),"",INDEX(Lists!$B$2:$B$11,MATCH(E35,Lists!$A$2:$A$11,0)))</f>
        <v/>
      </c>
      <c r="P35" s="37" t="str">
        <f>IF(O35="","",INDEX(Lists!$C$2:$C$11,MATCH(O35,Lists!$B$2:$B$11,0)))</f>
        <v/>
      </c>
      <c r="Q35" s="37" t="str">
        <f>IF(O35="","",INDEX(Lists!$D$2:$D$11,MATCH(O35,Lists!$B$2:$B$11,0)))</f>
        <v/>
      </c>
      <c r="R35" s="37" t="str">
        <f>IF(OR(O35="",I35=""),"",IF(INDEX(Lists!$N$2:$N$5,MATCH(I35,Lists!$M$2:$M$5,0))&gt;=INDEX(Lists!$E$2:$E$11,MATCH(O35,Lists!$B$2:$B$11,0)),"Data ready","Data gap"))</f>
        <v/>
      </c>
      <c r="S35" s="36" t="str">
        <f>IF(O35="","",IF(P35&lt;=IF('1. AI Position'!$C$30="",5,INDEX(Lists!$AI$2:$AI$5,'1. AI Position'!$C$30)),"Within current position","Beyond current position"))</f>
        <v/>
      </c>
      <c r="T35" s="38" t="str">
        <f>IF(O35="","",IF(COUNTA(E35:N35)&lt;10,"Complete inputs",IF(H35="No - varies by person / team","Redesign / standardise first",IF(Q35="No","Automate - AI not needed",IF(R35="Data gap","AI later - close data gap first",IF(S35="Beyond current position","Stretch - partner or later stage","AI fit now"))))))</f>
        <v/>
      </c>
      <c r="U35" s="39" t="str">
        <f>IF(OR(T35="",T35="Complete inputs"),"",ROUND(0.3*INDEX(Lists!$N$8:$N$10,MATCH(F35,Lists!$M$8:$M$10,0))+0.25*IF(G35&lt;20,1,IF(G35&lt;80,2,IF(G35&lt;160,3,IF(G35&lt;480,4,5))))+0.25*J35+0.2*K35,2))</f>
        <v/>
      </c>
      <c r="V35" s="39" t="str">
        <f>IF(U35="","",ROUND(0.3*IF(R35="Data ready",5,IF(INDEX(Lists!$N$2:$N$5,MATCH(I35,Lists!$M$2:$M$5,0))=INDEX(Lists!$E$2:$E$11,MATCH(O35,Lists!$B$2:$B$11,0))-1,3,1))+0.25*INDEX(Lists!$N$13:$N$15,MATCH(H35,Lists!$M$13:$M$15,0))+0.25*(6-P35)+0.2*IF(S35="Within current position",5,2),2))</f>
        <v/>
      </c>
      <c r="W35" s="37" t="str">
        <f>IF(U35="","",IF(Q35="No",IF(L35="Yes","Medium","Low"),IF(IF(L35="Yes",2,0)+IF(M35="Yes",1,0)+INDEX(Lists!$N$18:$N$20,MATCH(N35,Lists!$M$18:$M$20,0))+IF(K35=5,2,IF(K35&gt;=4,1,0))&gt;=4,"High",IF(IF(L35="Yes",2,0)+IF(M35="Yes",1,0)+INDEX(Lists!$N$18:$N$20,MATCH(N35,Lists!$M$18:$M$20,0))+IF(K35=5,2,IF(K35&gt;=4,1,0))&gt;=2,"Medium","Low"))))</f>
        <v/>
      </c>
      <c r="X35" s="37" t="str">
        <f>IF(U35="","",IF(AND(U35&gt;=$D$4,V35&gt;=$D$4),"Quick win",IF(U35&gt;=$D$4,"Strategic bet",IF(V35&gt;=$D$4,"Fill-in","Deprioritise"))))</f>
        <v/>
      </c>
      <c r="Y35" s="39" t="str">
        <f>IF(U35="","",ROUND(U35*V35*IF(W35="High",0.85,1)*IF(T35="Redesign / standardise first",0.8,1),2))</f>
        <v/>
      </c>
      <c r="Z35" s="40" t="str">
        <f>IF(Y35="","",RANK(Y35,$Y$8:$Y$57)+COUNTIF($Y$7:Y34,Y35))</f>
        <v/>
      </c>
      <c r="AA35" s="36" t="str">
        <f>IF(AC35="","",INDEX(Lists!$AV$2:$AV$5,AC35))</f>
        <v/>
      </c>
      <c r="AB35" s="41" t="str">
        <f>IF(Y35="","",ROUND(G35*12*INDEX(Lists!$F$2:$F$11,MATCH(O35,Lists!$B$2:$B$11,0)),0))</f>
        <v/>
      </c>
      <c r="AC35" s="37" t="str">
        <f>IF(Y35="","",IF(X35="Deprioritise",4,IF(T35="AI later - close data gap first",3,IF(OR(T35="Redesign / standardise first",T35="Stretch - partner or later stage",X35="Strategic bet"),2,1))))</f>
        <v/>
      </c>
      <c r="AD35" s="37" t="str">
        <f>IF(Z35="","",AC35*100+Z35)</f>
        <v/>
      </c>
    </row>
    <row r="36" ht="40" customHeight="1">
      <c r="A36" s="14" t="n">
        <v>29</v>
      </c>
      <c r="B36" s="35" t="n"/>
      <c r="C36" s="35" t="n"/>
      <c r="D36" s="35" t="n"/>
      <c r="E36" s="35" t="n"/>
      <c r="F36" s="35" t="n"/>
      <c r="G36" s="35" t="n"/>
      <c r="H36" s="35" t="n"/>
      <c r="I36" s="35" t="n"/>
      <c r="J36" s="35" t="n"/>
      <c r="K36" s="35" t="n"/>
      <c r="L36" s="35" t="n"/>
      <c r="M36" s="35" t="n"/>
      <c r="N36" s="35" t="n"/>
      <c r="O36" s="36" t="str">
        <f>IF(OR(C36="",E36=""),"",INDEX(Lists!$B$2:$B$11,MATCH(E36,Lists!$A$2:$A$11,0)))</f>
        <v/>
      </c>
      <c r="P36" s="37" t="str">
        <f>IF(O36="","",INDEX(Lists!$C$2:$C$11,MATCH(O36,Lists!$B$2:$B$11,0)))</f>
        <v/>
      </c>
      <c r="Q36" s="37" t="str">
        <f>IF(O36="","",INDEX(Lists!$D$2:$D$11,MATCH(O36,Lists!$B$2:$B$11,0)))</f>
        <v/>
      </c>
      <c r="R36" s="37" t="str">
        <f>IF(OR(O36="",I36=""),"",IF(INDEX(Lists!$N$2:$N$5,MATCH(I36,Lists!$M$2:$M$5,0))&gt;=INDEX(Lists!$E$2:$E$11,MATCH(O36,Lists!$B$2:$B$11,0)),"Data ready","Data gap"))</f>
        <v/>
      </c>
      <c r="S36" s="36" t="str">
        <f>IF(O36="","",IF(P36&lt;=IF('1. AI Position'!$C$30="",5,INDEX(Lists!$AI$2:$AI$5,'1. AI Position'!$C$30)),"Within current position","Beyond current position"))</f>
        <v/>
      </c>
      <c r="T36" s="38" t="str">
        <f>IF(O36="","",IF(COUNTA(E36:N36)&lt;10,"Complete inputs",IF(H36="No - varies by person / team","Redesign / standardise first",IF(Q36="No","Automate - AI not needed",IF(R36="Data gap","AI later - close data gap first",IF(S36="Beyond current position","Stretch - partner or later stage","AI fit now"))))))</f>
        <v/>
      </c>
      <c r="U36" s="39" t="str">
        <f>IF(OR(T36="",T36="Complete inputs"),"",ROUND(0.3*INDEX(Lists!$N$8:$N$10,MATCH(F36,Lists!$M$8:$M$10,0))+0.25*IF(G36&lt;20,1,IF(G36&lt;80,2,IF(G36&lt;160,3,IF(G36&lt;480,4,5))))+0.25*J36+0.2*K36,2))</f>
        <v/>
      </c>
      <c r="V36" s="39" t="str">
        <f>IF(U36="","",ROUND(0.3*IF(R36="Data ready",5,IF(INDEX(Lists!$N$2:$N$5,MATCH(I36,Lists!$M$2:$M$5,0))=INDEX(Lists!$E$2:$E$11,MATCH(O36,Lists!$B$2:$B$11,0))-1,3,1))+0.25*INDEX(Lists!$N$13:$N$15,MATCH(H36,Lists!$M$13:$M$15,0))+0.25*(6-P36)+0.2*IF(S36="Within current position",5,2),2))</f>
        <v/>
      </c>
      <c r="W36" s="37" t="str">
        <f>IF(U36="","",IF(Q36="No",IF(L36="Yes","Medium","Low"),IF(IF(L36="Yes",2,0)+IF(M36="Yes",1,0)+INDEX(Lists!$N$18:$N$20,MATCH(N36,Lists!$M$18:$M$20,0))+IF(K36=5,2,IF(K36&gt;=4,1,0))&gt;=4,"High",IF(IF(L36="Yes",2,0)+IF(M36="Yes",1,0)+INDEX(Lists!$N$18:$N$20,MATCH(N36,Lists!$M$18:$M$20,0))+IF(K36=5,2,IF(K36&gt;=4,1,0))&gt;=2,"Medium","Low"))))</f>
        <v/>
      </c>
      <c r="X36" s="37" t="str">
        <f>IF(U36="","",IF(AND(U36&gt;=$D$4,V36&gt;=$D$4),"Quick win",IF(U36&gt;=$D$4,"Strategic bet",IF(V36&gt;=$D$4,"Fill-in","Deprioritise"))))</f>
        <v/>
      </c>
      <c r="Y36" s="39" t="str">
        <f>IF(U36="","",ROUND(U36*V36*IF(W36="High",0.85,1)*IF(T36="Redesign / standardise first",0.8,1),2))</f>
        <v/>
      </c>
      <c r="Z36" s="40" t="str">
        <f>IF(Y36="","",RANK(Y36,$Y$8:$Y$57)+COUNTIF($Y$7:Y35,Y36))</f>
        <v/>
      </c>
      <c r="AA36" s="36" t="str">
        <f>IF(AC36="","",INDEX(Lists!$AV$2:$AV$5,AC36))</f>
        <v/>
      </c>
      <c r="AB36" s="41" t="str">
        <f>IF(Y36="","",ROUND(G36*12*INDEX(Lists!$F$2:$F$11,MATCH(O36,Lists!$B$2:$B$11,0)),0))</f>
        <v/>
      </c>
      <c r="AC36" s="37" t="str">
        <f>IF(Y36="","",IF(X36="Deprioritise",4,IF(T36="AI later - close data gap first",3,IF(OR(T36="Redesign / standardise first",T36="Stretch - partner or later stage",X36="Strategic bet"),2,1))))</f>
        <v/>
      </c>
      <c r="AD36" s="37" t="str">
        <f>IF(Z36="","",AC36*100+Z36)</f>
        <v/>
      </c>
    </row>
    <row r="37" ht="40" customHeight="1">
      <c r="A37" s="14" t="n">
        <v>30</v>
      </c>
      <c r="B37" s="35" t="n"/>
      <c r="C37" s="35" t="n"/>
      <c r="D37" s="35" t="n"/>
      <c r="E37" s="35" t="n"/>
      <c r="F37" s="35" t="n"/>
      <c r="G37" s="35" t="n"/>
      <c r="H37" s="35" t="n"/>
      <c r="I37" s="35" t="n"/>
      <c r="J37" s="35" t="n"/>
      <c r="K37" s="35" t="n"/>
      <c r="L37" s="35" t="n"/>
      <c r="M37" s="35" t="n"/>
      <c r="N37" s="35" t="n"/>
      <c r="O37" s="36" t="str">
        <f>IF(OR(C37="",E37=""),"",INDEX(Lists!$B$2:$B$11,MATCH(E37,Lists!$A$2:$A$11,0)))</f>
        <v/>
      </c>
      <c r="P37" s="37" t="str">
        <f>IF(O37="","",INDEX(Lists!$C$2:$C$11,MATCH(O37,Lists!$B$2:$B$11,0)))</f>
        <v/>
      </c>
      <c r="Q37" s="37" t="str">
        <f>IF(O37="","",INDEX(Lists!$D$2:$D$11,MATCH(O37,Lists!$B$2:$B$11,0)))</f>
        <v/>
      </c>
      <c r="R37" s="37" t="str">
        <f>IF(OR(O37="",I37=""),"",IF(INDEX(Lists!$N$2:$N$5,MATCH(I37,Lists!$M$2:$M$5,0))&gt;=INDEX(Lists!$E$2:$E$11,MATCH(O37,Lists!$B$2:$B$11,0)),"Data ready","Data gap"))</f>
        <v/>
      </c>
      <c r="S37" s="36" t="str">
        <f>IF(O37="","",IF(P37&lt;=IF('1. AI Position'!$C$30="",5,INDEX(Lists!$AI$2:$AI$5,'1. AI Position'!$C$30)),"Within current position","Beyond current position"))</f>
        <v/>
      </c>
      <c r="T37" s="38" t="str">
        <f>IF(O37="","",IF(COUNTA(E37:N37)&lt;10,"Complete inputs",IF(H37="No - varies by person / team","Redesign / standardise first",IF(Q37="No","Automate - AI not needed",IF(R37="Data gap","AI later - close data gap first",IF(S37="Beyond current position","Stretch - partner or later stage","AI fit now"))))))</f>
        <v/>
      </c>
      <c r="U37" s="39" t="str">
        <f>IF(OR(T37="",T37="Complete inputs"),"",ROUND(0.3*INDEX(Lists!$N$8:$N$10,MATCH(F37,Lists!$M$8:$M$10,0))+0.25*IF(G37&lt;20,1,IF(G37&lt;80,2,IF(G37&lt;160,3,IF(G37&lt;480,4,5))))+0.25*J37+0.2*K37,2))</f>
        <v/>
      </c>
      <c r="V37" s="39" t="str">
        <f>IF(U37="","",ROUND(0.3*IF(R37="Data ready",5,IF(INDEX(Lists!$N$2:$N$5,MATCH(I37,Lists!$M$2:$M$5,0))=INDEX(Lists!$E$2:$E$11,MATCH(O37,Lists!$B$2:$B$11,0))-1,3,1))+0.25*INDEX(Lists!$N$13:$N$15,MATCH(H37,Lists!$M$13:$M$15,0))+0.25*(6-P37)+0.2*IF(S37="Within current position",5,2),2))</f>
        <v/>
      </c>
      <c r="W37" s="37" t="str">
        <f>IF(U37="","",IF(Q37="No",IF(L37="Yes","Medium","Low"),IF(IF(L37="Yes",2,0)+IF(M37="Yes",1,0)+INDEX(Lists!$N$18:$N$20,MATCH(N37,Lists!$M$18:$M$20,0))+IF(K37=5,2,IF(K37&gt;=4,1,0))&gt;=4,"High",IF(IF(L37="Yes",2,0)+IF(M37="Yes",1,0)+INDEX(Lists!$N$18:$N$20,MATCH(N37,Lists!$M$18:$M$20,0))+IF(K37=5,2,IF(K37&gt;=4,1,0))&gt;=2,"Medium","Low"))))</f>
        <v/>
      </c>
      <c r="X37" s="37" t="str">
        <f>IF(U37="","",IF(AND(U37&gt;=$D$4,V37&gt;=$D$4),"Quick win",IF(U37&gt;=$D$4,"Strategic bet",IF(V37&gt;=$D$4,"Fill-in","Deprioritise"))))</f>
        <v/>
      </c>
      <c r="Y37" s="39" t="str">
        <f>IF(U37="","",ROUND(U37*V37*IF(W37="High",0.85,1)*IF(T37="Redesign / standardise first",0.8,1),2))</f>
        <v/>
      </c>
      <c r="Z37" s="40" t="str">
        <f>IF(Y37="","",RANK(Y37,$Y$8:$Y$57)+COUNTIF($Y$7:Y36,Y37))</f>
        <v/>
      </c>
      <c r="AA37" s="36" t="str">
        <f>IF(AC37="","",INDEX(Lists!$AV$2:$AV$5,AC37))</f>
        <v/>
      </c>
      <c r="AB37" s="41" t="str">
        <f>IF(Y37="","",ROUND(G37*12*INDEX(Lists!$F$2:$F$11,MATCH(O37,Lists!$B$2:$B$11,0)),0))</f>
        <v/>
      </c>
      <c r="AC37" s="37" t="str">
        <f>IF(Y37="","",IF(X37="Deprioritise",4,IF(T37="AI later - close data gap first",3,IF(OR(T37="Redesign / standardise first",T37="Stretch - partner or later stage",X37="Strategic bet"),2,1))))</f>
        <v/>
      </c>
      <c r="AD37" s="37" t="str">
        <f>IF(Z37="","",AC37*100+Z37)</f>
        <v/>
      </c>
    </row>
    <row r="38" ht="40" customHeight="1">
      <c r="A38" s="14" t="n">
        <v>31</v>
      </c>
      <c r="B38" s="35" t="n"/>
      <c r="C38" s="35" t="n"/>
      <c r="D38" s="35" t="n"/>
      <c r="E38" s="35" t="n"/>
      <c r="F38" s="35" t="n"/>
      <c r="G38" s="35" t="n"/>
      <c r="H38" s="35" t="n"/>
      <c r="I38" s="35" t="n"/>
      <c r="J38" s="35" t="n"/>
      <c r="K38" s="35" t="n"/>
      <c r="L38" s="35" t="n"/>
      <c r="M38" s="35" t="n"/>
      <c r="N38" s="35" t="n"/>
      <c r="O38" s="36" t="str">
        <f>IF(OR(C38="",E38=""),"",INDEX(Lists!$B$2:$B$11,MATCH(E38,Lists!$A$2:$A$11,0)))</f>
        <v/>
      </c>
      <c r="P38" s="37" t="str">
        <f>IF(O38="","",INDEX(Lists!$C$2:$C$11,MATCH(O38,Lists!$B$2:$B$11,0)))</f>
        <v/>
      </c>
      <c r="Q38" s="37" t="str">
        <f>IF(O38="","",INDEX(Lists!$D$2:$D$11,MATCH(O38,Lists!$B$2:$B$11,0)))</f>
        <v/>
      </c>
      <c r="R38" s="37" t="str">
        <f>IF(OR(O38="",I38=""),"",IF(INDEX(Lists!$N$2:$N$5,MATCH(I38,Lists!$M$2:$M$5,0))&gt;=INDEX(Lists!$E$2:$E$11,MATCH(O38,Lists!$B$2:$B$11,0)),"Data ready","Data gap"))</f>
        <v/>
      </c>
      <c r="S38" s="36" t="str">
        <f>IF(O38="","",IF(P38&lt;=IF('1. AI Position'!$C$30="",5,INDEX(Lists!$AI$2:$AI$5,'1. AI Position'!$C$30)),"Within current position","Beyond current position"))</f>
        <v/>
      </c>
      <c r="T38" s="38" t="str">
        <f>IF(O38="","",IF(COUNTA(E38:N38)&lt;10,"Complete inputs",IF(H38="No - varies by person / team","Redesign / standardise first",IF(Q38="No","Automate - AI not needed",IF(R38="Data gap","AI later - close data gap first",IF(S38="Beyond current position","Stretch - partner or later stage","AI fit now"))))))</f>
        <v/>
      </c>
      <c r="U38" s="39" t="str">
        <f>IF(OR(T38="",T38="Complete inputs"),"",ROUND(0.3*INDEX(Lists!$N$8:$N$10,MATCH(F38,Lists!$M$8:$M$10,0))+0.25*IF(G38&lt;20,1,IF(G38&lt;80,2,IF(G38&lt;160,3,IF(G38&lt;480,4,5))))+0.25*J38+0.2*K38,2))</f>
        <v/>
      </c>
      <c r="V38" s="39" t="str">
        <f>IF(U38="","",ROUND(0.3*IF(R38="Data ready",5,IF(INDEX(Lists!$N$2:$N$5,MATCH(I38,Lists!$M$2:$M$5,0))=INDEX(Lists!$E$2:$E$11,MATCH(O38,Lists!$B$2:$B$11,0))-1,3,1))+0.25*INDEX(Lists!$N$13:$N$15,MATCH(H38,Lists!$M$13:$M$15,0))+0.25*(6-P38)+0.2*IF(S38="Within current position",5,2),2))</f>
        <v/>
      </c>
      <c r="W38" s="37" t="str">
        <f>IF(U38="","",IF(Q38="No",IF(L38="Yes","Medium","Low"),IF(IF(L38="Yes",2,0)+IF(M38="Yes",1,0)+INDEX(Lists!$N$18:$N$20,MATCH(N38,Lists!$M$18:$M$20,0))+IF(K38=5,2,IF(K38&gt;=4,1,0))&gt;=4,"High",IF(IF(L38="Yes",2,0)+IF(M38="Yes",1,0)+INDEX(Lists!$N$18:$N$20,MATCH(N38,Lists!$M$18:$M$20,0))+IF(K38=5,2,IF(K38&gt;=4,1,0))&gt;=2,"Medium","Low"))))</f>
        <v/>
      </c>
      <c r="X38" s="37" t="str">
        <f>IF(U38="","",IF(AND(U38&gt;=$D$4,V38&gt;=$D$4),"Quick win",IF(U38&gt;=$D$4,"Strategic bet",IF(V38&gt;=$D$4,"Fill-in","Deprioritise"))))</f>
        <v/>
      </c>
      <c r="Y38" s="39" t="str">
        <f>IF(U38="","",ROUND(U38*V38*IF(W38="High",0.85,1)*IF(T38="Redesign / standardise first",0.8,1),2))</f>
        <v/>
      </c>
      <c r="Z38" s="40" t="str">
        <f>IF(Y38="","",RANK(Y38,$Y$8:$Y$57)+COUNTIF($Y$7:Y37,Y38))</f>
        <v/>
      </c>
      <c r="AA38" s="36" t="str">
        <f>IF(AC38="","",INDEX(Lists!$AV$2:$AV$5,AC38))</f>
        <v/>
      </c>
      <c r="AB38" s="41" t="str">
        <f>IF(Y38="","",ROUND(G38*12*INDEX(Lists!$F$2:$F$11,MATCH(O38,Lists!$B$2:$B$11,0)),0))</f>
        <v/>
      </c>
      <c r="AC38" s="37" t="str">
        <f>IF(Y38="","",IF(X38="Deprioritise",4,IF(T38="AI later - close data gap first",3,IF(OR(T38="Redesign / standardise first",T38="Stretch - partner or later stage",X38="Strategic bet"),2,1))))</f>
        <v/>
      </c>
      <c r="AD38" s="37" t="str">
        <f>IF(Z38="","",AC38*100+Z38)</f>
        <v/>
      </c>
    </row>
    <row r="39" ht="40" customHeight="1">
      <c r="A39" s="14" t="n">
        <v>32</v>
      </c>
      <c r="B39" s="35" t="n"/>
      <c r="C39" s="35" t="n"/>
      <c r="D39" s="35" t="n"/>
      <c r="E39" s="35" t="n"/>
      <c r="F39" s="35" t="n"/>
      <c r="G39" s="35" t="n"/>
      <c r="H39" s="35" t="n"/>
      <c r="I39" s="35" t="n"/>
      <c r="J39" s="35" t="n"/>
      <c r="K39" s="35" t="n"/>
      <c r="L39" s="35" t="n"/>
      <c r="M39" s="35" t="n"/>
      <c r="N39" s="35" t="n"/>
      <c r="O39" s="36" t="str">
        <f>IF(OR(C39="",E39=""),"",INDEX(Lists!$B$2:$B$11,MATCH(E39,Lists!$A$2:$A$11,0)))</f>
        <v/>
      </c>
      <c r="P39" s="37" t="str">
        <f>IF(O39="","",INDEX(Lists!$C$2:$C$11,MATCH(O39,Lists!$B$2:$B$11,0)))</f>
        <v/>
      </c>
      <c r="Q39" s="37" t="str">
        <f>IF(O39="","",INDEX(Lists!$D$2:$D$11,MATCH(O39,Lists!$B$2:$B$11,0)))</f>
        <v/>
      </c>
      <c r="R39" s="37" t="str">
        <f>IF(OR(O39="",I39=""),"",IF(INDEX(Lists!$N$2:$N$5,MATCH(I39,Lists!$M$2:$M$5,0))&gt;=INDEX(Lists!$E$2:$E$11,MATCH(O39,Lists!$B$2:$B$11,0)),"Data ready","Data gap"))</f>
        <v/>
      </c>
      <c r="S39" s="36" t="str">
        <f>IF(O39="","",IF(P39&lt;=IF('1. AI Position'!$C$30="",5,INDEX(Lists!$AI$2:$AI$5,'1. AI Position'!$C$30)),"Within current position","Beyond current position"))</f>
        <v/>
      </c>
      <c r="T39" s="38" t="str">
        <f>IF(O39="","",IF(COUNTA(E39:N39)&lt;10,"Complete inputs",IF(H39="No - varies by person / team","Redesign / standardise first",IF(Q39="No","Automate - AI not needed",IF(R39="Data gap","AI later - close data gap first",IF(S39="Beyond current position","Stretch - partner or later stage","AI fit now"))))))</f>
        <v/>
      </c>
      <c r="U39" s="39" t="str">
        <f>IF(OR(T39="",T39="Complete inputs"),"",ROUND(0.3*INDEX(Lists!$N$8:$N$10,MATCH(F39,Lists!$M$8:$M$10,0))+0.25*IF(G39&lt;20,1,IF(G39&lt;80,2,IF(G39&lt;160,3,IF(G39&lt;480,4,5))))+0.25*J39+0.2*K39,2))</f>
        <v/>
      </c>
      <c r="V39" s="39" t="str">
        <f>IF(U39="","",ROUND(0.3*IF(R39="Data ready",5,IF(INDEX(Lists!$N$2:$N$5,MATCH(I39,Lists!$M$2:$M$5,0))=INDEX(Lists!$E$2:$E$11,MATCH(O39,Lists!$B$2:$B$11,0))-1,3,1))+0.25*INDEX(Lists!$N$13:$N$15,MATCH(H39,Lists!$M$13:$M$15,0))+0.25*(6-P39)+0.2*IF(S39="Within current position",5,2),2))</f>
        <v/>
      </c>
      <c r="W39" s="37" t="str">
        <f>IF(U39="","",IF(Q39="No",IF(L39="Yes","Medium","Low"),IF(IF(L39="Yes",2,0)+IF(M39="Yes",1,0)+INDEX(Lists!$N$18:$N$20,MATCH(N39,Lists!$M$18:$M$20,0))+IF(K39=5,2,IF(K39&gt;=4,1,0))&gt;=4,"High",IF(IF(L39="Yes",2,0)+IF(M39="Yes",1,0)+INDEX(Lists!$N$18:$N$20,MATCH(N39,Lists!$M$18:$M$20,0))+IF(K39=5,2,IF(K39&gt;=4,1,0))&gt;=2,"Medium","Low"))))</f>
        <v/>
      </c>
      <c r="X39" s="37" t="str">
        <f>IF(U39="","",IF(AND(U39&gt;=$D$4,V39&gt;=$D$4),"Quick win",IF(U39&gt;=$D$4,"Strategic bet",IF(V39&gt;=$D$4,"Fill-in","Deprioritise"))))</f>
        <v/>
      </c>
      <c r="Y39" s="39" t="str">
        <f>IF(U39="","",ROUND(U39*V39*IF(W39="High",0.85,1)*IF(T39="Redesign / standardise first",0.8,1),2))</f>
        <v/>
      </c>
      <c r="Z39" s="40" t="str">
        <f>IF(Y39="","",RANK(Y39,$Y$8:$Y$57)+COUNTIF($Y$7:Y38,Y39))</f>
        <v/>
      </c>
      <c r="AA39" s="36" t="str">
        <f>IF(AC39="","",INDEX(Lists!$AV$2:$AV$5,AC39))</f>
        <v/>
      </c>
      <c r="AB39" s="41" t="str">
        <f>IF(Y39="","",ROUND(G39*12*INDEX(Lists!$F$2:$F$11,MATCH(O39,Lists!$B$2:$B$11,0)),0))</f>
        <v/>
      </c>
      <c r="AC39" s="37" t="str">
        <f>IF(Y39="","",IF(X39="Deprioritise",4,IF(T39="AI later - close data gap first",3,IF(OR(T39="Redesign / standardise first",T39="Stretch - partner or later stage",X39="Strategic bet"),2,1))))</f>
        <v/>
      </c>
      <c r="AD39" s="37" t="str">
        <f>IF(Z39="","",AC39*100+Z39)</f>
        <v/>
      </c>
    </row>
    <row r="40" ht="40" customHeight="1">
      <c r="A40" s="14" t="n">
        <v>33</v>
      </c>
      <c r="B40" s="35" t="n"/>
      <c r="C40" s="35" t="n"/>
      <c r="D40" s="35" t="n"/>
      <c r="E40" s="35" t="n"/>
      <c r="F40" s="35" t="n"/>
      <c r="G40" s="35" t="n"/>
      <c r="H40" s="35" t="n"/>
      <c r="I40" s="35" t="n"/>
      <c r="J40" s="35" t="n"/>
      <c r="K40" s="35" t="n"/>
      <c r="L40" s="35" t="n"/>
      <c r="M40" s="35" t="n"/>
      <c r="N40" s="35" t="n"/>
      <c r="O40" s="36" t="str">
        <f>IF(OR(C40="",E40=""),"",INDEX(Lists!$B$2:$B$11,MATCH(E40,Lists!$A$2:$A$11,0)))</f>
        <v/>
      </c>
      <c r="P40" s="37" t="str">
        <f>IF(O40="","",INDEX(Lists!$C$2:$C$11,MATCH(O40,Lists!$B$2:$B$11,0)))</f>
        <v/>
      </c>
      <c r="Q40" s="37" t="str">
        <f>IF(O40="","",INDEX(Lists!$D$2:$D$11,MATCH(O40,Lists!$B$2:$B$11,0)))</f>
        <v/>
      </c>
      <c r="R40" s="37" t="str">
        <f>IF(OR(O40="",I40=""),"",IF(INDEX(Lists!$N$2:$N$5,MATCH(I40,Lists!$M$2:$M$5,0))&gt;=INDEX(Lists!$E$2:$E$11,MATCH(O40,Lists!$B$2:$B$11,0)),"Data ready","Data gap"))</f>
        <v/>
      </c>
      <c r="S40" s="36" t="str">
        <f>IF(O40="","",IF(P40&lt;=IF('1. AI Position'!$C$30="",5,INDEX(Lists!$AI$2:$AI$5,'1. AI Position'!$C$30)),"Within current position","Beyond current position"))</f>
        <v/>
      </c>
      <c r="T40" s="38" t="str">
        <f>IF(O40="","",IF(COUNTA(E40:N40)&lt;10,"Complete inputs",IF(H40="No - varies by person / team","Redesign / standardise first",IF(Q40="No","Automate - AI not needed",IF(R40="Data gap","AI later - close data gap first",IF(S40="Beyond current position","Stretch - partner or later stage","AI fit now"))))))</f>
        <v/>
      </c>
      <c r="U40" s="39" t="str">
        <f>IF(OR(T40="",T40="Complete inputs"),"",ROUND(0.3*INDEX(Lists!$N$8:$N$10,MATCH(F40,Lists!$M$8:$M$10,0))+0.25*IF(G40&lt;20,1,IF(G40&lt;80,2,IF(G40&lt;160,3,IF(G40&lt;480,4,5))))+0.25*J40+0.2*K40,2))</f>
        <v/>
      </c>
      <c r="V40" s="39" t="str">
        <f>IF(U40="","",ROUND(0.3*IF(R40="Data ready",5,IF(INDEX(Lists!$N$2:$N$5,MATCH(I40,Lists!$M$2:$M$5,0))=INDEX(Lists!$E$2:$E$11,MATCH(O40,Lists!$B$2:$B$11,0))-1,3,1))+0.25*INDEX(Lists!$N$13:$N$15,MATCH(H40,Lists!$M$13:$M$15,0))+0.25*(6-P40)+0.2*IF(S40="Within current position",5,2),2))</f>
        <v/>
      </c>
      <c r="W40" s="37" t="str">
        <f>IF(U40="","",IF(Q40="No",IF(L40="Yes","Medium","Low"),IF(IF(L40="Yes",2,0)+IF(M40="Yes",1,0)+INDEX(Lists!$N$18:$N$20,MATCH(N40,Lists!$M$18:$M$20,0))+IF(K40=5,2,IF(K40&gt;=4,1,0))&gt;=4,"High",IF(IF(L40="Yes",2,0)+IF(M40="Yes",1,0)+INDEX(Lists!$N$18:$N$20,MATCH(N40,Lists!$M$18:$M$20,0))+IF(K40=5,2,IF(K40&gt;=4,1,0))&gt;=2,"Medium","Low"))))</f>
        <v/>
      </c>
      <c r="X40" s="37" t="str">
        <f>IF(U40="","",IF(AND(U40&gt;=$D$4,V40&gt;=$D$4),"Quick win",IF(U40&gt;=$D$4,"Strategic bet",IF(V40&gt;=$D$4,"Fill-in","Deprioritise"))))</f>
        <v/>
      </c>
      <c r="Y40" s="39" t="str">
        <f>IF(U40="","",ROUND(U40*V40*IF(W40="High",0.85,1)*IF(T40="Redesign / standardise first",0.8,1),2))</f>
        <v/>
      </c>
      <c r="Z40" s="40" t="str">
        <f>IF(Y40="","",RANK(Y40,$Y$8:$Y$57)+COUNTIF($Y$7:Y39,Y40))</f>
        <v/>
      </c>
      <c r="AA40" s="36" t="str">
        <f>IF(AC40="","",INDEX(Lists!$AV$2:$AV$5,AC40))</f>
        <v/>
      </c>
      <c r="AB40" s="41" t="str">
        <f>IF(Y40="","",ROUND(G40*12*INDEX(Lists!$F$2:$F$11,MATCH(O40,Lists!$B$2:$B$11,0)),0))</f>
        <v/>
      </c>
      <c r="AC40" s="37" t="str">
        <f>IF(Y40="","",IF(X40="Deprioritise",4,IF(T40="AI later - close data gap first",3,IF(OR(T40="Redesign / standardise first",T40="Stretch - partner or later stage",X40="Strategic bet"),2,1))))</f>
        <v/>
      </c>
      <c r="AD40" s="37" t="str">
        <f>IF(Z40="","",AC40*100+Z40)</f>
        <v/>
      </c>
    </row>
    <row r="41" ht="40" customHeight="1">
      <c r="A41" s="14" t="n">
        <v>34</v>
      </c>
      <c r="B41" s="35" t="n"/>
      <c r="C41" s="35" t="n"/>
      <c r="D41" s="35" t="n"/>
      <c r="E41" s="35" t="n"/>
      <c r="F41" s="35" t="n"/>
      <c r="G41" s="35" t="n"/>
      <c r="H41" s="35" t="n"/>
      <c r="I41" s="35" t="n"/>
      <c r="J41" s="35" t="n"/>
      <c r="K41" s="35" t="n"/>
      <c r="L41" s="35" t="n"/>
      <c r="M41" s="35" t="n"/>
      <c r="N41" s="35" t="n"/>
      <c r="O41" s="36" t="str">
        <f>IF(OR(C41="",E41=""),"",INDEX(Lists!$B$2:$B$11,MATCH(E41,Lists!$A$2:$A$11,0)))</f>
        <v/>
      </c>
      <c r="P41" s="37" t="str">
        <f>IF(O41="","",INDEX(Lists!$C$2:$C$11,MATCH(O41,Lists!$B$2:$B$11,0)))</f>
        <v/>
      </c>
      <c r="Q41" s="37" t="str">
        <f>IF(O41="","",INDEX(Lists!$D$2:$D$11,MATCH(O41,Lists!$B$2:$B$11,0)))</f>
        <v/>
      </c>
      <c r="R41" s="37" t="str">
        <f>IF(OR(O41="",I41=""),"",IF(INDEX(Lists!$N$2:$N$5,MATCH(I41,Lists!$M$2:$M$5,0))&gt;=INDEX(Lists!$E$2:$E$11,MATCH(O41,Lists!$B$2:$B$11,0)),"Data ready","Data gap"))</f>
        <v/>
      </c>
      <c r="S41" s="36" t="str">
        <f>IF(O41="","",IF(P41&lt;=IF('1. AI Position'!$C$30="",5,INDEX(Lists!$AI$2:$AI$5,'1. AI Position'!$C$30)),"Within current position","Beyond current position"))</f>
        <v/>
      </c>
      <c r="T41" s="38" t="str">
        <f>IF(O41="","",IF(COUNTA(E41:N41)&lt;10,"Complete inputs",IF(H41="No - varies by person / team","Redesign / standardise first",IF(Q41="No","Automate - AI not needed",IF(R41="Data gap","AI later - close data gap first",IF(S41="Beyond current position","Stretch - partner or later stage","AI fit now"))))))</f>
        <v/>
      </c>
      <c r="U41" s="39" t="str">
        <f>IF(OR(T41="",T41="Complete inputs"),"",ROUND(0.3*INDEX(Lists!$N$8:$N$10,MATCH(F41,Lists!$M$8:$M$10,0))+0.25*IF(G41&lt;20,1,IF(G41&lt;80,2,IF(G41&lt;160,3,IF(G41&lt;480,4,5))))+0.25*J41+0.2*K41,2))</f>
        <v/>
      </c>
      <c r="V41" s="39" t="str">
        <f>IF(U41="","",ROUND(0.3*IF(R41="Data ready",5,IF(INDEX(Lists!$N$2:$N$5,MATCH(I41,Lists!$M$2:$M$5,0))=INDEX(Lists!$E$2:$E$11,MATCH(O41,Lists!$B$2:$B$11,0))-1,3,1))+0.25*INDEX(Lists!$N$13:$N$15,MATCH(H41,Lists!$M$13:$M$15,0))+0.25*(6-P41)+0.2*IF(S41="Within current position",5,2),2))</f>
        <v/>
      </c>
      <c r="W41" s="37" t="str">
        <f>IF(U41="","",IF(Q41="No",IF(L41="Yes","Medium","Low"),IF(IF(L41="Yes",2,0)+IF(M41="Yes",1,0)+INDEX(Lists!$N$18:$N$20,MATCH(N41,Lists!$M$18:$M$20,0))+IF(K41=5,2,IF(K41&gt;=4,1,0))&gt;=4,"High",IF(IF(L41="Yes",2,0)+IF(M41="Yes",1,0)+INDEX(Lists!$N$18:$N$20,MATCH(N41,Lists!$M$18:$M$20,0))+IF(K41=5,2,IF(K41&gt;=4,1,0))&gt;=2,"Medium","Low"))))</f>
        <v/>
      </c>
      <c r="X41" s="37" t="str">
        <f>IF(U41="","",IF(AND(U41&gt;=$D$4,V41&gt;=$D$4),"Quick win",IF(U41&gt;=$D$4,"Strategic bet",IF(V41&gt;=$D$4,"Fill-in","Deprioritise"))))</f>
        <v/>
      </c>
      <c r="Y41" s="39" t="str">
        <f>IF(U41="","",ROUND(U41*V41*IF(W41="High",0.85,1)*IF(T41="Redesign / standardise first",0.8,1),2))</f>
        <v/>
      </c>
      <c r="Z41" s="40" t="str">
        <f>IF(Y41="","",RANK(Y41,$Y$8:$Y$57)+COUNTIF($Y$7:Y40,Y41))</f>
        <v/>
      </c>
      <c r="AA41" s="36" t="str">
        <f>IF(AC41="","",INDEX(Lists!$AV$2:$AV$5,AC41))</f>
        <v/>
      </c>
      <c r="AB41" s="41" t="str">
        <f>IF(Y41="","",ROUND(G41*12*INDEX(Lists!$F$2:$F$11,MATCH(O41,Lists!$B$2:$B$11,0)),0))</f>
        <v/>
      </c>
      <c r="AC41" s="37" t="str">
        <f>IF(Y41="","",IF(X41="Deprioritise",4,IF(T41="AI later - close data gap first",3,IF(OR(T41="Redesign / standardise first",T41="Stretch - partner or later stage",X41="Strategic bet"),2,1))))</f>
        <v/>
      </c>
      <c r="AD41" s="37" t="str">
        <f>IF(Z41="","",AC41*100+Z41)</f>
        <v/>
      </c>
    </row>
    <row r="42" ht="40" customHeight="1">
      <c r="A42" s="14" t="n">
        <v>35</v>
      </c>
      <c r="B42" s="35" t="n"/>
      <c r="C42" s="35" t="n"/>
      <c r="D42" s="35" t="n"/>
      <c r="E42" s="35" t="n"/>
      <c r="F42" s="35" t="n"/>
      <c r="G42" s="35" t="n"/>
      <c r="H42" s="35" t="n"/>
      <c r="I42" s="35" t="n"/>
      <c r="J42" s="35" t="n"/>
      <c r="K42" s="35" t="n"/>
      <c r="L42" s="35" t="n"/>
      <c r="M42" s="35" t="n"/>
      <c r="N42" s="35" t="n"/>
      <c r="O42" s="36" t="str">
        <f>IF(OR(C42="",E42=""),"",INDEX(Lists!$B$2:$B$11,MATCH(E42,Lists!$A$2:$A$11,0)))</f>
        <v/>
      </c>
      <c r="P42" s="37" t="str">
        <f>IF(O42="","",INDEX(Lists!$C$2:$C$11,MATCH(O42,Lists!$B$2:$B$11,0)))</f>
        <v/>
      </c>
      <c r="Q42" s="37" t="str">
        <f>IF(O42="","",INDEX(Lists!$D$2:$D$11,MATCH(O42,Lists!$B$2:$B$11,0)))</f>
        <v/>
      </c>
      <c r="R42" s="37" t="str">
        <f>IF(OR(O42="",I42=""),"",IF(INDEX(Lists!$N$2:$N$5,MATCH(I42,Lists!$M$2:$M$5,0))&gt;=INDEX(Lists!$E$2:$E$11,MATCH(O42,Lists!$B$2:$B$11,0)),"Data ready","Data gap"))</f>
        <v/>
      </c>
      <c r="S42" s="36" t="str">
        <f>IF(O42="","",IF(P42&lt;=IF('1. AI Position'!$C$30="",5,INDEX(Lists!$AI$2:$AI$5,'1. AI Position'!$C$30)),"Within current position","Beyond current position"))</f>
        <v/>
      </c>
      <c r="T42" s="38" t="str">
        <f>IF(O42="","",IF(COUNTA(E42:N42)&lt;10,"Complete inputs",IF(H42="No - varies by person / team","Redesign / standardise first",IF(Q42="No","Automate - AI not needed",IF(R42="Data gap","AI later - close data gap first",IF(S42="Beyond current position","Stretch - partner or later stage","AI fit now"))))))</f>
        <v/>
      </c>
      <c r="U42" s="39" t="str">
        <f>IF(OR(T42="",T42="Complete inputs"),"",ROUND(0.3*INDEX(Lists!$N$8:$N$10,MATCH(F42,Lists!$M$8:$M$10,0))+0.25*IF(G42&lt;20,1,IF(G42&lt;80,2,IF(G42&lt;160,3,IF(G42&lt;480,4,5))))+0.25*J42+0.2*K42,2))</f>
        <v/>
      </c>
      <c r="V42" s="39" t="str">
        <f>IF(U42="","",ROUND(0.3*IF(R42="Data ready",5,IF(INDEX(Lists!$N$2:$N$5,MATCH(I42,Lists!$M$2:$M$5,0))=INDEX(Lists!$E$2:$E$11,MATCH(O42,Lists!$B$2:$B$11,0))-1,3,1))+0.25*INDEX(Lists!$N$13:$N$15,MATCH(H42,Lists!$M$13:$M$15,0))+0.25*(6-P42)+0.2*IF(S42="Within current position",5,2),2))</f>
        <v/>
      </c>
      <c r="W42" s="37" t="str">
        <f>IF(U42="","",IF(Q42="No",IF(L42="Yes","Medium","Low"),IF(IF(L42="Yes",2,0)+IF(M42="Yes",1,0)+INDEX(Lists!$N$18:$N$20,MATCH(N42,Lists!$M$18:$M$20,0))+IF(K42=5,2,IF(K42&gt;=4,1,0))&gt;=4,"High",IF(IF(L42="Yes",2,0)+IF(M42="Yes",1,0)+INDEX(Lists!$N$18:$N$20,MATCH(N42,Lists!$M$18:$M$20,0))+IF(K42=5,2,IF(K42&gt;=4,1,0))&gt;=2,"Medium","Low"))))</f>
        <v/>
      </c>
      <c r="X42" s="37" t="str">
        <f>IF(U42="","",IF(AND(U42&gt;=$D$4,V42&gt;=$D$4),"Quick win",IF(U42&gt;=$D$4,"Strategic bet",IF(V42&gt;=$D$4,"Fill-in","Deprioritise"))))</f>
        <v/>
      </c>
      <c r="Y42" s="39" t="str">
        <f>IF(U42="","",ROUND(U42*V42*IF(W42="High",0.85,1)*IF(T42="Redesign / standardise first",0.8,1),2))</f>
        <v/>
      </c>
      <c r="Z42" s="40" t="str">
        <f>IF(Y42="","",RANK(Y42,$Y$8:$Y$57)+COUNTIF($Y$7:Y41,Y42))</f>
        <v/>
      </c>
      <c r="AA42" s="36" t="str">
        <f>IF(AC42="","",INDEX(Lists!$AV$2:$AV$5,AC42))</f>
        <v/>
      </c>
      <c r="AB42" s="41" t="str">
        <f>IF(Y42="","",ROUND(G42*12*INDEX(Lists!$F$2:$F$11,MATCH(O42,Lists!$B$2:$B$11,0)),0))</f>
        <v/>
      </c>
      <c r="AC42" s="37" t="str">
        <f>IF(Y42="","",IF(X42="Deprioritise",4,IF(T42="AI later - close data gap first",3,IF(OR(T42="Redesign / standardise first",T42="Stretch - partner or later stage",X42="Strategic bet"),2,1))))</f>
        <v/>
      </c>
      <c r="AD42" s="37" t="str">
        <f>IF(Z42="","",AC42*100+Z42)</f>
        <v/>
      </c>
    </row>
    <row r="43" ht="40" customHeight="1">
      <c r="A43" s="14" t="n">
        <v>36</v>
      </c>
      <c r="B43" s="35" t="n"/>
      <c r="C43" s="35" t="n"/>
      <c r="D43" s="35" t="n"/>
      <c r="E43" s="35" t="n"/>
      <c r="F43" s="35" t="n"/>
      <c r="G43" s="35" t="n"/>
      <c r="H43" s="35" t="n"/>
      <c r="I43" s="35" t="n"/>
      <c r="J43" s="35" t="n"/>
      <c r="K43" s="35" t="n"/>
      <c r="L43" s="35" t="n"/>
      <c r="M43" s="35" t="n"/>
      <c r="N43" s="35" t="n"/>
      <c r="O43" s="36" t="str">
        <f>IF(OR(C43="",E43=""),"",INDEX(Lists!$B$2:$B$11,MATCH(E43,Lists!$A$2:$A$11,0)))</f>
        <v/>
      </c>
      <c r="P43" s="37" t="str">
        <f>IF(O43="","",INDEX(Lists!$C$2:$C$11,MATCH(O43,Lists!$B$2:$B$11,0)))</f>
        <v/>
      </c>
      <c r="Q43" s="37" t="str">
        <f>IF(O43="","",INDEX(Lists!$D$2:$D$11,MATCH(O43,Lists!$B$2:$B$11,0)))</f>
        <v/>
      </c>
      <c r="R43" s="37" t="str">
        <f>IF(OR(O43="",I43=""),"",IF(INDEX(Lists!$N$2:$N$5,MATCH(I43,Lists!$M$2:$M$5,0))&gt;=INDEX(Lists!$E$2:$E$11,MATCH(O43,Lists!$B$2:$B$11,0)),"Data ready","Data gap"))</f>
        <v/>
      </c>
      <c r="S43" s="36" t="str">
        <f>IF(O43="","",IF(P43&lt;=IF('1. AI Position'!$C$30="",5,INDEX(Lists!$AI$2:$AI$5,'1. AI Position'!$C$30)),"Within current position","Beyond current position"))</f>
        <v/>
      </c>
      <c r="T43" s="38" t="str">
        <f>IF(O43="","",IF(COUNTA(E43:N43)&lt;10,"Complete inputs",IF(H43="No - varies by person / team","Redesign / standardise first",IF(Q43="No","Automate - AI not needed",IF(R43="Data gap","AI later - close data gap first",IF(S43="Beyond current position","Stretch - partner or later stage","AI fit now"))))))</f>
        <v/>
      </c>
      <c r="U43" s="39" t="str">
        <f>IF(OR(T43="",T43="Complete inputs"),"",ROUND(0.3*INDEX(Lists!$N$8:$N$10,MATCH(F43,Lists!$M$8:$M$10,0))+0.25*IF(G43&lt;20,1,IF(G43&lt;80,2,IF(G43&lt;160,3,IF(G43&lt;480,4,5))))+0.25*J43+0.2*K43,2))</f>
        <v/>
      </c>
      <c r="V43" s="39" t="str">
        <f>IF(U43="","",ROUND(0.3*IF(R43="Data ready",5,IF(INDEX(Lists!$N$2:$N$5,MATCH(I43,Lists!$M$2:$M$5,0))=INDEX(Lists!$E$2:$E$11,MATCH(O43,Lists!$B$2:$B$11,0))-1,3,1))+0.25*INDEX(Lists!$N$13:$N$15,MATCH(H43,Lists!$M$13:$M$15,0))+0.25*(6-P43)+0.2*IF(S43="Within current position",5,2),2))</f>
        <v/>
      </c>
      <c r="W43" s="37" t="str">
        <f>IF(U43="","",IF(Q43="No",IF(L43="Yes","Medium","Low"),IF(IF(L43="Yes",2,0)+IF(M43="Yes",1,0)+INDEX(Lists!$N$18:$N$20,MATCH(N43,Lists!$M$18:$M$20,0))+IF(K43=5,2,IF(K43&gt;=4,1,0))&gt;=4,"High",IF(IF(L43="Yes",2,0)+IF(M43="Yes",1,0)+INDEX(Lists!$N$18:$N$20,MATCH(N43,Lists!$M$18:$M$20,0))+IF(K43=5,2,IF(K43&gt;=4,1,0))&gt;=2,"Medium","Low"))))</f>
        <v/>
      </c>
      <c r="X43" s="37" t="str">
        <f>IF(U43="","",IF(AND(U43&gt;=$D$4,V43&gt;=$D$4),"Quick win",IF(U43&gt;=$D$4,"Strategic bet",IF(V43&gt;=$D$4,"Fill-in","Deprioritise"))))</f>
        <v/>
      </c>
      <c r="Y43" s="39" t="str">
        <f>IF(U43="","",ROUND(U43*V43*IF(W43="High",0.85,1)*IF(T43="Redesign / standardise first",0.8,1),2))</f>
        <v/>
      </c>
      <c r="Z43" s="40" t="str">
        <f>IF(Y43="","",RANK(Y43,$Y$8:$Y$57)+COUNTIF($Y$7:Y42,Y43))</f>
        <v/>
      </c>
      <c r="AA43" s="36" t="str">
        <f>IF(AC43="","",INDEX(Lists!$AV$2:$AV$5,AC43))</f>
        <v/>
      </c>
      <c r="AB43" s="41" t="str">
        <f>IF(Y43="","",ROUND(G43*12*INDEX(Lists!$F$2:$F$11,MATCH(O43,Lists!$B$2:$B$11,0)),0))</f>
        <v/>
      </c>
      <c r="AC43" s="37" t="str">
        <f>IF(Y43="","",IF(X43="Deprioritise",4,IF(T43="AI later - close data gap first",3,IF(OR(T43="Redesign / standardise first",T43="Stretch - partner or later stage",X43="Strategic bet"),2,1))))</f>
        <v/>
      </c>
      <c r="AD43" s="37" t="str">
        <f>IF(Z43="","",AC43*100+Z43)</f>
        <v/>
      </c>
    </row>
    <row r="44" ht="40" customHeight="1">
      <c r="A44" s="14" t="n">
        <v>37</v>
      </c>
      <c r="B44" s="35" t="n"/>
      <c r="C44" s="35" t="n"/>
      <c r="D44" s="35" t="n"/>
      <c r="E44" s="35" t="n"/>
      <c r="F44" s="35" t="n"/>
      <c r="G44" s="35" t="n"/>
      <c r="H44" s="35" t="n"/>
      <c r="I44" s="35" t="n"/>
      <c r="J44" s="35" t="n"/>
      <c r="K44" s="35" t="n"/>
      <c r="L44" s="35" t="n"/>
      <c r="M44" s="35" t="n"/>
      <c r="N44" s="35" t="n"/>
      <c r="O44" s="36" t="str">
        <f>IF(OR(C44="",E44=""),"",INDEX(Lists!$B$2:$B$11,MATCH(E44,Lists!$A$2:$A$11,0)))</f>
        <v/>
      </c>
      <c r="P44" s="37" t="str">
        <f>IF(O44="","",INDEX(Lists!$C$2:$C$11,MATCH(O44,Lists!$B$2:$B$11,0)))</f>
        <v/>
      </c>
      <c r="Q44" s="37" t="str">
        <f>IF(O44="","",INDEX(Lists!$D$2:$D$11,MATCH(O44,Lists!$B$2:$B$11,0)))</f>
        <v/>
      </c>
      <c r="R44" s="37" t="str">
        <f>IF(OR(O44="",I44=""),"",IF(INDEX(Lists!$N$2:$N$5,MATCH(I44,Lists!$M$2:$M$5,0))&gt;=INDEX(Lists!$E$2:$E$11,MATCH(O44,Lists!$B$2:$B$11,0)),"Data ready","Data gap"))</f>
        <v/>
      </c>
      <c r="S44" s="36" t="str">
        <f>IF(O44="","",IF(P44&lt;=IF('1. AI Position'!$C$30="",5,INDEX(Lists!$AI$2:$AI$5,'1. AI Position'!$C$30)),"Within current position","Beyond current position"))</f>
        <v/>
      </c>
      <c r="T44" s="38" t="str">
        <f>IF(O44="","",IF(COUNTA(E44:N44)&lt;10,"Complete inputs",IF(H44="No - varies by person / team","Redesign / standardise first",IF(Q44="No","Automate - AI not needed",IF(R44="Data gap","AI later - close data gap first",IF(S44="Beyond current position","Stretch - partner or later stage","AI fit now"))))))</f>
        <v/>
      </c>
      <c r="U44" s="39" t="str">
        <f>IF(OR(T44="",T44="Complete inputs"),"",ROUND(0.3*INDEX(Lists!$N$8:$N$10,MATCH(F44,Lists!$M$8:$M$10,0))+0.25*IF(G44&lt;20,1,IF(G44&lt;80,2,IF(G44&lt;160,3,IF(G44&lt;480,4,5))))+0.25*J44+0.2*K44,2))</f>
        <v/>
      </c>
      <c r="V44" s="39" t="str">
        <f>IF(U44="","",ROUND(0.3*IF(R44="Data ready",5,IF(INDEX(Lists!$N$2:$N$5,MATCH(I44,Lists!$M$2:$M$5,0))=INDEX(Lists!$E$2:$E$11,MATCH(O44,Lists!$B$2:$B$11,0))-1,3,1))+0.25*INDEX(Lists!$N$13:$N$15,MATCH(H44,Lists!$M$13:$M$15,0))+0.25*(6-P44)+0.2*IF(S44="Within current position",5,2),2))</f>
        <v/>
      </c>
      <c r="W44" s="37" t="str">
        <f>IF(U44="","",IF(Q44="No",IF(L44="Yes","Medium","Low"),IF(IF(L44="Yes",2,0)+IF(M44="Yes",1,0)+INDEX(Lists!$N$18:$N$20,MATCH(N44,Lists!$M$18:$M$20,0))+IF(K44=5,2,IF(K44&gt;=4,1,0))&gt;=4,"High",IF(IF(L44="Yes",2,0)+IF(M44="Yes",1,0)+INDEX(Lists!$N$18:$N$20,MATCH(N44,Lists!$M$18:$M$20,0))+IF(K44=5,2,IF(K44&gt;=4,1,0))&gt;=2,"Medium","Low"))))</f>
        <v/>
      </c>
      <c r="X44" s="37" t="str">
        <f>IF(U44="","",IF(AND(U44&gt;=$D$4,V44&gt;=$D$4),"Quick win",IF(U44&gt;=$D$4,"Strategic bet",IF(V44&gt;=$D$4,"Fill-in","Deprioritise"))))</f>
        <v/>
      </c>
      <c r="Y44" s="39" t="str">
        <f>IF(U44="","",ROUND(U44*V44*IF(W44="High",0.85,1)*IF(T44="Redesign / standardise first",0.8,1),2))</f>
        <v/>
      </c>
      <c r="Z44" s="40" t="str">
        <f>IF(Y44="","",RANK(Y44,$Y$8:$Y$57)+COUNTIF($Y$7:Y43,Y44))</f>
        <v/>
      </c>
      <c r="AA44" s="36" t="str">
        <f>IF(AC44="","",INDEX(Lists!$AV$2:$AV$5,AC44))</f>
        <v/>
      </c>
      <c r="AB44" s="41" t="str">
        <f>IF(Y44="","",ROUND(G44*12*INDEX(Lists!$F$2:$F$11,MATCH(O44,Lists!$B$2:$B$11,0)),0))</f>
        <v/>
      </c>
      <c r="AC44" s="37" t="str">
        <f>IF(Y44="","",IF(X44="Deprioritise",4,IF(T44="AI later - close data gap first",3,IF(OR(T44="Redesign / standardise first",T44="Stretch - partner or later stage",X44="Strategic bet"),2,1))))</f>
        <v/>
      </c>
      <c r="AD44" s="37" t="str">
        <f>IF(Z44="","",AC44*100+Z44)</f>
        <v/>
      </c>
    </row>
    <row r="45" ht="40" customHeight="1">
      <c r="A45" s="14" t="n">
        <v>38</v>
      </c>
      <c r="B45" s="35" t="n"/>
      <c r="C45" s="35" t="n"/>
      <c r="D45" s="35" t="n"/>
      <c r="E45" s="35" t="n"/>
      <c r="F45" s="35" t="n"/>
      <c r="G45" s="35" t="n"/>
      <c r="H45" s="35" t="n"/>
      <c r="I45" s="35" t="n"/>
      <c r="J45" s="35" t="n"/>
      <c r="K45" s="35" t="n"/>
      <c r="L45" s="35" t="n"/>
      <c r="M45" s="35" t="n"/>
      <c r="N45" s="35" t="n"/>
      <c r="O45" s="36" t="str">
        <f>IF(OR(C45="",E45=""),"",INDEX(Lists!$B$2:$B$11,MATCH(E45,Lists!$A$2:$A$11,0)))</f>
        <v/>
      </c>
      <c r="P45" s="37" t="str">
        <f>IF(O45="","",INDEX(Lists!$C$2:$C$11,MATCH(O45,Lists!$B$2:$B$11,0)))</f>
        <v/>
      </c>
      <c r="Q45" s="37" t="str">
        <f>IF(O45="","",INDEX(Lists!$D$2:$D$11,MATCH(O45,Lists!$B$2:$B$11,0)))</f>
        <v/>
      </c>
      <c r="R45" s="37" t="str">
        <f>IF(OR(O45="",I45=""),"",IF(INDEX(Lists!$N$2:$N$5,MATCH(I45,Lists!$M$2:$M$5,0))&gt;=INDEX(Lists!$E$2:$E$11,MATCH(O45,Lists!$B$2:$B$11,0)),"Data ready","Data gap"))</f>
        <v/>
      </c>
      <c r="S45" s="36" t="str">
        <f>IF(O45="","",IF(P45&lt;=IF('1. AI Position'!$C$30="",5,INDEX(Lists!$AI$2:$AI$5,'1. AI Position'!$C$30)),"Within current position","Beyond current position"))</f>
        <v/>
      </c>
      <c r="T45" s="38" t="str">
        <f>IF(O45="","",IF(COUNTA(E45:N45)&lt;10,"Complete inputs",IF(H45="No - varies by person / team","Redesign / standardise first",IF(Q45="No","Automate - AI not needed",IF(R45="Data gap","AI later - close data gap first",IF(S45="Beyond current position","Stretch - partner or later stage","AI fit now"))))))</f>
        <v/>
      </c>
      <c r="U45" s="39" t="str">
        <f>IF(OR(T45="",T45="Complete inputs"),"",ROUND(0.3*INDEX(Lists!$N$8:$N$10,MATCH(F45,Lists!$M$8:$M$10,0))+0.25*IF(G45&lt;20,1,IF(G45&lt;80,2,IF(G45&lt;160,3,IF(G45&lt;480,4,5))))+0.25*J45+0.2*K45,2))</f>
        <v/>
      </c>
      <c r="V45" s="39" t="str">
        <f>IF(U45="","",ROUND(0.3*IF(R45="Data ready",5,IF(INDEX(Lists!$N$2:$N$5,MATCH(I45,Lists!$M$2:$M$5,0))=INDEX(Lists!$E$2:$E$11,MATCH(O45,Lists!$B$2:$B$11,0))-1,3,1))+0.25*INDEX(Lists!$N$13:$N$15,MATCH(H45,Lists!$M$13:$M$15,0))+0.25*(6-P45)+0.2*IF(S45="Within current position",5,2),2))</f>
        <v/>
      </c>
      <c r="W45" s="37" t="str">
        <f>IF(U45="","",IF(Q45="No",IF(L45="Yes","Medium","Low"),IF(IF(L45="Yes",2,0)+IF(M45="Yes",1,0)+INDEX(Lists!$N$18:$N$20,MATCH(N45,Lists!$M$18:$M$20,0))+IF(K45=5,2,IF(K45&gt;=4,1,0))&gt;=4,"High",IF(IF(L45="Yes",2,0)+IF(M45="Yes",1,0)+INDEX(Lists!$N$18:$N$20,MATCH(N45,Lists!$M$18:$M$20,0))+IF(K45=5,2,IF(K45&gt;=4,1,0))&gt;=2,"Medium","Low"))))</f>
        <v/>
      </c>
      <c r="X45" s="37" t="str">
        <f>IF(U45="","",IF(AND(U45&gt;=$D$4,V45&gt;=$D$4),"Quick win",IF(U45&gt;=$D$4,"Strategic bet",IF(V45&gt;=$D$4,"Fill-in","Deprioritise"))))</f>
        <v/>
      </c>
      <c r="Y45" s="39" t="str">
        <f>IF(U45="","",ROUND(U45*V45*IF(W45="High",0.85,1)*IF(T45="Redesign / standardise first",0.8,1),2))</f>
        <v/>
      </c>
      <c r="Z45" s="40" t="str">
        <f>IF(Y45="","",RANK(Y45,$Y$8:$Y$57)+COUNTIF($Y$7:Y44,Y45))</f>
        <v/>
      </c>
      <c r="AA45" s="36" t="str">
        <f>IF(AC45="","",INDEX(Lists!$AV$2:$AV$5,AC45))</f>
        <v/>
      </c>
      <c r="AB45" s="41" t="str">
        <f>IF(Y45="","",ROUND(G45*12*INDEX(Lists!$F$2:$F$11,MATCH(O45,Lists!$B$2:$B$11,0)),0))</f>
        <v/>
      </c>
      <c r="AC45" s="37" t="str">
        <f>IF(Y45="","",IF(X45="Deprioritise",4,IF(T45="AI later - close data gap first",3,IF(OR(T45="Redesign / standardise first",T45="Stretch - partner or later stage",X45="Strategic bet"),2,1))))</f>
        <v/>
      </c>
      <c r="AD45" s="37" t="str">
        <f>IF(Z45="","",AC45*100+Z45)</f>
        <v/>
      </c>
    </row>
    <row r="46" ht="40" customHeight="1">
      <c r="A46" s="14" t="n">
        <v>39</v>
      </c>
      <c r="B46" s="35" t="n"/>
      <c r="C46" s="35" t="n"/>
      <c r="D46" s="35" t="n"/>
      <c r="E46" s="35" t="n"/>
      <c r="F46" s="35" t="n"/>
      <c r="G46" s="35" t="n"/>
      <c r="H46" s="35" t="n"/>
      <c r="I46" s="35" t="n"/>
      <c r="J46" s="35" t="n"/>
      <c r="K46" s="35" t="n"/>
      <c r="L46" s="35" t="n"/>
      <c r="M46" s="35" t="n"/>
      <c r="N46" s="35" t="n"/>
      <c r="O46" s="36" t="str">
        <f>IF(OR(C46="",E46=""),"",INDEX(Lists!$B$2:$B$11,MATCH(E46,Lists!$A$2:$A$11,0)))</f>
        <v/>
      </c>
      <c r="P46" s="37" t="str">
        <f>IF(O46="","",INDEX(Lists!$C$2:$C$11,MATCH(O46,Lists!$B$2:$B$11,0)))</f>
        <v/>
      </c>
      <c r="Q46" s="37" t="str">
        <f>IF(O46="","",INDEX(Lists!$D$2:$D$11,MATCH(O46,Lists!$B$2:$B$11,0)))</f>
        <v/>
      </c>
      <c r="R46" s="37" t="str">
        <f>IF(OR(O46="",I46=""),"",IF(INDEX(Lists!$N$2:$N$5,MATCH(I46,Lists!$M$2:$M$5,0))&gt;=INDEX(Lists!$E$2:$E$11,MATCH(O46,Lists!$B$2:$B$11,0)),"Data ready","Data gap"))</f>
        <v/>
      </c>
      <c r="S46" s="36" t="str">
        <f>IF(O46="","",IF(P46&lt;=IF('1. AI Position'!$C$30="",5,INDEX(Lists!$AI$2:$AI$5,'1. AI Position'!$C$30)),"Within current position","Beyond current position"))</f>
        <v/>
      </c>
      <c r="T46" s="38" t="str">
        <f>IF(O46="","",IF(COUNTA(E46:N46)&lt;10,"Complete inputs",IF(H46="No - varies by person / team","Redesign / standardise first",IF(Q46="No","Automate - AI not needed",IF(R46="Data gap","AI later - close data gap first",IF(S46="Beyond current position","Stretch - partner or later stage","AI fit now"))))))</f>
        <v/>
      </c>
      <c r="U46" s="39" t="str">
        <f>IF(OR(T46="",T46="Complete inputs"),"",ROUND(0.3*INDEX(Lists!$N$8:$N$10,MATCH(F46,Lists!$M$8:$M$10,0))+0.25*IF(G46&lt;20,1,IF(G46&lt;80,2,IF(G46&lt;160,3,IF(G46&lt;480,4,5))))+0.25*J46+0.2*K46,2))</f>
        <v/>
      </c>
      <c r="V46" s="39" t="str">
        <f>IF(U46="","",ROUND(0.3*IF(R46="Data ready",5,IF(INDEX(Lists!$N$2:$N$5,MATCH(I46,Lists!$M$2:$M$5,0))=INDEX(Lists!$E$2:$E$11,MATCH(O46,Lists!$B$2:$B$11,0))-1,3,1))+0.25*INDEX(Lists!$N$13:$N$15,MATCH(H46,Lists!$M$13:$M$15,0))+0.25*(6-P46)+0.2*IF(S46="Within current position",5,2),2))</f>
        <v/>
      </c>
      <c r="W46" s="37" t="str">
        <f>IF(U46="","",IF(Q46="No",IF(L46="Yes","Medium","Low"),IF(IF(L46="Yes",2,0)+IF(M46="Yes",1,0)+INDEX(Lists!$N$18:$N$20,MATCH(N46,Lists!$M$18:$M$20,0))+IF(K46=5,2,IF(K46&gt;=4,1,0))&gt;=4,"High",IF(IF(L46="Yes",2,0)+IF(M46="Yes",1,0)+INDEX(Lists!$N$18:$N$20,MATCH(N46,Lists!$M$18:$M$20,0))+IF(K46=5,2,IF(K46&gt;=4,1,0))&gt;=2,"Medium","Low"))))</f>
        <v/>
      </c>
      <c r="X46" s="37" t="str">
        <f>IF(U46="","",IF(AND(U46&gt;=$D$4,V46&gt;=$D$4),"Quick win",IF(U46&gt;=$D$4,"Strategic bet",IF(V46&gt;=$D$4,"Fill-in","Deprioritise"))))</f>
        <v/>
      </c>
      <c r="Y46" s="39" t="str">
        <f>IF(U46="","",ROUND(U46*V46*IF(W46="High",0.85,1)*IF(T46="Redesign / standardise first",0.8,1),2))</f>
        <v/>
      </c>
      <c r="Z46" s="40" t="str">
        <f>IF(Y46="","",RANK(Y46,$Y$8:$Y$57)+COUNTIF($Y$7:Y45,Y46))</f>
        <v/>
      </c>
      <c r="AA46" s="36" t="str">
        <f>IF(AC46="","",INDEX(Lists!$AV$2:$AV$5,AC46))</f>
        <v/>
      </c>
      <c r="AB46" s="41" t="str">
        <f>IF(Y46="","",ROUND(G46*12*INDEX(Lists!$F$2:$F$11,MATCH(O46,Lists!$B$2:$B$11,0)),0))</f>
        <v/>
      </c>
      <c r="AC46" s="37" t="str">
        <f>IF(Y46="","",IF(X46="Deprioritise",4,IF(T46="AI later - close data gap first",3,IF(OR(T46="Redesign / standardise first",T46="Stretch - partner or later stage",X46="Strategic bet"),2,1))))</f>
        <v/>
      </c>
      <c r="AD46" s="37" t="str">
        <f>IF(Z46="","",AC46*100+Z46)</f>
        <v/>
      </c>
    </row>
    <row r="47" ht="40" customHeight="1">
      <c r="A47" s="14" t="n">
        <v>40</v>
      </c>
      <c r="B47" s="35" t="n"/>
      <c r="C47" s="35" t="n"/>
      <c r="D47" s="35" t="n"/>
      <c r="E47" s="35" t="n"/>
      <c r="F47" s="35" t="n"/>
      <c r="G47" s="35" t="n"/>
      <c r="H47" s="35" t="n"/>
      <c r="I47" s="35" t="n"/>
      <c r="J47" s="35" t="n"/>
      <c r="K47" s="35" t="n"/>
      <c r="L47" s="35" t="n"/>
      <c r="M47" s="35" t="n"/>
      <c r="N47" s="35" t="n"/>
      <c r="O47" s="36" t="str">
        <f>IF(OR(C47="",E47=""),"",INDEX(Lists!$B$2:$B$11,MATCH(E47,Lists!$A$2:$A$11,0)))</f>
        <v/>
      </c>
      <c r="P47" s="37" t="str">
        <f>IF(O47="","",INDEX(Lists!$C$2:$C$11,MATCH(O47,Lists!$B$2:$B$11,0)))</f>
        <v/>
      </c>
      <c r="Q47" s="37" t="str">
        <f>IF(O47="","",INDEX(Lists!$D$2:$D$11,MATCH(O47,Lists!$B$2:$B$11,0)))</f>
        <v/>
      </c>
      <c r="R47" s="37" t="str">
        <f>IF(OR(O47="",I47=""),"",IF(INDEX(Lists!$N$2:$N$5,MATCH(I47,Lists!$M$2:$M$5,0))&gt;=INDEX(Lists!$E$2:$E$11,MATCH(O47,Lists!$B$2:$B$11,0)),"Data ready","Data gap"))</f>
        <v/>
      </c>
      <c r="S47" s="36" t="str">
        <f>IF(O47="","",IF(P47&lt;=IF('1. AI Position'!$C$30="",5,INDEX(Lists!$AI$2:$AI$5,'1. AI Position'!$C$30)),"Within current position","Beyond current position"))</f>
        <v/>
      </c>
      <c r="T47" s="38" t="str">
        <f>IF(O47="","",IF(COUNTA(E47:N47)&lt;10,"Complete inputs",IF(H47="No - varies by person / team","Redesign / standardise first",IF(Q47="No","Automate - AI not needed",IF(R47="Data gap","AI later - close data gap first",IF(S47="Beyond current position","Stretch - partner or later stage","AI fit now"))))))</f>
        <v/>
      </c>
      <c r="U47" s="39" t="str">
        <f>IF(OR(T47="",T47="Complete inputs"),"",ROUND(0.3*INDEX(Lists!$N$8:$N$10,MATCH(F47,Lists!$M$8:$M$10,0))+0.25*IF(G47&lt;20,1,IF(G47&lt;80,2,IF(G47&lt;160,3,IF(G47&lt;480,4,5))))+0.25*J47+0.2*K47,2))</f>
        <v/>
      </c>
      <c r="V47" s="39" t="str">
        <f>IF(U47="","",ROUND(0.3*IF(R47="Data ready",5,IF(INDEX(Lists!$N$2:$N$5,MATCH(I47,Lists!$M$2:$M$5,0))=INDEX(Lists!$E$2:$E$11,MATCH(O47,Lists!$B$2:$B$11,0))-1,3,1))+0.25*INDEX(Lists!$N$13:$N$15,MATCH(H47,Lists!$M$13:$M$15,0))+0.25*(6-P47)+0.2*IF(S47="Within current position",5,2),2))</f>
        <v/>
      </c>
      <c r="W47" s="37" t="str">
        <f>IF(U47="","",IF(Q47="No",IF(L47="Yes","Medium","Low"),IF(IF(L47="Yes",2,0)+IF(M47="Yes",1,0)+INDEX(Lists!$N$18:$N$20,MATCH(N47,Lists!$M$18:$M$20,0))+IF(K47=5,2,IF(K47&gt;=4,1,0))&gt;=4,"High",IF(IF(L47="Yes",2,0)+IF(M47="Yes",1,0)+INDEX(Lists!$N$18:$N$20,MATCH(N47,Lists!$M$18:$M$20,0))+IF(K47=5,2,IF(K47&gt;=4,1,0))&gt;=2,"Medium","Low"))))</f>
        <v/>
      </c>
      <c r="X47" s="37" t="str">
        <f>IF(U47="","",IF(AND(U47&gt;=$D$4,V47&gt;=$D$4),"Quick win",IF(U47&gt;=$D$4,"Strategic bet",IF(V47&gt;=$D$4,"Fill-in","Deprioritise"))))</f>
        <v/>
      </c>
      <c r="Y47" s="39" t="str">
        <f>IF(U47="","",ROUND(U47*V47*IF(W47="High",0.85,1)*IF(T47="Redesign / standardise first",0.8,1),2))</f>
        <v/>
      </c>
      <c r="Z47" s="40" t="str">
        <f>IF(Y47="","",RANK(Y47,$Y$8:$Y$57)+COUNTIF($Y$7:Y46,Y47))</f>
        <v/>
      </c>
      <c r="AA47" s="36" t="str">
        <f>IF(AC47="","",INDEX(Lists!$AV$2:$AV$5,AC47))</f>
        <v/>
      </c>
      <c r="AB47" s="41" t="str">
        <f>IF(Y47="","",ROUND(G47*12*INDEX(Lists!$F$2:$F$11,MATCH(O47,Lists!$B$2:$B$11,0)),0))</f>
        <v/>
      </c>
      <c r="AC47" s="37" t="str">
        <f>IF(Y47="","",IF(X47="Deprioritise",4,IF(T47="AI later - close data gap first",3,IF(OR(T47="Redesign / standardise first",T47="Stretch - partner or later stage",X47="Strategic bet"),2,1))))</f>
        <v/>
      </c>
      <c r="AD47" s="37" t="str">
        <f>IF(Z47="","",AC47*100+Z47)</f>
        <v/>
      </c>
    </row>
    <row r="48" ht="40" customHeight="1">
      <c r="A48" s="14" t="n">
        <v>41</v>
      </c>
      <c r="B48" s="35" t="n"/>
      <c r="C48" s="35" t="n"/>
      <c r="D48" s="35" t="n"/>
      <c r="E48" s="35" t="n"/>
      <c r="F48" s="35" t="n"/>
      <c r="G48" s="35" t="n"/>
      <c r="H48" s="35" t="n"/>
      <c r="I48" s="35" t="n"/>
      <c r="J48" s="35" t="n"/>
      <c r="K48" s="35" t="n"/>
      <c r="L48" s="35" t="n"/>
      <c r="M48" s="35" t="n"/>
      <c r="N48" s="35" t="n"/>
      <c r="O48" s="36" t="str">
        <f>IF(OR(C48="",E48=""),"",INDEX(Lists!$B$2:$B$11,MATCH(E48,Lists!$A$2:$A$11,0)))</f>
        <v/>
      </c>
      <c r="P48" s="37" t="str">
        <f>IF(O48="","",INDEX(Lists!$C$2:$C$11,MATCH(O48,Lists!$B$2:$B$11,0)))</f>
        <v/>
      </c>
      <c r="Q48" s="37" t="str">
        <f>IF(O48="","",INDEX(Lists!$D$2:$D$11,MATCH(O48,Lists!$B$2:$B$11,0)))</f>
        <v/>
      </c>
      <c r="R48" s="37" t="str">
        <f>IF(OR(O48="",I48=""),"",IF(INDEX(Lists!$N$2:$N$5,MATCH(I48,Lists!$M$2:$M$5,0))&gt;=INDEX(Lists!$E$2:$E$11,MATCH(O48,Lists!$B$2:$B$11,0)),"Data ready","Data gap"))</f>
        <v/>
      </c>
      <c r="S48" s="36" t="str">
        <f>IF(O48="","",IF(P48&lt;=IF('1. AI Position'!$C$30="",5,INDEX(Lists!$AI$2:$AI$5,'1. AI Position'!$C$30)),"Within current position","Beyond current position"))</f>
        <v/>
      </c>
      <c r="T48" s="38" t="str">
        <f>IF(O48="","",IF(COUNTA(E48:N48)&lt;10,"Complete inputs",IF(H48="No - varies by person / team","Redesign / standardise first",IF(Q48="No","Automate - AI not needed",IF(R48="Data gap","AI later - close data gap first",IF(S48="Beyond current position","Stretch - partner or later stage","AI fit now"))))))</f>
        <v/>
      </c>
      <c r="U48" s="39" t="str">
        <f>IF(OR(T48="",T48="Complete inputs"),"",ROUND(0.3*INDEX(Lists!$N$8:$N$10,MATCH(F48,Lists!$M$8:$M$10,0))+0.25*IF(G48&lt;20,1,IF(G48&lt;80,2,IF(G48&lt;160,3,IF(G48&lt;480,4,5))))+0.25*J48+0.2*K48,2))</f>
        <v/>
      </c>
      <c r="V48" s="39" t="str">
        <f>IF(U48="","",ROUND(0.3*IF(R48="Data ready",5,IF(INDEX(Lists!$N$2:$N$5,MATCH(I48,Lists!$M$2:$M$5,0))=INDEX(Lists!$E$2:$E$11,MATCH(O48,Lists!$B$2:$B$11,0))-1,3,1))+0.25*INDEX(Lists!$N$13:$N$15,MATCH(H48,Lists!$M$13:$M$15,0))+0.25*(6-P48)+0.2*IF(S48="Within current position",5,2),2))</f>
        <v/>
      </c>
      <c r="W48" s="37" t="str">
        <f>IF(U48="","",IF(Q48="No",IF(L48="Yes","Medium","Low"),IF(IF(L48="Yes",2,0)+IF(M48="Yes",1,0)+INDEX(Lists!$N$18:$N$20,MATCH(N48,Lists!$M$18:$M$20,0))+IF(K48=5,2,IF(K48&gt;=4,1,0))&gt;=4,"High",IF(IF(L48="Yes",2,0)+IF(M48="Yes",1,0)+INDEX(Lists!$N$18:$N$20,MATCH(N48,Lists!$M$18:$M$20,0))+IF(K48=5,2,IF(K48&gt;=4,1,0))&gt;=2,"Medium","Low"))))</f>
        <v/>
      </c>
      <c r="X48" s="37" t="str">
        <f>IF(U48="","",IF(AND(U48&gt;=$D$4,V48&gt;=$D$4),"Quick win",IF(U48&gt;=$D$4,"Strategic bet",IF(V48&gt;=$D$4,"Fill-in","Deprioritise"))))</f>
        <v/>
      </c>
      <c r="Y48" s="39" t="str">
        <f>IF(U48="","",ROUND(U48*V48*IF(W48="High",0.85,1)*IF(T48="Redesign / standardise first",0.8,1),2))</f>
        <v/>
      </c>
      <c r="Z48" s="40" t="str">
        <f>IF(Y48="","",RANK(Y48,$Y$8:$Y$57)+COUNTIF($Y$7:Y47,Y48))</f>
        <v/>
      </c>
      <c r="AA48" s="36" t="str">
        <f>IF(AC48="","",INDEX(Lists!$AV$2:$AV$5,AC48))</f>
        <v/>
      </c>
      <c r="AB48" s="41" t="str">
        <f>IF(Y48="","",ROUND(G48*12*INDEX(Lists!$F$2:$F$11,MATCH(O48,Lists!$B$2:$B$11,0)),0))</f>
        <v/>
      </c>
      <c r="AC48" s="37" t="str">
        <f>IF(Y48="","",IF(X48="Deprioritise",4,IF(T48="AI later - close data gap first",3,IF(OR(T48="Redesign / standardise first",T48="Stretch - partner or later stage",X48="Strategic bet"),2,1))))</f>
        <v/>
      </c>
      <c r="AD48" s="37" t="str">
        <f>IF(Z48="","",AC48*100+Z48)</f>
        <v/>
      </c>
    </row>
    <row r="49" ht="40" customHeight="1">
      <c r="A49" s="14" t="n">
        <v>42</v>
      </c>
      <c r="B49" s="35" t="n"/>
      <c r="C49" s="35" t="n"/>
      <c r="D49" s="35" t="n"/>
      <c r="E49" s="35" t="n"/>
      <c r="F49" s="35" t="n"/>
      <c r="G49" s="35" t="n"/>
      <c r="H49" s="35" t="n"/>
      <c r="I49" s="35" t="n"/>
      <c r="J49" s="35" t="n"/>
      <c r="K49" s="35" t="n"/>
      <c r="L49" s="35" t="n"/>
      <c r="M49" s="35" t="n"/>
      <c r="N49" s="35" t="n"/>
      <c r="O49" s="36" t="str">
        <f>IF(OR(C49="",E49=""),"",INDEX(Lists!$B$2:$B$11,MATCH(E49,Lists!$A$2:$A$11,0)))</f>
        <v/>
      </c>
      <c r="P49" s="37" t="str">
        <f>IF(O49="","",INDEX(Lists!$C$2:$C$11,MATCH(O49,Lists!$B$2:$B$11,0)))</f>
        <v/>
      </c>
      <c r="Q49" s="37" t="str">
        <f>IF(O49="","",INDEX(Lists!$D$2:$D$11,MATCH(O49,Lists!$B$2:$B$11,0)))</f>
        <v/>
      </c>
      <c r="R49" s="37" t="str">
        <f>IF(OR(O49="",I49=""),"",IF(INDEX(Lists!$N$2:$N$5,MATCH(I49,Lists!$M$2:$M$5,0))&gt;=INDEX(Lists!$E$2:$E$11,MATCH(O49,Lists!$B$2:$B$11,0)),"Data ready","Data gap"))</f>
        <v/>
      </c>
      <c r="S49" s="36" t="str">
        <f>IF(O49="","",IF(P49&lt;=IF('1. AI Position'!$C$30="",5,INDEX(Lists!$AI$2:$AI$5,'1. AI Position'!$C$30)),"Within current position","Beyond current position"))</f>
        <v/>
      </c>
      <c r="T49" s="38" t="str">
        <f>IF(O49="","",IF(COUNTA(E49:N49)&lt;10,"Complete inputs",IF(H49="No - varies by person / team","Redesign / standardise first",IF(Q49="No","Automate - AI not needed",IF(R49="Data gap","AI later - close data gap first",IF(S49="Beyond current position","Stretch - partner or later stage","AI fit now"))))))</f>
        <v/>
      </c>
      <c r="U49" s="39" t="str">
        <f>IF(OR(T49="",T49="Complete inputs"),"",ROUND(0.3*INDEX(Lists!$N$8:$N$10,MATCH(F49,Lists!$M$8:$M$10,0))+0.25*IF(G49&lt;20,1,IF(G49&lt;80,2,IF(G49&lt;160,3,IF(G49&lt;480,4,5))))+0.25*J49+0.2*K49,2))</f>
        <v/>
      </c>
      <c r="V49" s="39" t="str">
        <f>IF(U49="","",ROUND(0.3*IF(R49="Data ready",5,IF(INDEX(Lists!$N$2:$N$5,MATCH(I49,Lists!$M$2:$M$5,0))=INDEX(Lists!$E$2:$E$11,MATCH(O49,Lists!$B$2:$B$11,0))-1,3,1))+0.25*INDEX(Lists!$N$13:$N$15,MATCH(H49,Lists!$M$13:$M$15,0))+0.25*(6-P49)+0.2*IF(S49="Within current position",5,2),2))</f>
        <v/>
      </c>
      <c r="W49" s="37" t="str">
        <f>IF(U49="","",IF(Q49="No",IF(L49="Yes","Medium","Low"),IF(IF(L49="Yes",2,0)+IF(M49="Yes",1,0)+INDEX(Lists!$N$18:$N$20,MATCH(N49,Lists!$M$18:$M$20,0))+IF(K49=5,2,IF(K49&gt;=4,1,0))&gt;=4,"High",IF(IF(L49="Yes",2,0)+IF(M49="Yes",1,0)+INDEX(Lists!$N$18:$N$20,MATCH(N49,Lists!$M$18:$M$20,0))+IF(K49=5,2,IF(K49&gt;=4,1,0))&gt;=2,"Medium","Low"))))</f>
        <v/>
      </c>
      <c r="X49" s="37" t="str">
        <f>IF(U49="","",IF(AND(U49&gt;=$D$4,V49&gt;=$D$4),"Quick win",IF(U49&gt;=$D$4,"Strategic bet",IF(V49&gt;=$D$4,"Fill-in","Deprioritise"))))</f>
        <v/>
      </c>
      <c r="Y49" s="39" t="str">
        <f>IF(U49="","",ROUND(U49*V49*IF(W49="High",0.85,1)*IF(T49="Redesign / standardise first",0.8,1),2))</f>
        <v/>
      </c>
      <c r="Z49" s="40" t="str">
        <f>IF(Y49="","",RANK(Y49,$Y$8:$Y$57)+COUNTIF($Y$7:Y48,Y49))</f>
        <v/>
      </c>
      <c r="AA49" s="36" t="str">
        <f>IF(AC49="","",INDEX(Lists!$AV$2:$AV$5,AC49))</f>
        <v/>
      </c>
      <c r="AB49" s="41" t="str">
        <f>IF(Y49="","",ROUND(G49*12*INDEX(Lists!$F$2:$F$11,MATCH(O49,Lists!$B$2:$B$11,0)),0))</f>
        <v/>
      </c>
      <c r="AC49" s="37" t="str">
        <f>IF(Y49="","",IF(X49="Deprioritise",4,IF(T49="AI later - close data gap first",3,IF(OR(T49="Redesign / standardise first",T49="Stretch - partner or later stage",X49="Strategic bet"),2,1))))</f>
        <v/>
      </c>
      <c r="AD49" s="37" t="str">
        <f>IF(Z49="","",AC49*100+Z49)</f>
        <v/>
      </c>
    </row>
    <row r="50" ht="40" customHeight="1">
      <c r="A50" s="14" t="n">
        <v>43</v>
      </c>
      <c r="B50" s="35" t="n"/>
      <c r="C50" s="35" t="n"/>
      <c r="D50" s="35" t="n"/>
      <c r="E50" s="35" t="n"/>
      <c r="F50" s="35" t="n"/>
      <c r="G50" s="35" t="n"/>
      <c r="H50" s="35" t="n"/>
      <c r="I50" s="35" t="n"/>
      <c r="J50" s="35" t="n"/>
      <c r="K50" s="35" t="n"/>
      <c r="L50" s="35" t="n"/>
      <c r="M50" s="35" t="n"/>
      <c r="N50" s="35" t="n"/>
      <c r="O50" s="36" t="str">
        <f>IF(OR(C50="",E50=""),"",INDEX(Lists!$B$2:$B$11,MATCH(E50,Lists!$A$2:$A$11,0)))</f>
        <v/>
      </c>
      <c r="P50" s="37" t="str">
        <f>IF(O50="","",INDEX(Lists!$C$2:$C$11,MATCH(O50,Lists!$B$2:$B$11,0)))</f>
        <v/>
      </c>
      <c r="Q50" s="37" t="str">
        <f>IF(O50="","",INDEX(Lists!$D$2:$D$11,MATCH(O50,Lists!$B$2:$B$11,0)))</f>
        <v/>
      </c>
      <c r="R50" s="37" t="str">
        <f>IF(OR(O50="",I50=""),"",IF(INDEX(Lists!$N$2:$N$5,MATCH(I50,Lists!$M$2:$M$5,0))&gt;=INDEX(Lists!$E$2:$E$11,MATCH(O50,Lists!$B$2:$B$11,0)),"Data ready","Data gap"))</f>
        <v/>
      </c>
      <c r="S50" s="36" t="str">
        <f>IF(O50="","",IF(P50&lt;=IF('1. AI Position'!$C$30="",5,INDEX(Lists!$AI$2:$AI$5,'1. AI Position'!$C$30)),"Within current position","Beyond current position"))</f>
        <v/>
      </c>
      <c r="T50" s="38" t="str">
        <f>IF(O50="","",IF(COUNTA(E50:N50)&lt;10,"Complete inputs",IF(H50="No - varies by person / team","Redesign / standardise first",IF(Q50="No","Automate - AI not needed",IF(R50="Data gap","AI later - close data gap first",IF(S50="Beyond current position","Stretch - partner or later stage","AI fit now"))))))</f>
        <v/>
      </c>
      <c r="U50" s="39" t="str">
        <f>IF(OR(T50="",T50="Complete inputs"),"",ROUND(0.3*INDEX(Lists!$N$8:$N$10,MATCH(F50,Lists!$M$8:$M$10,0))+0.25*IF(G50&lt;20,1,IF(G50&lt;80,2,IF(G50&lt;160,3,IF(G50&lt;480,4,5))))+0.25*J50+0.2*K50,2))</f>
        <v/>
      </c>
      <c r="V50" s="39" t="str">
        <f>IF(U50="","",ROUND(0.3*IF(R50="Data ready",5,IF(INDEX(Lists!$N$2:$N$5,MATCH(I50,Lists!$M$2:$M$5,0))=INDEX(Lists!$E$2:$E$11,MATCH(O50,Lists!$B$2:$B$11,0))-1,3,1))+0.25*INDEX(Lists!$N$13:$N$15,MATCH(H50,Lists!$M$13:$M$15,0))+0.25*(6-P50)+0.2*IF(S50="Within current position",5,2),2))</f>
        <v/>
      </c>
      <c r="W50" s="37" t="str">
        <f>IF(U50="","",IF(Q50="No",IF(L50="Yes","Medium","Low"),IF(IF(L50="Yes",2,0)+IF(M50="Yes",1,0)+INDEX(Lists!$N$18:$N$20,MATCH(N50,Lists!$M$18:$M$20,0))+IF(K50=5,2,IF(K50&gt;=4,1,0))&gt;=4,"High",IF(IF(L50="Yes",2,0)+IF(M50="Yes",1,0)+INDEX(Lists!$N$18:$N$20,MATCH(N50,Lists!$M$18:$M$20,0))+IF(K50=5,2,IF(K50&gt;=4,1,0))&gt;=2,"Medium","Low"))))</f>
        <v/>
      </c>
      <c r="X50" s="37" t="str">
        <f>IF(U50="","",IF(AND(U50&gt;=$D$4,V50&gt;=$D$4),"Quick win",IF(U50&gt;=$D$4,"Strategic bet",IF(V50&gt;=$D$4,"Fill-in","Deprioritise"))))</f>
        <v/>
      </c>
      <c r="Y50" s="39" t="str">
        <f>IF(U50="","",ROUND(U50*V50*IF(W50="High",0.85,1)*IF(T50="Redesign / standardise first",0.8,1),2))</f>
        <v/>
      </c>
      <c r="Z50" s="40" t="str">
        <f>IF(Y50="","",RANK(Y50,$Y$8:$Y$57)+COUNTIF($Y$7:Y49,Y50))</f>
        <v/>
      </c>
      <c r="AA50" s="36" t="str">
        <f>IF(AC50="","",INDEX(Lists!$AV$2:$AV$5,AC50))</f>
        <v/>
      </c>
      <c r="AB50" s="41" t="str">
        <f>IF(Y50="","",ROUND(G50*12*INDEX(Lists!$F$2:$F$11,MATCH(O50,Lists!$B$2:$B$11,0)),0))</f>
        <v/>
      </c>
      <c r="AC50" s="37" t="str">
        <f>IF(Y50="","",IF(X50="Deprioritise",4,IF(T50="AI later - close data gap first",3,IF(OR(T50="Redesign / standardise first",T50="Stretch - partner or later stage",X50="Strategic bet"),2,1))))</f>
        <v/>
      </c>
      <c r="AD50" s="37" t="str">
        <f>IF(Z50="","",AC50*100+Z50)</f>
        <v/>
      </c>
    </row>
    <row r="51" ht="40" customHeight="1">
      <c r="A51" s="14" t="n">
        <v>44</v>
      </c>
      <c r="B51" s="35" t="n"/>
      <c r="C51" s="35" t="n"/>
      <c r="D51" s="35" t="n"/>
      <c r="E51" s="35" t="n"/>
      <c r="F51" s="35" t="n"/>
      <c r="G51" s="35" t="n"/>
      <c r="H51" s="35" t="n"/>
      <c r="I51" s="35" t="n"/>
      <c r="J51" s="35" t="n"/>
      <c r="K51" s="35" t="n"/>
      <c r="L51" s="35" t="n"/>
      <c r="M51" s="35" t="n"/>
      <c r="N51" s="35" t="n"/>
      <c r="O51" s="36" t="str">
        <f>IF(OR(C51="",E51=""),"",INDEX(Lists!$B$2:$B$11,MATCH(E51,Lists!$A$2:$A$11,0)))</f>
        <v/>
      </c>
      <c r="P51" s="37" t="str">
        <f>IF(O51="","",INDEX(Lists!$C$2:$C$11,MATCH(O51,Lists!$B$2:$B$11,0)))</f>
        <v/>
      </c>
      <c r="Q51" s="37" t="str">
        <f>IF(O51="","",INDEX(Lists!$D$2:$D$11,MATCH(O51,Lists!$B$2:$B$11,0)))</f>
        <v/>
      </c>
      <c r="R51" s="37" t="str">
        <f>IF(OR(O51="",I51=""),"",IF(INDEX(Lists!$N$2:$N$5,MATCH(I51,Lists!$M$2:$M$5,0))&gt;=INDEX(Lists!$E$2:$E$11,MATCH(O51,Lists!$B$2:$B$11,0)),"Data ready","Data gap"))</f>
        <v/>
      </c>
      <c r="S51" s="36" t="str">
        <f>IF(O51="","",IF(P51&lt;=IF('1. AI Position'!$C$30="",5,INDEX(Lists!$AI$2:$AI$5,'1. AI Position'!$C$30)),"Within current position","Beyond current position"))</f>
        <v/>
      </c>
      <c r="T51" s="38" t="str">
        <f>IF(O51="","",IF(COUNTA(E51:N51)&lt;10,"Complete inputs",IF(H51="No - varies by person / team","Redesign / standardise first",IF(Q51="No","Automate - AI not needed",IF(R51="Data gap","AI later - close data gap first",IF(S51="Beyond current position","Stretch - partner or later stage","AI fit now"))))))</f>
        <v/>
      </c>
      <c r="U51" s="39" t="str">
        <f>IF(OR(T51="",T51="Complete inputs"),"",ROUND(0.3*INDEX(Lists!$N$8:$N$10,MATCH(F51,Lists!$M$8:$M$10,0))+0.25*IF(G51&lt;20,1,IF(G51&lt;80,2,IF(G51&lt;160,3,IF(G51&lt;480,4,5))))+0.25*J51+0.2*K51,2))</f>
        <v/>
      </c>
      <c r="V51" s="39" t="str">
        <f>IF(U51="","",ROUND(0.3*IF(R51="Data ready",5,IF(INDEX(Lists!$N$2:$N$5,MATCH(I51,Lists!$M$2:$M$5,0))=INDEX(Lists!$E$2:$E$11,MATCH(O51,Lists!$B$2:$B$11,0))-1,3,1))+0.25*INDEX(Lists!$N$13:$N$15,MATCH(H51,Lists!$M$13:$M$15,0))+0.25*(6-P51)+0.2*IF(S51="Within current position",5,2),2))</f>
        <v/>
      </c>
      <c r="W51" s="37" t="str">
        <f>IF(U51="","",IF(Q51="No",IF(L51="Yes","Medium","Low"),IF(IF(L51="Yes",2,0)+IF(M51="Yes",1,0)+INDEX(Lists!$N$18:$N$20,MATCH(N51,Lists!$M$18:$M$20,0))+IF(K51=5,2,IF(K51&gt;=4,1,0))&gt;=4,"High",IF(IF(L51="Yes",2,0)+IF(M51="Yes",1,0)+INDEX(Lists!$N$18:$N$20,MATCH(N51,Lists!$M$18:$M$20,0))+IF(K51=5,2,IF(K51&gt;=4,1,0))&gt;=2,"Medium","Low"))))</f>
        <v/>
      </c>
      <c r="X51" s="37" t="str">
        <f>IF(U51="","",IF(AND(U51&gt;=$D$4,V51&gt;=$D$4),"Quick win",IF(U51&gt;=$D$4,"Strategic bet",IF(V51&gt;=$D$4,"Fill-in","Deprioritise"))))</f>
        <v/>
      </c>
      <c r="Y51" s="39" t="str">
        <f>IF(U51="","",ROUND(U51*V51*IF(W51="High",0.85,1)*IF(T51="Redesign / standardise first",0.8,1),2))</f>
        <v/>
      </c>
      <c r="Z51" s="40" t="str">
        <f>IF(Y51="","",RANK(Y51,$Y$8:$Y$57)+COUNTIF($Y$7:Y50,Y51))</f>
        <v/>
      </c>
      <c r="AA51" s="36" t="str">
        <f>IF(AC51="","",INDEX(Lists!$AV$2:$AV$5,AC51))</f>
        <v/>
      </c>
      <c r="AB51" s="41" t="str">
        <f>IF(Y51="","",ROUND(G51*12*INDEX(Lists!$F$2:$F$11,MATCH(O51,Lists!$B$2:$B$11,0)),0))</f>
        <v/>
      </c>
      <c r="AC51" s="37" t="str">
        <f>IF(Y51="","",IF(X51="Deprioritise",4,IF(T51="AI later - close data gap first",3,IF(OR(T51="Redesign / standardise first",T51="Stretch - partner or later stage",X51="Strategic bet"),2,1))))</f>
        <v/>
      </c>
      <c r="AD51" s="37" t="str">
        <f>IF(Z51="","",AC51*100+Z51)</f>
        <v/>
      </c>
    </row>
    <row r="52" ht="40" customHeight="1">
      <c r="A52" s="14" t="n">
        <v>45</v>
      </c>
      <c r="B52" s="35" t="n"/>
      <c r="C52" s="35" t="n"/>
      <c r="D52" s="35" t="n"/>
      <c r="E52" s="35" t="n"/>
      <c r="F52" s="35" t="n"/>
      <c r="G52" s="35" t="n"/>
      <c r="H52" s="35" t="n"/>
      <c r="I52" s="35" t="n"/>
      <c r="J52" s="35" t="n"/>
      <c r="K52" s="35" t="n"/>
      <c r="L52" s="35" t="n"/>
      <c r="M52" s="35" t="n"/>
      <c r="N52" s="35" t="n"/>
      <c r="O52" s="36" t="str">
        <f>IF(OR(C52="",E52=""),"",INDEX(Lists!$B$2:$B$11,MATCH(E52,Lists!$A$2:$A$11,0)))</f>
        <v/>
      </c>
      <c r="P52" s="37" t="str">
        <f>IF(O52="","",INDEX(Lists!$C$2:$C$11,MATCH(O52,Lists!$B$2:$B$11,0)))</f>
        <v/>
      </c>
      <c r="Q52" s="37" t="str">
        <f>IF(O52="","",INDEX(Lists!$D$2:$D$11,MATCH(O52,Lists!$B$2:$B$11,0)))</f>
        <v/>
      </c>
      <c r="R52" s="37" t="str">
        <f>IF(OR(O52="",I52=""),"",IF(INDEX(Lists!$N$2:$N$5,MATCH(I52,Lists!$M$2:$M$5,0))&gt;=INDEX(Lists!$E$2:$E$11,MATCH(O52,Lists!$B$2:$B$11,0)),"Data ready","Data gap"))</f>
        <v/>
      </c>
      <c r="S52" s="36" t="str">
        <f>IF(O52="","",IF(P52&lt;=IF('1. AI Position'!$C$30="",5,INDEX(Lists!$AI$2:$AI$5,'1. AI Position'!$C$30)),"Within current position","Beyond current position"))</f>
        <v/>
      </c>
      <c r="T52" s="38" t="str">
        <f>IF(O52="","",IF(COUNTA(E52:N52)&lt;10,"Complete inputs",IF(H52="No - varies by person / team","Redesign / standardise first",IF(Q52="No","Automate - AI not needed",IF(R52="Data gap","AI later - close data gap first",IF(S52="Beyond current position","Stretch - partner or later stage","AI fit now"))))))</f>
        <v/>
      </c>
      <c r="U52" s="39" t="str">
        <f>IF(OR(T52="",T52="Complete inputs"),"",ROUND(0.3*INDEX(Lists!$N$8:$N$10,MATCH(F52,Lists!$M$8:$M$10,0))+0.25*IF(G52&lt;20,1,IF(G52&lt;80,2,IF(G52&lt;160,3,IF(G52&lt;480,4,5))))+0.25*J52+0.2*K52,2))</f>
        <v/>
      </c>
      <c r="V52" s="39" t="str">
        <f>IF(U52="","",ROUND(0.3*IF(R52="Data ready",5,IF(INDEX(Lists!$N$2:$N$5,MATCH(I52,Lists!$M$2:$M$5,0))=INDEX(Lists!$E$2:$E$11,MATCH(O52,Lists!$B$2:$B$11,0))-1,3,1))+0.25*INDEX(Lists!$N$13:$N$15,MATCH(H52,Lists!$M$13:$M$15,0))+0.25*(6-P52)+0.2*IF(S52="Within current position",5,2),2))</f>
        <v/>
      </c>
      <c r="W52" s="37" t="str">
        <f>IF(U52="","",IF(Q52="No",IF(L52="Yes","Medium","Low"),IF(IF(L52="Yes",2,0)+IF(M52="Yes",1,0)+INDEX(Lists!$N$18:$N$20,MATCH(N52,Lists!$M$18:$M$20,0))+IF(K52=5,2,IF(K52&gt;=4,1,0))&gt;=4,"High",IF(IF(L52="Yes",2,0)+IF(M52="Yes",1,0)+INDEX(Lists!$N$18:$N$20,MATCH(N52,Lists!$M$18:$M$20,0))+IF(K52=5,2,IF(K52&gt;=4,1,0))&gt;=2,"Medium","Low"))))</f>
        <v/>
      </c>
      <c r="X52" s="37" t="str">
        <f>IF(U52="","",IF(AND(U52&gt;=$D$4,V52&gt;=$D$4),"Quick win",IF(U52&gt;=$D$4,"Strategic bet",IF(V52&gt;=$D$4,"Fill-in","Deprioritise"))))</f>
        <v/>
      </c>
      <c r="Y52" s="39" t="str">
        <f>IF(U52="","",ROUND(U52*V52*IF(W52="High",0.85,1)*IF(T52="Redesign / standardise first",0.8,1),2))</f>
        <v/>
      </c>
      <c r="Z52" s="40" t="str">
        <f>IF(Y52="","",RANK(Y52,$Y$8:$Y$57)+COUNTIF($Y$7:Y51,Y52))</f>
        <v/>
      </c>
      <c r="AA52" s="36" t="str">
        <f>IF(AC52="","",INDEX(Lists!$AV$2:$AV$5,AC52))</f>
        <v/>
      </c>
      <c r="AB52" s="41" t="str">
        <f>IF(Y52="","",ROUND(G52*12*INDEX(Lists!$F$2:$F$11,MATCH(O52,Lists!$B$2:$B$11,0)),0))</f>
        <v/>
      </c>
      <c r="AC52" s="37" t="str">
        <f>IF(Y52="","",IF(X52="Deprioritise",4,IF(T52="AI later - close data gap first",3,IF(OR(T52="Redesign / standardise first",T52="Stretch - partner or later stage",X52="Strategic bet"),2,1))))</f>
        <v/>
      </c>
      <c r="AD52" s="37" t="str">
        <f>IF(Z52="","",AC52*100+Z52)</f>
        <v/>
      </c>
    </row>
    <row r="53" ht="40" customHeight="1">
      <c r="A53" s="14" t="n">
        <v>46</v>
      </c>
      <c r="B53" s="35" t="n"/>
      <c r="C53" s="35" t="n"/>
      <c r="D53" s="35" t="n"/>
      <c r="E53" s="35" t="n"/>
      <c r="F53" s="35" t="n"/>
      <c r="G53" s="35" t="n"/>
      <c r="H53" s="35" t="n"/>
      <c r="I53" s="35" t="n"/>
      <c r="J53" s="35" t="n"/>
      <c r="K53" s="35" t="n"/>
      <c r="L53" s="35" t="n"/>
      <c r="M53" s="35" t="n"/>
      <c r="N53" s="35" t="n"/>
      <c r="O53" s="36" t="str">
        <f>IF(OR(C53="",E53=""),"",INDEX(Lists!$B$2:$B$11,MATCH(E53,Lists!$A$2:$A$11,0)))</f>
        <v/>
      </c>
      <c r="P53" s="37" t="str">
        <f>IF(O53="","",INDEX(Lists!$C$2:$C$11,MATCH(O53,Lists!$B$2:$B$11,0)))</f>
        <v/>
      </c>
      <c r="Q53" s="37" t="str">
        <f>IF(O53="","",INDEX(Lists!$D$2:$D$11,MATCH(O53,Lists!$B$2:$B$11,0)))</f>
        <v/>
      </c>
      <c r="R53" s="37" t="str">
        <f>IF(OR(O53="",I53=""),"",IF(INDEX(Lists!$N$2:$N$5,MATCH(I53,Lists!$M$2:$M$5,0))&gt;=INDEX(Lists!$E$2:$E$11,MATCH(O53,Lists!$B$2:$B$11,0)),"Data ready","Data gap"))</f>
        <v/>
      </c>
      <c r="S53" s="36" t="str">
        <f>IF(O53="","",IF(P53&lt;=IF('1. AI Position'!$C$30="",5,INDEX(Lists!$AI$2:$AI$5,'1. AI Position'!$C$30)),"Within current position","Beyond current position"))</f>
        <v/>
      </c>
      <c r="T53" s="38" t="str">
        <f>IF(O53="","",IF(COUNTA(E53:N53)&lt;10,"Complete inputs",IF(H53="No - varies by person / team","Redesign / standardise first",IF(Q53="No","Automate - AI not needed",IF(R53="Data gap","AI later - close data gap first",IF(S53="Beyond current position","Stretch - partner or later stage","AI fit now"))))))</f>
        <v/>
      </c>
      <c r="U53" s="39" t="str">
        <f>IF(OR(T53="",T53="Complete inputs"),"",ROUND(0.3*INDEX(Lists!$N$8:$N$10,MATCH(F53,Lists!$M$8:$M$10,0))+0.25*IF(G53&lt;20,1,IF(G53&lt;80,2,IF(G53&lt;160,3,IF(G53&lt;480,4,5))))+0.25*J53+0.2*K53,2))</f>
        <v/>
      </c>
      <c r="V53" s="39" t="str">
        <f>IF(U53="","",ROUND(0.3*IF(R53="Data ready",5,IF(INDEX(Lists!$N$2:$N$5,MATCH(I53,Lists!$M$2:$M$5,0))=INDEX(Lists!$E$2:$E$11,MATCH(O53,Lists!$B$2:$B$11,0))-1,3,1))+0.25*INDEX(Lists!$N$13:$N$15,MATCH(H53,Lists!$M$13:$M$15,0))+0.25*(6-P53)+0.2*IF(S53="Within current position",5,2),2))</f>
        <v/>
      </c>
      <c r="W53" s="37" t="str">
        <f>IF(U53="","",IF(Q53="No",IF(L53="Yes","Medium","Low"),IF(IF(L53="Yes",2,0)+IF(M53="Yes",1,0)+INDEX(Lists!$N$18:$N$20,MATCH(N53,Lists!$M$18:$M$20,0))+IF(K53=5,2,IF(K53&gt;=4,1,0))&gt;=4,"High",IF(IF(L53="Yes",2,0)+IF(M53="Yes",1,0)+INDEX(Lists!$N$18:$N$20,MATCH(N53,Lists!$M$18:$M$20,0))+IF(K53=5,2,IF(K53&gt;=4,1,0))&gt;=2,"Medium","Low"))))</f>
        <v/>
      </c>
      <c r="X53" s="37" t="str">
        <f>IF(U53="","",IF(AND(U53&gt;=$D$4,V53&gt;=$D$4),"Quick win",IF(U53&gt;=$D$4,"Strategic bet",IF(V53&gt;=$D$4,"Fill-in","Deprioritise"))))</f>
        <v/>
      </c>
      <c r="Y53" s="39" t="str">
        <f>IF(U53="","",ROUND(U53*V53*IF(W53="High",0.85,1)*IF(T53="Redesign / standardise first",0.8,1),2))</f>
        <v/>
      </c>
      <c r="Z53" s="40" t="str">
        <f>IF(Y53="","",RANK(Y53,$Y$8:$Y$57)+COUNTIF($Y$7:Y52,Y53))</f>
        <v/>
      </c>
      <c r="AA53" s="36" t="str">
        <f>IF(AC53="","",INDEX(Lists!$AV$2:$AV$5,AC53))</f>
        <v/>
      </c>
      <c r="AB53" s="41" t="str">
        <f>IF(Y53="","",ROUND(G53*12*INDEX(Lists!$F$2:$F$11,MATCH(O53,Lists!$B$2:$B$11,0)),0))</f>
        <v/>
      </c>
      <c r="AC53" s="37" t="str">
        <f>IF(Y53="","",IF(X53="Deprioritise",4,IF(T53="AI later - close data gap first",3,IF(OR(T53="Redesign / standardise first",T53="Stretch - partner or later stage",X53="Strategic bet"),2,1))))</f>
        <v/>
      </c>
      <c r="AD53" s="37" t="str">
        <f>IF(Z53="","",AC53*100+Z53)</f>
        <v/>
      </c>
    </row>
    <row r="54" ht="40" customHeight="1">
      <c r="A54" s="14" t="n">
        <v>47</v>
      </c>
      <c r="B54" s="35" t="n"/>
      <c r="C54" s="35" t="n"/>
      <c r="D54" s="35" t="n"/>
      <c r="E54" s="35" t="n"/>
      <c r="F54" s="35" t="n"/>
      <c r="G54" s="35" t="n"/>
      <c r="H54" s="35" t="n"/>
      <c r="I54" s="35" t="n"/>
      <c r="J54" s="35" t="n"/>
      <c r="K54" s="35" t="n"/>
      <c r="L54" s="35" t="n"/>
      <c r="M54" s="35" t="n"/>
      <c r="N54" s="35" t="n"/>
      <c r="O54" s="36" t="str">
        <f>IF(OR(C54="",E54=""),"",INDEX(Lists!$B$2:$B$11,MATCH(E54,Lists!$A$2:$A$11,0)))</f>
        <v/>
      </c>
      <c r="P54" s="37" t="str">
        <f>IF(O54="","",INDEX(Lists!$C$2:$C$11,MATCH(O54,Lists!$B$2:$B$11,0)))</f>
        <v/>
      </c>
      <c r="Q54" s="37" t="str">
        <f>IF(O54="","",INDEX(Lists!$D$2:$D$11,MATCH(O54,Lists!$B$2:$B$11,0)))</f>
        <v/>
      </c>
      <c r="R54" s="37" t="str">
        <f>IF(OR(O54="",I54=""),"",IF(INDEX(Lists!$N$2:$N$5,MATCH(I54,Lists!$M$2:$M$5,0))&gt;=INDEX(Lists!$E$2:$E$11,MATCH(O54,Lists!$B$2:$B$11,0)),"Data ready","Data gap"))</f>
        <v/>
      </c>
      <c r="S54" s="36" t="str">
        <f>IF(O54="","",IF(P54&lt;=IF('1. AI Position'!$C$30="",5,INDEX(Lists!$AI$2:$AI$5,'1. AI Position'!$C$30)),"Within current position","Beyond current position"))</f>
        <v/>
      </c>
      <c r="T54" s="38" t="str">
        <f>IF(O54="","",IF(COUNTA(E54:N54)&lt;10,"Complete inputs",IF(H54="No - varies by person / team","Redesign / standardise first",IF(Q54="No","Automate - AI not needed",IF(R54="Data gap","AI later - close data gap first",IF(S54="Beyond current position","Stretch - partner or later stage","AI fit now"))))))</f>
        <v/>
      </c>
      <c r="U54" s="39" t="str">
        <f>IF(OR(T54="",T54="Complete inputs"),"",ROUND(0.3*INDEX(Lists!$N$8:$N$10,MATCH(F54,Lists!$M$8:$M$10,0))+0.25*IF(G54&lt;20,1,IF(G54&lt;80,2,IF(G54&lt;160,3,IF(G54&lt;480,4,5))))+0.25*J54+0.2*K54,2))</f>
        <v/>
      </c>
      <c r="V54" s="39" t="str">
        <f>IF(U54="","",ROUND(0.3*IF(R54="Data ready",5,IF(INDEX(Lists!$N$2:$N$5,MATCH(I54,Lists!$M$2:$M$5,0))=INDEX(Lists!$E$2:$E$11,MATCH(O54,Lists!$B$2:$B$11,0))-1,3,1))+0.25*INDEX(Lists!$N$13:$N$15,MATCH(H54,Lists!$M$13:$M$15,0))+0.25*(6-P54)+0.2*IF(S54="Within current position",5,2),2))</f>
        <v/>
      </c>
      <c r="W54" s="37" t="str">
        <f>IF(U54="","",IF(Q54="No",IF(L54="Yes","Medium","Low"),IF(IF(L54="Yes",2,0)+IF(M54="Yes",1,0)+INDEX(Lists!$N$18:$N$20,MATCH(N54,Lists!$M$18:$M$20,0))+IF(K54=5,2,IF(K54&gt;=4,1,0))&gt;=4,"High",IF(IF(L54="Yes",2,0)+IF(M54="Yes",1,0)+INDEX(Lists!$N$18:$N$20,MATCH(N54,Lists!$M$18:$M$20,0))+IF(K54=5,2,IF(K54&gt;=4,1,0))&gt;=2,"Medium","Low"))))</f>
        <v/>
      </c>
      <c r="X54" s="37" t="str">
        <f>IF(U54="","",IF(AND(U54&gt;=$D$4,V54&gt;=$D$4),"Quick win",IF(U54&gt;=$D$4,"Strategic bet",IF(V54&gt;=$D$4,"Fill-in","Deprioritise"))))</f>
        <v/>
      </c>
      <c r="Y54" s="39" t="str">
        <f>IF(U54="","",ROUND(U54*V54*IF(W54="High",0.85,1)*IF(T54="Redesign / standardise first",0.8,1),2))</f>
        <v/>
      </c>
      <c r="Z54" s="40" t="str">
        <f>IF(Y54="","",RANK(Y54,$Y$8:$Y$57)+COUNTIF($Y$7:Y53,Y54))</f>
        <v/>
      </c>
      <c r="AA54" s="36" t="str">
        <f>IF(AC54="","",INDEX(Lists!$AV$2:$AV$5,AC54))</f>
        <v/>
      </c>
      <c r="AB54" s="41" t="str">
        <f>IF(Y54="","",ROUND(G54*12*INDEX(Lists!$F$2:$F$11,MATCH(O54,Lists!$B$2:$B$11,0)),0))</f>
        <v/>
      </c>
      <c r="AC54" s="37" t="str">
        <f>IF(Y54="","",IF(X54="Deprioritise",4,IF(T54="AI later - close data gap first",3,IF(OR(T54="Redesign / standardise first",T54="Stretch - partner or later stage",X54="Strategic bet"),2,1))))</f>
        <v/>
      </c>
      <c r="AD54" s="37" t="str">
        <f>IF(Z54="","",AC54*100+Z54)</f>
        <v/>
      </c>
    </row>
    <row r="55" ht="40" customHeight="1">
      <c r="A55" s="14" t="n">
        <v>48</v>
      </c>
      <c r="B55" s="35" t="n"/>
      <c r="C55" s="35" t="n"/>
      <c r="D55" s="35" t="n"/>
      <c r="E55" s="35" t="n"/>
      <c r="F55" s="35" t="n"/>
      <c r="G55" s="35" t="n"/>
      <c r="H55" s="35" t="n"/>
      <c r="I55" s="35" t="n"/>
      <c r="J55" s="35" t="n"/>
      <c r="K55" s="35" t="n"/>
      <c r="L55" s="35" t="n"/>
      <c r="M55" s="35" t="n"/>
      <c r="N55" s="35" t="n"/>
      <c r="O55" s="36" t="str">
        <f>IF(OR(C55="",E55=""),"",INDEX(Lists!$B$2:$B$11,MATCH(E55,Lists!$A$2:$A$11,0)))</f>
        <v/>
      </c>
      <c r="P55" s="37" t="str">
        <f>IF(O55="","",INDEX(Lists!$C$2:$C$11,MATCH(O55,Lists!$B$2:$B$11,0)))</f>
        <v/>
      </c>
      <c r="Q55" s="37" t="str">
        <f>IF(O55="","",INDEX(Lists!$D$2:$D$11,MATCH(O55,Lists!$B$2:$B$11,0)))</f>
        <v/>
      </c>
      <c r="R55" s="37" t="str">
        <f>IF(OR(O55="",I55=""),"",IF(INDEX(Lists!$N$2:$N$5,MATCH(I55,Lists!$M$2:$M$5,0))&gt;=INDEX(Lists!$E$2:$E$11,MATCH(O55,Lists!$B$2:$B$11,0)),"Data ready","Data gap"))</f>
        <v/>
      </c>
      <c r="S55" s="36" t="str">
        <f>IF(O55="","",IF(P55&lt;=IF('1. AI Position'!$C$30="",5,INDEX(Lists!$AI$2:$AI$5,'1. AI Position'!$C$30)),"Within current position","Beyond current position"))</f>
        <v/>
      </c>
      <c r="T55" s="38" t="str">
        <f>IF(O55="","",IF(COUNTA(E55:N55)&lt;10,"Complete inputs",IF(H55="No - varies by person / team","Redesign / standardise first",IF(Q55="No","Automate - AI not needed",IF(R55="Data gap","AI later - close data gap first",IF(S55="Beyond current position","Stretch - partner or later stage","AI fit now"))))))</f>
        <v/>
      </c>
      <c r="U55" s="39" t="str">
        <f>IF(OR(T55="",T55="Complete inputs"),"",ROUND(0.3*INDEX(Lists!$N$8:$N$10,MATCH(F55,Lists!$M$8:$M$10,0))+0.25*IF(G55&lt;20,1,IF(G55&lt;80,2,IF(G55&lt;160,3,IF(G55&lt;480,4,5))))+0.25*J55+0.2*K55,2))</f>
        <v/>
      </c>
      <c r="V55" s="39" t="str">
        <f>IF(U55="","",ROUND(0.3*IF(R55="Data ready",5,IF(INDEX(Lists!$N$2:$N$5,MATCH(I55,Lists!$M$2:$M$5,0))=INDEX(Lists!$E$2:$E$11,MATCH(O55,Lists!$B$2:$B$11,0))-1,3,1))+0.25*INDEX(Lists!$N$13:$N$15,MATCH(H55,Lists!$M$13:$M$15,0))+0.25*(6-P55)+0.2*IF(S55="Within current position",5,2),2))</f>
        <v/>
      </c>
      <c r="W55" s="37" t="str">
        <f>IF(U55="","",IF(Q55="No",IF(L55="Yes","Medium","Low"),IF(IF(L55="Yes",2,0)+IF(M55="Yes",1,0)+INDEX(Lists!$N$18:$N$20,MATCH(N55,Lists!$M$18:$M$20,0))+IF(K55=5,2,IF(K55&gt;=4,1,0))&gt;=4,"High",IF(IF(L55="Yes",2,0)+IF(M55="Yes",1,0)+INDEX(Lists!$N$18:$N$20,MATCH(N55,Lists!$M$18:$M$20,0))+IF(K55=5,2,IF(K55&gt;=4,1,0))&gt;=2,"Medium","Low"))))</f>
        <v/>
      </c>
      <c r="X55" s="37" t="str">
        <f>IF(U55="","",IF(AND(U55&gt;=$D$4,V55&gt;=$D$4),"Quick win",IF(U55&gt;=$D$4,"Strategic bet",IF(V55&gt;=$D$4,"Fill-in","Deprioritise"))))</f>
        <v/>
      </c>
      <c r="Y55" s="39" t="str">
        <f>IF(U55="","",ROUND(U55*V55*IF(W55="High",0.85,1)*IF(T55="Redesign / standardise first",0.8,1),2))</f>
        <v/>
      </c>
      <c r="Z55" s="40" t="str">
        <f>IF(Y55="","",RANK(Y55,$Y$8:$Y$57)+COUNTIF($Y$7:Y54,Y55))</f>
        <v/>
      </c>
      <c r="AA55" s="36" t="str">
        <f>IF(AC55="","",INDEX(Lists!$AV$2:$AV$5,AC55))</f>
        <v/>
      </c>
      <c r="AB55" s="41" t="str">
        <f>IF(Y55="","",ROUND(G55*12*INDEX(Lists!$F$2:$F$11,MATCH(O55,Lists!$B$2:$B$11,0)),0))</f>
        <v/>
      </c>
      <c r="AC55" s="37" t="str">
        <f>IF(Y55="","",IF(X55="Deprioritise",4,IF(T55="AI later - close data gap first",3,IF(OR(T55="Redesign / standardise first",T55="Stretch - partner or later stage",X55="Strategic bet"),2,1))))</f>
        <v/>
      </c>
      <c r="AD55" s="37" t="str">
        <f>IF(Z55="","",AC55*100+Z55)</f>
        <v/>
      </c>
    </row>
    <row r="56" ht="40" customHeight="1">
      <c r="A56" s="14" t="n">
        <v>49</v>
      </c>
      <c r="B56" s="35" t="n"/>
      <c r="C56" s="35" t="n"/>
      <c r="D56" s="35" t="n"/>
      <c r="E56" s="35" t="n"/>
      <c r="F56" s="35" t="n"/>
      <c r="G56" s="35" t="n"/>
      <c r="H56" s="35" t="n"/>
      <c r="I56" s="35" t="n"/>
      <c r="J56" s="35" t="n"/>
      <c r="K56" s="35" t="n"/>
      <c r="L56" s="35" t="n"/>
      <c r="M56" s="35" t="n"/>
      <c r="N56" s="35" t="n"/>
      <c r="O56" s="36" t="str">
        <f>IF(OR(C56="",E56=""),"",INDEX(Lists!$B$2:$B$11,MATCH(E56,Lists!$A$2:$A$11,0)))</f>
        <v/>
      </c>
      <c r="P56" s="37" t="str">
        <f>IF(O56="","",INDEX(Lists!$C$2:$C$11,MATCH(O56,Lists!$B$2:$B$11,0)))</f>
        <v/>
      </c>
      <c r="Q56" s="37" t="str">
        <f>IF(O56="","",INDEX(Lists!$D$2:$D$11,MATCH(O56,Lists!$B$2:$B$11,0)))</f>
        <v/>
      </c>
      <c r="R56" s="37" t="str">
        <f>IF(OR(O56="",I56=""),"",IF(INDEX(Lists!$N$2:$N$5,MATCH(I56,Lists!$M$2:$M$5,0))&gt;=INDEX(Lists!$E$2:$E$11,MATCH(O56,Lists!$B$2:$B$11,0)),"Data ready","Data gap"))</f>
        <v/>
      </c>
      <c r="S56" s="36" t="str">
        <f>IF(O56="","",IF(P56&lt;=IF('1. AI Position'!$C$30="",5,INDEX(Lists!$AI$2:$AI$5,'1. AI Position'!$C$30)),"Within current position","Beyond current position"))</f>
        <v/>
      </c>
      <c r="T56" s="38" t="str">
        <f>IF(O56="","",IF(COUNTA(E56:N56)&lt;10,"Complete inputs",IF(H56="No - varies by person / team","Redesign / standardise first",IF(Q56="No","Automate - AI not needed",IF(R56="Data gap","AI later - close data gap first",IF(S56="Beyond current position","Stretch - partner or later stage","AI fit now"))))))</f>
        <v/>
      </c>
      <c r="U56" s="39" t="str">
        <f>IF(OR(T56="",T56="Complete inputs"),"",ROUND(0.3*INDEX(Lists!$N$8:$N$10,MATCH(F56,Lists!$M$8:$M$10,0))+0.25*IF(G56&lt;20,1,IF(G56&lt;80,2,IF(G56&lt;160,3,IF(G56&lt;480,4,5))))+0.25*J56+0.2*K56,2))</f>
        <v/>
      </c>
      <c r="V56" s="39" t="str">
        <f>IF(U56="","",ROUND(0.3*IF(R56="Data ready",5,IF(INDEX(Lists!$N$2:$N$5,MATCH(I56,Lists!$M$2:$M$5,0))=INDEX(Lists!$E$2:$E$11,MATCH(O56,Lists!$B$2:$B$11,0))-1,3,1))+0.25*INDEX(Lists!$N$13:$N$15,MATCH(H56,Lists!$M$13:$M$15,0))+0.25*(6-P56)+0.2*IF(S56="Within current position",5,2),2))</f>
        <v/>
      </c>
      <c r="W56" s="37" t="str">
        <f>IF(U56="","",IF(Q56="No",IF(L56="Yes","Medium","Low"),IF(IF(L56="Yes",2,0)+IF(M56="Yes",1,0)+INDEX(Lists!$N$18:$N$20,MATCH(N56,Lists!$M$18:$M$20,0))+IF(K56=5,2,IF(K56&gt;=4,1,0))&gt;=4,"High",IF(IF(L56="Yes",2,0)+IF(M56="Yes",1,0)+INDEX(Lists!$N$18:$N$20,MATCH(N56,Lists!$M$18:$M$20,0))+IF(K56=5,2,IF(K56&gt;=4,1,0))&gt;=2,"Medium","Low"))))</f>
        <v/>
      </c>
      <c r="X56" s="37" t="str">
        <f>IF(U56="","",IF(AND(U56&gt;=$D$4,V56&gt;=$D$4),"Quick win",IF(U56&gt;=$D$4,"Strategic bet",IF(V56&gt;=$D$4,"Fill-in","Deprioritise"))))</f>
        <v/>
      </c>
      <c r="Y56" s="39" t="str">
        <f>IF(U56="","",ROUND(U56*V56*IF(W56="High",0.85,1)*IF(T56="Redesign / standardise first",0.8,1),2))</f>
        <v/>
      </c>
      <c r="Z56" s="40" t="str">
        <f>IF(Y56="","",RANK(Y56,$Y$8:$Y$57)+COUNTIF($Y$7:Y55,Y56))</f>
        <v/>
      </c>
      <c r="AA56" s="36" t="str">
        <f>IF(AC56="","",INDEX(Lists!$AV$2:$AV$5,AC56))</f>
        <v/>
      </c>
      <c r="AB56" s="41" t="str">
        <f>IF(Y56="","",ROUND(G56*12*INDEX(Lists!$F$2:$F$11,MATCH(O56,Lists!$B$2:$B$11,0)),0))</f>
        <v/>
      </c>
      <c r="AC56" s="37" t="str">
        <f>IF(Y56="","",IF(X56="Deprioritise",4,IF(T56="AI later - close data gap first",3,IF(OR(T56="Redesign / standardise first",T56="Stretch - partner or later stage",X56="Strategic bet"),2,1))))</f>
        <v/>
      </c>
      <c r="AD56" s="37" t="str">
        <f>IF(Z56="","",AC56*100+Z56)</f>
        <v/>
      </c>
    </row>
    <row r="57" ht="40" customHeight="1">
      <c r="A57" s="14" t="n">
        <v>50</v>
      </c>
      <c r="B57" s="35" t="n"/>
      <c r="C57" s="35" t="n"/>
      <c r="D57" s="35" t="n"/>
      <c r="E57" s="35" t="n"/>
      <c r="F57" s="35" t="n"/>
      <c r="G57" s="35" t="n"/>
      <c r="H57" s="35" t="n"/>
      <c r="I57" s="35" t="n"/>
      <c r="J57" s="35" t="n"/>
      <c r="K57" s="35" t="n"/>
      <c r="L57" s="35" t="n"/>
      <c r="M57" s="35" t="n"/>
      <c r="N57" s="35" t="n"/>
      <c r="O57" s="36" t="str">
        <f>IF(OR(C57="",E57=""),"",INDEX(Lists!$B$2:$B$11,MATCH(E57,Lists!$A$2:$A$11,0)))</f>
        <v/>
      </c>
      <c r="P57" s="37" t="str">
        <f>IF(O57="","",INDEX(Lists!$C$2:$C$11,MATCH(O57,Lists!$B$2:$B$11,0)))</f>
        <v/>
      </c>
      <c r="Q57" s="37" t="str">
        <f>IF(O57="","",INDEX(Lists!$D$2:$D$11,MATCH(O57,Lists!$B$2:$B$11,0)))</f>
        <v/>
      </c>
      <c r="R57" s="37" t="str">
        <f>IF(OR(O57="",I57=""),"",IF(INDEX(Lists!$N$2:$N$5,MATCH(I57,Lists!$M$2:$M$5,0))&gt;=INDEX(Lists!$E$2:$E$11,MATCH(O57,Lists!$B$2:$B$11,0)),"Data ready","Data gap"))</f>
        <v/>
      </c>
      <c r="S57" s="36" t="str">
        <f>IF(O57="","",IF(P57&lt;=IF('1. AI Position'!$C$30="",5,INDEX(Lists!$AI$2:$AI$5,'1. AI Position'!$C$30)),"Within current position","Beyond current position"))</f>
        <v/>
      </c>
      <c r="T57" s="38" t="str">
        <f>IF(O57="","",IF(COUNTA(E57:N57)&lt;10,"Complete inputs",IF(H57="No - varies by person / team","Redesign / standardise first",IF(Q57="No","Automate - AI not needed",IF(R57="Data gap","AI later - close data gap first",IF(S57="Beyond current position","Stretch - partner or later stage","AI fit now"))))))</f>
        <v/>
      </c>
      <c r="U57" s="39" t="str">
        <f>IF(OR(T57="",T57="Complete inputs"),"",ROUND(0.3*INDEX(Lists!$N$8:$N$10,MATCH(F57,Lists!$M$8:$M$10,0))+0.25*IF(G57&lt;20,1,IF(G57&lt;80,2,IF(G57&lt;160,3,IF(G57&lt;480,4,5))))+0.25*J57+0.2*K57,2))</f>
        <v/>
      </c>
      <c r="V57" s="39" t="str">
        <f>IF(U57="","",ROUND(0.3*IF(R57="Data ready",5,IF(INDEX(Lists!$N$2:$N$5,MATCH(I57,Lists!$M$2:$M$5,0))=INDEX(Lists!$E$2:$E$11,MATCH(O57,Lists!$B$2:$B$11,0))-1,3,1))+0.25*INDEX(Lists!$N$13:$N$15,MATCH(H57,Lists!$M$13:$M$15,0))+0.25*(6-P57)+0.2*IF(S57="Within current position",5,2),2))</f>
        <v/>
      </c>
      <c r="W57" s="37" t="str">
        <f>IF(U57="","",IF(Q57="No",IF(L57="Yes","Medium","Low"),IF(IF(L57="Yes",2,0)+IF(M57="Yes",1,0)+INDEX(Lists!$N$18:$N$20,MATCH(N57,Lists!$M$18:$M$20,0))+IF(K57=5,2,IF(K57&gt;=4,1,0))&gt;=4,"High",IF(IF(L57="Yes",2,0)+IF(M57="Yes",1,0)+INDEX(Lists!$N$18:$N$20,MATCH(N57,Lists!$M$18:$M$20,0))+IF(K57=5,2,IF(K57&gt;=4,1,0))&gt;=2,"Medium","Low"))))</f>
        <v/>
      </c>
      <c r="X57" s="37" t="str">
        <f>IF(U57="","",IF(AND(U57&gt;=$D$4,V57&gt;=$D$4),"Quick win",IF(U57&gt;=$D$4,"Strategic bet",IF(V57&gt;=$D$4,"Fill-in","Deprioritise"))))</f>
        <v/>
      </c>
      <c r="Y57" s="39" t="str">
        <f>IF(U57="","",ROUND(U57*V57*IF(W57="High",0.85,1)*IF(T57="Redesign / standardise first",0.8,1),2))</f>
        <v/>
      </c>
      <c r="Z57" s="40" t="str">
        <f>IF(Y57="","",RANK(Y57,$Y$8:$Y$57)+COUNTIF($Y$7:Y56,Y57))</f>
        <v/>
      </c>
      <c r="AA57" s="36" t="str">
        <f>IF(AC57="","",INDEX(Lists!$AV$2:$AV$5,AC57))</f>
        <v/>
      </c>
      <c r="AB57" s="41" t="str">
        <f>IF(Y57="","",ROUND(G57*12*INDEX(Lists!$F$2:$F$11,MATCH(O57,Lists!$B$2:$B$11,0)),0))</f>
        <v/>
      </c>
      <c r="AC57" s="37" t="str">
        <f>IF(Y57="","",IF(X57="Deprioritise",4,IF(T57="AI later - close data gap first",3,IF(OR(T57="Redesign / standardise first",T57="Stretch - partner or later stage",X57="Strategic bet"),2,1))))</f>
        <v/>
      </c>
      <c r="AD57" s="37" t="str">
        <f>IF(Z57="","",AC57*100+Z57)</f>
        <v/>
      </c>
    </row>
  </sheetData>
  <mergeCells count="8">
    <mergeCell ref="A6:N6"/>
    <mergeCell ref="B3:C3"/>
    <mergeCell ref="A2:AD2"/>
    <mergeCell ref="D3:F3"/>
    <mergeCell ref="O6:AB6"/>
    <mergeCell ref="H3:J3"/>
    <mergeCell ref="B4:C4"/>
    <mergeCell ref="A1:AD1"/>
  </mergeCells>
  <conditionalFormatting sqref="T8:T57">
    <cfRule type="cellIs" priority="1" operator="equal" dxfId="1">
      <formula>"AI fit now"</formula>
    </cfRule>
    <cfRule type="cellIs" priority="2" operator="equal" dxfId="2">
      <formula>"Automate - AI not needed"</formula>
    </cfRule>
    <cfRule type="cellIs" priority="3" operator="equal" dxfId="3">
      <formula>"AI later - close data gap first"</formula>
    </cfRule>
    <cfRule type="cellIs" priority="4" operator="equal" dxfId="4">
      <formula>"Stretch - partner or later stage"</formula>
    </cfRule>
    <cfRule type="cellIs" priority="5" operator="equal" dxfId="5">
      <formula>"Redesign / standardise first"</formula>
    </cfRule>
  </conditionalFormatting>
  <conditionalFormatting sqref="W8:W57">
    <cfRule type="cellIs" priority="6" operator="equal" dxfId="6">
      <formula>"Low"</formula>
    </cfRule>
    <cfRule type="cellIs" priority="7" operator="equal" dxfId="3">
      <formula>"Medium"</formula>
    </cfRule>
    <cfRule type="cellIs" priority="8" operator="equal" dxfId="4">
      <formula>"High"</formula>
    </cfRule>
  </conditionalFormatting>
  <conditionalFormatting sqref="R8:R57">
    <cfRule type="cellIs" priority="9" operator="equal" dxfId="7">
      <formula>"Data gap"</formula>
    </cfRule>
  </conditionalFormatting>
  <conditionalFormatting sqref="S8:S57">
    <cfRule type="cellIs" priority="10" operator="equal" dxfId="8">
      <formula>"Beyond current position"</formula>
    </cfRule>
  </conditionalFormatting>
  <conditionalFormatting sqref="X8:X57">
    <cfRule type="cellIs" priority="11" operator="equal" dxfId="1">
      <formula>"Quick win"</formula>
    </cfRule>
  </conditionalFormatting>
  <dataValidations count="9">
    <dataValidation sqref="B8:B57" showDropDown="0" showInputMessage="0" showErrorMessage="1" allowBlank="1" type="list">
      <formula1>=Lists!$P$2:$P$11</formula1>
    </dataValidation>
    <dataValidation sqref="E8:E57" showDropDown="0" showInputMessage="1" showErrorMessage="1" allowBlank="1" prompt="What is the work, essentially? This determines the solution family." type="list">
      <formula1>=Lists!$A$2:$A$11</formula1>
    </dataValidation>
    <dataValidation sqref="F8:F57" showDropDown="0" showInputMessage="0" showErrorMessage="1" allowBlank="1" type="list">
      <formula1>=Lists!$M$8:$M$10</formula1>
    </dataValidation>
    <dataValidation sqref="H8:H57" showDropDown="0" showInputMessage="0" showErrorMessage="1" allowBlank="1" type="list">
      <formula1>=Lists!$M$13:$M$15</formula1>
    </dataValidation>
    <dataValidation sqref="I8:I57" showDropDown="0" showInputMessage="0" showErrorMessage="1" allowBlank="1" type="list">
      <formula1>=Lists!$M$2:$M$5</formula1>
    </dataValidation>
    <dataValidation sqref="J8:K57" showDropDown="0" showInputMessage="0" showErrorMessage="1" allowBlank="1" type="list">
      <formula1>"1,2,3,4,5"</formula1>
    </dataValidation>
    <dataValidation sqref="L8:M57" showDropDown="0" showInputMessage="0" showErrorMessage="1" allowBlank="1" type="list">
      <formula1>=Lists!$M$23:$M$24</formula1>
    </dataValidation>
    <dataValidation sqref="N8:N57" showDropDown="0" showInputMessage="0" showErrorMessage="1" allowBlank="1" type="list">
      <formula1>=Lists!$M$18:$M$20</formula1>
    </dataValidation>
    <dataValidation sqref="G8:G57" showDropDown="0" showInputMessage="0" showErrorMessage="0" allowBlank="1" type="decimal" operator="between">
      <formula1>0</formula1>
      <formula2>100000</formula2>
    </dataValidation>
  </dataValidations>
  <printOptions gridLines="0"/>
  <pageMargins left="0.5" right="0.5" top="0.75" bottom="0.75" header="0.25" footer="0.25"/>
  <pageSetup orientation="landscape" paperSize="8" fitToHeight="0" fitToWidth="1"/>
  <headerFooter>
    <oddHeader/>
    <oddFooter>&amp;L&amp;8 GT AI Opportunity Discovery Toolkit&amp;R&amp;8 Page &amp;P of &amp;N</oddFooter>
    <evenHeader/>
    <evenFooter/>
    <firstHeader/>
    <firstFooter/>
  </headerFooter>
</worksheet>
</file>

<file path=xl/worksheets/sheet5.xml><?xml version="1.0" encoding="utf-8"?>
<worksheet xmlns="http://schemas.openxmlformats.org/spreadsheetml/2006/main">
  <sheetPr>
    <outlinePr summaryBelow="1" summaryRight="1"/>
    <pageSetUpPr fitToPage="1"/>
  </sheetPr>
  <dimension ref="A1:K68"/>
  <sheetViews>
    <sheetView showGridLines="0" workbookViewId="0">
      <selection activeCell="A1" sqref="A1"/>
    </sheetView>
  </sheetViews>
  <sheetFormatPr baseColWidth="8" defaultRowHeight="15"/>
  <cols>
    <col width="5" customWidth="1" min="1" max="1"/>
    <col width="30" customWidth="1" min="2" max="2"/>
    <col width="11" customWidth="1" min="3" max="3"/>
    <col width="11" customWidth="1" min="4" max="4"/>
    <col width="11" customWidth="1" min="5" max="5"/>
    <col width="11" customWidth="1" min="6" max="6"/>
    <col width="11" customWidth="1" min="7" max="7"/>
    <col width="11" customWidth="1" min="8" max="8"/>
    <col width="13" customWidth="1" min="9" max="9"/>
    <col width="13" customWidth="1" min="10" max="10"/>
    <col width="22" customWidth="1" min="11" max="11"/>
  </cols>
  <sheetData>
    <row r="1" ht="32" customHeight="1">
      <c r="A1" s="1" t="inlineStr">
        <is>
          <t>4. AI Opportunity Map</t>
        </is>
      </c>
    </row>
    <row r="2" ht="32" customHeight="1">
      <c r="A2" s="2" t="inlineStr">
        <is>
          <t>Where AI fits - and where automation is enough - by function, with the top-ranked opportunities. Calculated from sheets 1 and 3.</t>
        </is>
      </c>
    </row>
    <row r="4" ht="22" customHeight="1">
      <c r="A4" s="3" t="inlineStr">
        <is>
          <t>A. ORGANISATIONAL AI POSITION</t>
        </is>
      </c>
    </row>
    <row r="5" ht="18" customHeight="1">
      <c r="A5" s="4" t="inlineStr">
        <is>
          <t>Organisation</t>
        </is>
      </c>
      <c r="B5" s="26" t="n"/>
      <c r="C5" s="5" t="str">
        <f>'1. AI Position'!C4</f>
        <v>Grant Thornton Bahrain</v>
      </c>
      <c r="D5" s="15" t="n"/>
      <c r="E5" s="15" t="n"/>
      <c r="F5" s="15" t="n"/>
      <c r="G5" s="15" t="n"/>
      <c r="H5" s="15" t="n"/>
      <c r="I5" s="15" t="n"/>
      <c r="J5" s="15" t="n"/>
      <c r="K5" s="15" t="n"/>
    </row>
    <row r="6" ht="18" customHeight="1">
      <c r="A6" s="4" t="inlineStr">
        <is>
          <t>AI position (archetype)</t>
        </is>
      </c>
      <c r="B6" s="26" t="n"/>
      <c r="C6" s="19" t="str">
        <f>'1. AI Position'!$C$31</f>
        <v>Buy and configure AI</v>
      </c>
      <c r="D6" s="18" t="n"/>
      <c r="E6" s="18" t="n"/>
      <c r="F6" s="18" t="n"/>
      <c r="G6" s="18" t="n"/>
      <c r="H6" s="18" t="n"/>
      <c r="I6" s="18" t="n"/>
      <c r="J6" s="18" t="n"/>
      <c r="K6" s="18" t="n"/>
    </row>
    <row r="7" ht="18" customHeight="1">
      <c r="A7" s="4" t="inlineStr">
        <is>
          <t>Data Position / Scale &amp; Capacity</t>
        </is>
      </c>
      <c r="B7" s="26" t="n"/>
      <c r="C7" s="5" t="str">
        <f>IF('1. AI Position'!$C$28="","",TEXT('1. AI Position'!$C$28,"0%")&amp;"  /  "&amp;TEXT('1. AI Position'!$C$29,"0%"))</f>
        <v>56%  /  44%</v>
      </c>
      <c r="D7" s="15" t="n"/>
      <c r="E7" s="15" t="n"/>
      <c r="F7" s="15" t="n"/>
      <c r="G7" s="15" t="n"/>
      <c r="H7" s="15" t="n"/>
      <c r="I7" s="15" t="n"/>
      <c r="J7" s="15" t="n"/>
      <c r="K7" s="15" t="n"/>
    </row>
    <row r="8" ht="30" customHeight="1">
      <c r="A8" s="4" t="inlineStr">
        <is>
          <t>What it means</t>
        </is>
      </c>
      <c r="B8" s="26" t="n"/>
      <c r="C8" s="5" t="str">
        <f>'1. AI Position'!C33</f>
        <v>Good data, limited scale / capacity: adopt and configure proven AI products rather than build.</v>
      </c>
      <c r="D8" s="15" t="n"/>
      <c r="E8" s="15" t="n"/>
      <c r="F8" s="15" t="n"/>
      <c r="G8" s="15" t="n"/>
      <c r="H8" s="15" t="n"/>
      <c r="I8" s="15" t="n"/>
      <c r="J8" s="15" t="n"/>
      <c r="K8" s="15" t="n"/>
    </row>
    <row r="9" ht="30" customHeight="1">
      <c r="A9" s="4" t="inlineStr">
        <is>
          <t>Foundation flag</t>
        </is>
      </c>
      <c r="B9" s="26" t="n"/>
      <c r="C9" s="5" t="str">
        <f>'1. AI Position'!$C$35</f>
        <v>No foundation red flags from the position screen.</v>
      </c>
      <c r="D9" s="15" t="n"/>
      <c r="E9" s="15" t="n"/>
      <c r="F9" s="15" t="n"/>
      <c r="G9" s="15" t="n"/>
      <c r="H9" s="15" t="n"/>
      <c r="I9" s="15" t="n"/>
      <c r="J9" s="15" t="n"/>
      <c r="K9" s="15" t="n"/>
    </row>
    <row r="11" ht="22" customHeight="1">
      <c r="A11" s="3" t="inlineStr">
        <is>
          <t>B. VERDICT SUMMARY - what kind of solution fits the processes assessed</t>
        </is>
      </c>
    </row>
    <row r="12">
      <c r="B12" s="9" t="inlineStr">
        <is>
          <t>Verdict</t>
        </is>
      </c>
      <c r="C12" s="9" t="inlineStr">
        <is>
          <t>Processes</t>
        </is>
      </c>
      <c r="D12" s="9" t="inlineStr">
        <is>
          <t>% of total</t>
        </is>
      </c>
      <c r="E12" s="9" t="inlineStr">
        <is>
          <t>Hours released / yr</t>
        </is>
      </c>
      <c r="G12" s="9" t="inlineStr">
        <is>
          <t>Meaning</t>
        </is>
      </c>
      <c r="H12" s="42" t="n"/>
      <c r="I12" s="42" t="n"/>
      <c r="J12" s="42" t="n"/>
      <c r="K12" s="43" t="n"/>
    </row>
    <row r="13" ht="30" customHeight="1">
      <c r="B13" s="44" t="inlineStr">
        <is>
          <t>AI fit now</t>
        </is>
      </c>
      <c r="C13" s="22">
        <f>COUNTIF('3. AI Fit Diagnostic'!$T$8:$T$57,B13)</f>
        <v>11</v>
      </c>
      <c r="D13" s="45">
        <f>IF(SUM($C$13:$C$17)=0,"",C13/SUM($C$13:$C$17))</f>
        <v>0.523809523809524</v>
      </c>
      <c r="E13" s="46">
        <f>SUMIF('3. AI Fit Diagnostic'!$T$8:$T$57,B13,'3. AI Fit Diagnostic'!$AB$8:$AB$57)</f>
        <v>7776</v>
      </c>
      <c r="F13" s="24" t="inlineStr">
        <is>
          <t>AI is the right tool, the data exists and it is within the organisation's current position.</t>
        </is>
      </c>
      <c r="G13" s="15" t="n"/>
      <c r="H13" s="15" t="n"/>
      <c r="I13" s="15" t="n"/>
      <c r="J13" s="15" t="n"/>
      <c r="K13" s="15" t="n"/>
    </row>
    <row r="14" ht="30" customHeight="1">
      <c r="B14" s="47" t="inlineStr">
        <is>
          <t>Automate - AI not needed</t>
        </is>
      </c>
      <c r="C14" s="22">
        <f>COUNTIF('3. AI Fit Diagnostic'!$T$8:$T$57,B14)</f>
        <v>5</v>
      </c>
      <c r="D14" s="45">
        <f>IF(SUM($C$13:$C$17)=0,"",C14/SUM($C$13:$C$17))</f>
        <v>0.238095238095238</v>
      </c>
      <c r="E14" s="46">
        <f>SUMIF('3. AI Fit Diagnostic'!$T$8:$T$57,B14,'3. AI Fit Diagnostic'!$AB$8:$AB$57)</f>
        <v>4164</v>
      </c>
      <c r="F14" s="24" t="inlineStr">
        <is>
          <t>The work follows fixed rules or is a data / reporting problem; automation or BI delivers the value with less risk and cost.</t>
        </is>
      </c>
      <c r="G14" s="15" t="n"/>
      <c r="H14" s="15" t="n"/>
      <c r="I14" s="15" t="n"/>
      <c r="J14" s="15" t="n"/>
      <c r="K14" s="15" t="n"/>
    </row>
    <row r="15" ht="30" customHeight="1">
      <c r="B15" s="48" t="inlineStr">
        <is>
          <t>AI later - close data gap first</t>
        </is>
      </c>
      <c r="C15" s="22">
        <f>COUNTIF('3. AI Fit Diagnostic'!$T$8:$T$57,B15)</f>
        <v>2</v>
      </c>
      <c r="D15" s="45">
        <f>IF(SUM($C$13:$C$17)=0,"",C15/SUM($C$13:$C$17))</f>
        <v>0.0952380952380952</v>
      </c>
      <c r="E15" s="46">
        <f>SUMIF('3. AI Fit Diagnostic'!$T$8:$T$57,B15,'3. AI Fit Diagnostic'!$AB$8:$AB$57)</f>
        <v>672</v>
      </c>
      <c r="F15" s="24" t="inlineStr">
        <is>
          <t>AI would fit, but the data it needs is not captured, digital or labelled yet.</t>
        </is>
      </c>
      <c r="G15" s="15" t="n"/>
      <c r="H15" s="15" t="n"/>
      <c r="I15" s="15" t="n"/>
      <c r="J15" s="15" t="n"/>
      <c r="K15" s="15" t="n"/>
    </row>
    <row r="16" ht="30" customHeight="1">
      <c r="B16" s="49" t="inlineStr">
        <is>
          <t>Stretch - partner or later stage</t>
        </is>
      </c>
      <c r="C16" s="22">
        <f>COUNTIF('3. AI Fit Diagnostic'!$T$8:$T$57,B16)</f>
        <v>2</v>
      </c>
      <c r="D16" s="45">
        <f>IF(SUM($C$13:$C$17)=0,"",C16/SUM($C$13:$C$17))</f>
        <v>0.0952380952380952</v>
      </c>
      <c r="E16" s="46">
        <f>SUMIF('3. AI Fit Diagnostic'!$T$8:$T$57,B16,'3. AI Fit Diagnostic'!$AB$8:$AB$57)</f>
        <v>1344</v>
      </c>
      <c r="F16" s="24" t="inlineStr">
        <is>
          <t>AI fits and the data exists, but the solution is more complex than the organisation can build or run today.</t>
        </is>
      </c>
      <c r="G16" s="15" t="n"/>
      <c r="H16" s="15" t="n"/>
      <c r="I16" s="15" t="n"/>
      <c r="J16" s="15" t="n"/>
      <c r="K16" s="15" t="n"/>
    </row>
    <row r="17" ht="30" customHeight="1">
      <c r="B17" s="50" t="inlineStr">
        <is>
          <t>Redesign / standardise first</t>
        </is>
      </c>
      <c r="C17" s="22">
        <f>COUNTIF('3. AI Fit Diagnostic'!$T$8:$T$57,B17)</f>
        <v>1</v>
      </c>
      <c r="D17" s="45">
        <f>IF(SUM($C$13:$C$17)=0,"",C17/SUM($C$13:$C$17))</f>
        <v>0.0476190476190476</v>
      </c>
      <c r="E17" s="46">
        <f>SUMIF('3. AI Fit Diagnostic'!$T$8:$T$57,B17,'3. AI Fit Diagnostic'!$AB$8:$AB$57)</f>
        <v>720</v>
      </c>
      <c r="F17" s="24" t="inlineStr">
        <is>
          <t>The process varies by person or team; automating or adding AI would scale inconsistency.</t>
        </is>
      </c>
      <c r="G17" s="15" t="n"/>
      <c r="H17" s="15" t="n"/>
      <c r="I17" s="15" t="n"/>
      <c r="J17" s="15" t="n"/>
      <c r="K17" s="15" t="n"/>
    </row>
    <row r="18">
      <c r="B18" s="4" t="inlineStr">
        <is>
          <t>Total assessed</t>
        </is>
      </c>
      <c r="C18" s="11">
        <f>SUM(C13:C17)</f>
        <v>21</v>
      </c>
      <c r="D18" s="6" t="inlineStr"/>
      <c r="E18" s="51">
        <f>SUM(E13:E17)</f>
        <v>14676</v>
      </c>
    </row>
    <row r="19" ht="30" customHeight="1">
      <c r="B19" s="52" t="str">
        <f>IF(C18=0,"",TEXT((C13+C16)/C18,"0%")&amp;" of assessed processes are AI opportunities (now or with a partner); "&amp;TEXT(C14/C18,"0%")&amp;" are better served by automation without AI; "&amp;TEXT((C15+C17)/C18,"0%")&amp;" need data or process foundations first.")</f>
        <v>62% of assessed processes are AI opportunities (now or with a partner); 24% are better served by automation without AI; 14% need data or process foundations first.</v>
      </c>
      <c r="C19" s="15" t="n"/>
      <c r="D19" s="15" t="n"/>
      <c r="E19" s="15" t="n"/>
      <c r="F19" s="15" t="n"/>
      <c r="G19" s="15" t="n"/>
      <c r="H19" s="15" t="n"/>
      <c r="I19" s="15" t="n"/>
      <c r="J19" s="15" t="n"/>
      <c r="K19" s="15" t="n"/>
    </row>
    <row r="21" ht="22" customHeight="1">
      <c r="A21" s="3" t="inlineStr">
        <is>
          <t>C. WHERE AI FITS BY FUNCTION (number of processes)</t>
        </is>
      </c>
    </row>
    <row r="22" ht="30" customHeight="1">
      <c r="B22" s="33" t="inlineStr">
        <is>
          <t>Function</t>
        </is>
      </c>
      <c r="C22" s="33" t="inlineStr">
        <is>
          <t>AI fit now</t>
        </is>
      </c>
      <c r="D22" s="33" t="inlineStr">
        <is>
          <t>Stretch</t>
        </is>
      </c>
      <c r="E22" s="33" t="inlineStr">
        <is>
          <t>AI later (data)</t>
        </is>
      </c>
      <c r="F22" s="33" t="inlineStr">
        <is>
          <t>Automate (no AI)</t>
        </is>
      </c>
      <c r="G22" s="33" t="inlineStr">
        <is>
          <t>Redesign first</t>
        </is>
      </c>
      <c r="H22" s="33" t="inlineStr">
        <is>
          <t>Total</t>
        </is>
      </c>
      <c r="I22" s="33" t="inlineStr">
        <is>
          <t>Hours / yr</t>
        </is>
      </c>
      <c r="J22" s="33" t="inlineStr">
        <is>
          <t>High-risk items</t>
        </is>
      </c>
      <c r="K22" s="33" t="inlineStr">
        <is>
          <t>Headline</t>
        </is>
      </c>
    </row>
    <row r="23">
      <c r="B23" s="53" t="inlineStr">
        <is>
          <t>Core service delivery / operations</t>
        </is>
      </c>
      <c r="C23" s="22">
        <f>COUNTIFS('3. AI Fit Diagnostic'!$B$8:$B$57,$B23,'3. AI Fit Diagnostic'!$T$8:$T$57,"AI fit now")</f>
        <v>4</v>
      </c>
      <c r="D23" s="22">
        <f>COUNTIFS('3. AI Fit Diagnostic'!$B$8:$B$57,$B23,'3. AI Fit Diagnostic'!$T$8:$T$57,"Stretch - partner or later stage")</f>
        <v>2</v>
      </c>
      <c r="E23" s="22">
        <f>COUNTIFS('3. AI Fit Diagnostic'!$B$8:$B$57,$B23,'3. AI Fit Diagnostic'!$T$8:$T$57,"AI later - close data gap first")</f>
        <v>0</v>
      </c>
      <c r="F23" s="22">
        <f>COUNTIFS('3. AI Fit Diagnostic'!$B$8:$B$57,$B23,'3. AI Fit Diagnostic'!$T$8:$T$57,"Automate - AI not needed")</f>
        <v>2</v>
      </c>
      <c r="G23" s="22">
        <f>COUNTIFS('3. AI Fit Diagnostic'!$B$8:$B$57,$B23,'3. AI Fit Diagnostic'!$T$8:$T$57,"Redesign / standardise first")</f>
        <v>1</v>
      </c>
      <c r="H23" s="54">
        <f>SUM(C23:G23)</f>
        <v>9</v>
      </c>
      <c r="I23" s="46">
        <f>SUMIF('3. AI Fit Diagnostic'!$B$8:$B$57,$B23,'3. AI Fit Diagnostic'!$AB$8:$AB$57)</f>
        <v>7224</v>
      </c>
      <c r="J23" s="22">
        <f>COUNTIFS('3. AI Fit Diagnostic'!$B$8:$B$57,$B23,'3. AI Fit Diagnostic'!$W$8:$W$57,"High")</f>
        <v>2</v>
      </c>
      <c r="K23" s="40" t="str">
        <f>IF(H23=0,"",IF(C23+D23&gt;=MAX(E23,F23,G23),"AI opportunity",IF(F23&gt;=MAX(E23,G23),"Automation is enough",IF(E23&gt;=G23,"Fix data first","Redesign first"))))</f>
        <v>AI opportunity</v>
      </c>
    </row>
    <row r="24">
      <c r="B24" s="53" t="inlineStr">
        <is>
          <t>Customer service &amp; sales</t>
        </is>
      </c>
      <c r="C24" s="22">
        <f>COUNTIFS('3. AI Fit Diagnostic'!$B$8:$B$57,$B24,'3. AI Fit Diagnostic'!$T$8:$T$57,"AI fit now")</f>
        <v>1</v>
      </c>
      <c r="D24" s="22">
        <f>COUNTIFS('3. AI Fit Diagnostic'!$B$8:$B$57,$B24,'3. AI Fit Diagnostic'!$T$8:$T$57,"Stretch - partner or later stage")</f>
        <v>0</v>
      </c>
      <c r="E24" s="22">
        <f>COUNTIFS('3. AI Fit Diagnostic'!$B$8:$B$57,$B24,'3. AI Fit Diagnostic'!$T$8:$T$57,"AI later - close data gap first")</f>
        <v>1</v>
      </c>
      <c r="F24" s="22">
        <f>COUNTIFS('3. AI Fit Diagnostic'!$B$8:$B$57,$B24,'3. AI Fit Diagnostic'!$T$8:$T$57,"Automate - AI not needed")</f>
        <v>0</v>
      </c>
      <c r="G24" s="22">
        <f>COUNTIFS('3. AI Fit Diagnostic'!$B$8:$B$57,$B24,'3. AI Fit Diagnostic'!$T$8:$T$57,"Redesign / standardise first")</f>
        <v>0</v>
      </c>
      <c r="H24" s="54">
        <f>SUM(C24:G24)</f>
        <v>2</v>
      </c>
      <c r="I24" s="46">
        <f>SUMIF('3. AI Fit Diagnostic'!$B$8:$B$57,$B24,'3. AI Fit Diagnostic'!$AB$8:$AB$57)</f>
        <v>1740</v>
      </c>
      <c r="J24" s="22">
        <f>COUNTIFS('3. AI Fit Diagnostic'!$B$8:$B$57,$B24,'3. AI Fit Diagnostic'!$W$8:$W$57,"High")</f>
        <v>0</v>
      </c>
      <c r="K24" s="40" t="str">
        <f>IF(H24=0,"",IF(C24+D24&gt;=MAX(E24,F24,G24),"AI opportunity",IF(F24&gt;=MAX(E24,G24),"Automation is enough",IF(E24&gt;=G24,"Fix data first","Redesign first"))))</f>
        <v>AI opportunity</v>
      </c>
    </row>
    <row r="25">
      <c r="B25" s="53" t="inlineStr">
        <is>
          <t>Marketing &amp; communications</t>
        </is>
      </c>
      <c r="C25" s="22">
        <f>COUNTIFS('3. AI Fit Diagnostic'!$B$8:$B$57,$B25,'3. AI Fit Diagnostic'!$T$8:$T$57,"AI fit now")</f>
        <v>1</v>
      </c>
      <c r="D25" s="22">
        <f>COUNTIFS('3. AI Fit Diagnostic'!$B$8:$B$57,$B25,'3. AI Fit Diagnostic'!$T$8:$T$57,"Stretch - partner or later stage")</f>
        <v>0</v>
      </c>
      <c r="E25" s="22">
        <f>COUNTIFS('3. AI Fit Diagnostic'!$B$8:$B$57,$B25,'3. AI Fit Diagnostic'!$T$8:$T$57,"AI later - close data gap first")</f>
        <v>0</v>
      </c>
      <c r="F25" s="22">
        <f>COUNTIFS('3. AI Fit Diagnostic'!$B$8:$B$57,$B25,'3. AI Fit Diagnostic'!$T$8:$T$57,"Automate - AI not needed")</f>
        <v>0</v>
      </c>
      <c r="G25" s="22">
        <f>COUNTIFS('3. AI Fit Diagnostic'!$B$8:$B$57,$B25,'3. AI Fit Diagnostic'!$T$8:$T$57,"Redesign / standardise first")</f>
        <v>0</v>
      </c>
      <c r="H25" s="54">
        <f>SUM(C25:G25)</f>
        <v>1</v>
      </c>
      <c r="I25" s="46">
        <f>SUMIF('3. AI Fit Diagnostic'!$B$8:$B$57,$B25,'3. AI Fit Diagnostic'!$AB$8:$AB$57)</f>
        <v>288</v>
      </c>
      <c r="J25" s="22">
        <f>COUNTIFS('3. AI Fit Diagnostic'!$B$8:$B$57,$B25,'3. AI Fit Diagnostic'!$W$8:$W$57,"High")</f>
        <v>0</v>
      </c>
      <c r="K25" s="40" t="str">
        <f>IF(H25=0,"",IF(C25+D25&gt;=MAX(E25,F25,G25),"AI opportunity",IF(F25&gt;=MAX(E25,G25),"Automation is enough",IF(E25&gt;=G25,"Fix data first","Redesign first"))))</f>
        <v>AI opportunity</v>
      </c>
    </row>
    <row r="26">
      <c r="B26" s="53" t="inlineStr">
        <is>
          <t>Finance &amp; accounting</t>
        </is>
      </c>
      <c r="C26" s="22">
        <f>COUNTIFS('3. AI Fit Diagnostic'!$B$8:$B$57,$B26,'3. AI Fit Diagnostic'!$T$8:$T$57,"AI fit now")</f>
        <v>1</v>
      </c>
      <c r="D26" s="22">
        <f>COUNTIFS('3. AI Fit Diagnostic'!$B$8:$B$57,$B26,'3. AI Fit Diagnostic'!$T$8:$T$57,"Stretch - partner or later stage")</f>
        <v>0</v>
      </c>
      <c r="E26" s="22">
        <f>COUNTIFS('3. AI Fit Diagnostic'!$B$8:$B$57,$B26,'3. AI Fit Diagnostic'!$T$8:$T$57,"AI later - close data gap first")</f>
        <v>0</v>
      </c>
      <c r="F26" s="22">
        <f>COUNTIFS('3. AI Fit Diagnostic'!$B$8:$B$57,$B26,'3. AI Fit Diagnostic'!$T$8:$T$57,"Automate - AI not needed")</f>
        <v>1</v>
      </c>
      <c r="G26" s="22">
        <f>COUNTIFS('3. AI Fit Diagnostic'!$B$8:$B$57,$B26,'3. AI Fit Diagnostic'!$T$8:$T$57,"Redesign / standardise first")</f>
        <v>0</v>
      </c>
      <c r="H26" s="54">
        <f>SUM(C26:G26)</f>
        <v>2</v>
      </c>
      <c r="I26" s="46">
        <f>SUMIF('3. AI Fit Diagnostic'!$B$8:$B$57,$B26,'3. AI Fit Diagnostic'!$AB$8:$AB$57)</f>
        <v>1656</v>
      </c>
      <c r="J26" s="22">
        <f>COUNTIFS('3. AI Fit Diagnostic'!$B$8:$B$57,$B26,'3. AI Fit Diagnostic'!$W$8:$W$57,"High")</f>
        <v>0</v>
      </c>
      <c r="K26" s="40" t="str">
        <f>IF(H26=0,"",IF(C26+D26&gt;=MAX(E26,F26,G26),"AI opportunity",IF(F26&gt;=MAX(E26,G26),"Automation is enough",IF(E26&gt;=G26,"Fix data first","Redesign first"))))</f>
        <v>AI opportunity</v>
      </c>
    </row>
    <row r="27">
      <c r="B27" s="53" t="inlineStr">
        <is>
          <t>HR &amp; people</t>
        </is>
      </c>
      <c r="C27" s="22">
        <f>COUNTIFS('3. AI Fit Diagnostic'!$B$8:$B$57,$B27,'3. AI Fit Diagnostic'!$T$8:$T$57,"AI fit now")</f>
        <v>1</v>
      </c>
      <c r="D27" s="22">
        <f>COUNTIFS('3. AI Fit Diagnostic'!$B$8:$B$57,$B27,'3. AI Fit Diagnostic'!$T$8:$T$57,"Stretch - partner or later stage")</f>
        <v>0</v>
      </c>
      <c r="E27" s="22">
        <f>COUNTIFS('3. AI Fit Diagnostic'!$B$8:$B$57,$B27,'3. AI Fit Diagnostic'!$T$8:$T$57,"AI later - close data gap first")</f>
        <v>1</v>
      </c>
      <c r="F27" s="22">
        <f>COUNTIFS('3. AI Fit Diagnostic'!$B$8:$B$57,$B27,'3. AI Fit Diagnostic'!$T$8:$T$57,"Automate - AI not needed")</f>
        <v>0</v>
      </c>
      <c r="G27" s="22">
        <f>COUNTIFS('3. AI Fit Diagnostic'!$B$8:$B$57,$B27,'3. AI Fit Diagnostic'!$T$8:$T$57,"Redesign / standardise first")</f>
        <v>0</v>
      </c>
      <c r="H27" s="54">
        <f>SUM(C27:G27)</f>
        <v>2</v>
      </c>
      <c r="I27" s="46">
        <f>SUMIF('3. AI Fit Diagnostic'!$B$8:$B$57,$B27,'3. AI Fit Diagnostic'!$AB$8:$AB$57)</f>
        <v>408</v>
      </c>
      <c r="J27" s="22">
        <f>COUNTIFS('3. AI Fit Diagnostic'!$B$8:$B$57,$B27,'3. AI Fit Diagnostic'!$W$8:$W$57,"High")</f>
        <v>1</v>
      </c>
      <c r="K27" s="40" t="str">
        <f>IF(H27=0,"",IF(C27+D27&gt;=MAX(E27,F27,G27),"AI opportunity",IF(F27&gt;=MAX(E27,G27),"Automation is enough",IF(E27&gt;=G27,"Fix data first","Redesign first"))))</f>
        <v>AI opportunity</v>
      </c>
    </row>
    <row r="28">
      <c r="B28" s="53" t="inlineStr">
        <is>
          <t>Procurement &amp; supply chain</t>
        </is>
      </c>
      <c r="C28" s="22">
        <f>COUNTIFS('3. AI Fit Diagnostic'!$B$8:$B$57,$B28,'3. AI Fit Diagnostic'!$T$8:$T$57,"AI fit now")</f>
        <v>0</v>
      </c>
      <c r="D28" s="22">
        <f>COUNTIFS('3. AI Fit Diagnostic'!$B$8:$B$57,$B28,'3. AI Fit Diagnostic'!$T$8:$T$57,"Stretch - partner or later stage")</f>
        <v>0</v>
      </c>
      <c r="E28" s="22">
        <f>COUNTIFS('3. AI Fit Diagnostic'!$B$8:$B$57,$B28,'3. AI Fit Diagnostic'!$T$8:$T$57,"AI later - close data gap first")</f>
        <v>0</v>
      </c>
      <c r="F28" s="22">
        <f>COUNTIFS('3. AI Fit Diagnostic'!$B$8:$B$57,$B28,'3. AI Fit Diagnostic'!$T$8:$T$57,"Automate - AI not needed")</f>
        <v>0</v>
      </c>
      <c r="G28" s="22">
        <f>COUNTIFS('3. AI Fit Diagnostic'!$B$8:$B$57,$B28,'3. AI Fit Diagnostic'!$T$8:$T$57,"Redesign / standardise first")</f>
        <v>0</v>
      </c>
      <c r="H28" s="54">
        <f>SUM(C28:G28)</f>
        <v>0</v>
      </c>
      <c r="I28" s="46">
        <f>SUMIF('3. AI Fit Diagnostic'!$B$8:$B$57,$B28,'3. AI Fit Diagnostic'!$AB$8:$AB$57)</f>
        <v>0</v>
      </c>
      <c r="J28" s="22">
        <f>COUNTIFS('3. AI Fit Diagnostic'!$B$8:$B$57,$B28,'3. AI Fit Diagnostic'!$W$8:$W$57,"High")</f>
        <v>0</v>
      </c>
      <c r="K28" s="40" t="str">
        <f>IF(H28=0,"",IF(C28+D28&gt;=MAX(E28,F28,G28),"AI opportunity",IF(F28&gt;=MAX(E28,G28),"Automation is enough",IF(E28&gt;=G28,"Fix data first","Redesign first"))))</f>
        <v/>
      </c>
    </row>
    <row r="29">
      <c r="B29" s="53" t="inlineStr">
        <is>
          <t>Risk, compliance &amp; legal</t>
        </is>
      </c>
      <c r="C29" s="22">
        <f>COUNTIFS('3. AI Fit Diagnostic'!$B$8:$B$57,$B29,'3. AI Fit Diagnostic'!$T$8:$T$57,"AI fit now")</f>
        <v>1</v>
      </c>
      <c r="D29" s="22">
        <f>COUNTIFS('3. AI Fit Diagnostic'!$B$8:$B$57,$B29,'3. AI Fit Diagnostic'!$T$8:$T$57,"Stretch - partner or later stage")</f>
        <v>0</v>
      </c>
      <c r="E29" s="22">
        <f>COUNTIFS('3. AI Fit Diagnostic'!$B$8:$B$57,$B29,'3. AI Fit Diagnostic'!$T$8:$T$57,"AI later - close data gap first")</f>
        <v>0</v>
      </c>
      <c r="F29" s="22">
        <f>COUNTIFS('3. AI Fit Diagnostic'!$B$8:$B$57,$B29,'3. AI Fit Diagnostic'!$T$8:$T$57,"Automate - AI not needed")</f>
        <v>1</v>
      </c>
      <c r="G29" s="22">
        <f>COUNTIFS('3. AI Fit Diagnostic'!$B$8:$B$57,$B29,'3. AI Fit Diagnostic'!$T$8:$T$57,"Redesign / standardise first")</f>
        <v>0</v>
      </c>
      <c r="H29" s="54">
        <f>SUM(C29:G29)</f>
        <v>2</v>
      </c>
      <c r="I29" s="46">
        <f>SUMIF('3. AI Fit Diagnostic'!$B$8:$B$57,$B29,'3. AI Fit Diagnostic'!$AB$8:$AB$57)</f>
        <v>1560</v>
      </c>
      <c r="J29" s="22">
        <f>COUNTIFS('3. AI Fit Diagnostic'!$B$8:$B$57,$B29,'3. AI Fit Diagnostic'!$W$8:$W$57,"High")</f>
        <v>0</v>
      </c>
      <c r="K29" s="40" t="str">
        <f>IF(H29=0,"",IF(C29+D29&gt;=MAX(E29,F29,G29),"AI opportunity",IF(F29&gt;=MAX(E29,G29),"Automation is enough",IF(E29&gt;=G29,"Fix data first","Redesign first"))))</f>
        <v>AI opportunity</v>
      </c>
    </row>
    <row r="30">
      <c r="B30" s="53" t="inlineStr">
        <is>
          <t>IT &amp; security</t>
        </is>
      </c>
      <c r="C30" s="22">
        <f>COUNTIFS('3. AI Fit Diagnostic'!$B$8:$B$57,$B30,'3. AI Fit Diagnostic'!$T$8:$T$57,"AI fit now")</f>
        <v>0</v>
      </c>
      <c r="D30" s="22">
        <f>COUNTIFS('3. AI Fit Diagnostic'!$B$8:$B$57,$B30,'3. AI Fit Diagnostic'!$T$8:$T$57,"Stretch - partner or later stage")</f>
        <v>0</v>
      </c>
      <c r="E30" s="22">
        <f>COUNTIFS('3. AI Fit Diagnostic'!$B$8:$B$57,$B30,'3. AI Fit Diagnostic'!$T$8:$T$57,"AI later - close data gap first")</f>
        <v>0</v>
      </c>
      <c r="F30" s="22">
        <f>COUNTIFS('3. AI Fit Diagnostic'!$B$8:$B$57,$B30,'3. AI Fit Diagnostic'!$T$8:$T$57,"Automate - AI not needed")</f>
        <v>0</v>
      </c>
      <c r="G30" s="22">
        <f>COUNTIFS('3. AI Fit Diagnostic'!$B$8:$B$57,$B30,'3. AI Fit Diagnostic'!$T$8:$T$57,"Redesign / standardise first")</f>
        <v>0</v>
      </c>
      <c r="H30" s="54">
        <f>SUM(C30:G30)</f>
        <v>0</v>
      </c>
      <c r="I30" s="46">
        <f>SUMIF('3. AI Fit Diagnostic'!$B$8:$B$57,$B30,'3. AI Fit Diagnostic'!$AB$8:$AB$57)</f>
        <v>0</v>
      </c>
      <c r="J30" s="22">
        <f>COUNTIFS('3. AI Fit Diagnostic'!$B$8:$B$57,$B30,'3. AI Fit Diagnostic'!$W$8:$W$57,"High")</f>
        <v>0</v>
      </c>
      <c r="K30" s="40" t="str">
        <f>IF(H30=0,"",IF(C30+D30&gt;=MAX(E30,F30,G30),"AI opportunity",IF(F30&gt;=MAX(E30,G30),"Automation is enough",IF(E30&gt;=G30,"Fix data first","Redesign first"))))</f>
        <v/>
      </c>
    </row>
    <row r="31">
      <c r="B31" s="53" t="inlineStr">
        <is>
          <t>Management &amp; reporting</t>
        </is>
      </c>
      <c r="C31" s="22">
        <f>COUNTIFS('3. AI Fit Diagnostic'!$B$8:$B$57,$B31,'3. AI Fit Diagnostic'!$T$8:$T$57,"AI fit now")</f>
        <v>1</v>
      </c>
      <c r="D31" s="22">
        <f>COUNTIFS('3. AI Fit Diagnostic'!$B$8:$B$57,$B31,'3. AI Fit Diagnostic'!$T$8:$T$57,"Stretch - partner or later stage")</f>
        <v>0</v>
      </c>
      <c r="E31" s="22">
        <f>COUNTIFS('3. AI Fit Diagnostic'!$B$8:$B$57,$B31,'3. AI Fit Diagnostic'!$T$8:$T$57,"AI later - close data gap first")</f>
        <v>0</v>
      </c>
      <c r="F31" s="22">
        <f>COUNTIFS('3. AI Fit Diagnostic'!$B$8:$B$57,$B31,'3. AI Fit Diagnostic'!$T$8:$T$57,"Automate - AI not needed")</f>
        <v>1</v>
      </c>
      <c r="G31" s="22">
        <f>COUNTIFS('3. AI Fit Diagnostic'!$B$8:$B$57,$B31,'3. AI Fit Diagnostic'!$T$8:$T$57,"Redesign / standardise first")</f>
        <v>0</v>
      </c>
      <c r="H31" s="54">
        <f>SUM(C31:G31)</f>
        <v>2</v>
      </c>
      <c r="I31" s="46">
        <f>SUMIF('3. AI Fit Diagnostic'!$B$8:$B$57,$B31,'3. AI Fit Diagnostic'!$AB$8:$AB$57)</f>
        <v>1200</v>
      </c>
      <c r="J31" s="22">
        <f>COUNTIFS('3. AI Fit Diagnostic'!$B$8:$B$57,$B31,'3. AI Fit Diagnostic'!$W$8:$W$57,"High")</f>
        <v>0</v>
      </c>
      <c r="K31" s="40" t="str">
        <f>IF(H31=0,"",IF(C31+D31&gt;=MAX(E31,F31,G31),"AI opportunity",IF(F31&gt;=MAX(E31,G31),"Automation is enough",IF(E31&gt;=G31,"Fix data first","Redesign first"))))</f>
        <v>AI opportunity</v>
      </c>
    </row>
    <row r="32">
      <c r="B32" s="53" t="inlineStr">
        <is>
          <t>Knowledge &amp; collaboration</t>
        </is>
      </c>
      <c r="C32" s="22">
        <f>COUNTIFS('3. AI Fit Diagnostic'!$B$8:$B$57,$B32,'3. AI Fit Diagnostic'!$T$8:$T$57,"AI fit now")</f>
        <v>1</v>
      </c>
      <c r="D32" s="22">
        <f>COUNTIFS('3. AI Fit Diagnostic'!$B$8:$B$57,$B32,'3. AI Fit Diagnostic'!$T$8:$T$57,"Stretch - partner or later stage")</f>
        <v>0</v>
      </c>
      <c r="E32" s="22">
        <f>COUNTIFS('3. AI Fit Diagnostic'!$B$8:$B$57,$B32,'3. AI Fit Diagnostic'!$T$8:$T$57,"AI later - close data gap first")</f>
        <v>0</v>
      </c>
      <c r="F32" s="22">
        <f>COUNTIFS('3. AI Fit Diagnostic'!$B$8:$B$57,$B32,'3. AI Fit Diagnostic'!$T$8:$T$57,"Automate - AI not needed")</f>
        <v>0</v>
      </c>
      <c r="G32" s="22">
        <f>COUNTIFS('3. AI Fit Diagnostic'!$B$8:$B$57,$B32,'3. AI Fit Diagnostic'!$T$8:$T$57,"Redesign / standardise first")</f>
        <v>0</v>
      </c>
      <c r="H32" s="54">
        <f>SUM(C32:G32)</f>
        <v>1</v>
      </c>
      <c r="I32" s="46">
        <f>SUMIF('3. AI Fit Diagnostic'!$B$8:$B$57,$B32,'3. AI Fit Diagnostic'!$AB$8:$AB$57)</f>
        <v>600</v>
      </c>
      <c r="J32" s="22">
        <f>COUNTIFS('3. AI Fit Diagnostic'!$B$8:$B$57,$B32,'3. AI Fit Diagnostic'!$W$8:$W$57,"High")</f>
        <v>0</v>
      </c>
      <c r="K32" s="40" t="str">
        <f>IF(H32=0,"",IF(C32+D32&gt;=MAX(E32,F32,G32),"AI opportunity",IF(F32&gt;=MAX(E32,G32),"Automation is enough",IF(E32&gt;=G32,"Fix data first","Redesign first"))))</f>
        <v>AI opportunity</v>
      </c>
    </row>
    <row r="33">
      <c r="B33" s="4" t="inlineStr">
        <is>
          <t>Total</t>
        </is>
      </c>
      <c r="C33" s="11">
        <f>SUM(C23:C32)</f>
        <v>11</v>
      </c>
      <c r="D33" s="11">
        <f>SUM(D23:D32)</f>
        <v>2</v>
      </c>
      <c r="E33" s="11">
        <f>SUM(E23:E32)</f>
        <v>2</v>
      </c>
      <c r="F33" s="11">
        <f>SUM(F23:F32)</f>
        <v>5</v>
      </c>
      <c r="G33" s="11">
        <f>SUM(G23:G32)</f>
        <v>1</v>
      </c>
      <c r="H33" s="11">
        <f>SUM(H23:H32)</f>
        <v>21</v>
      </c>
      <c r="I33" s="51">
        <f>SUM(I23:I32)</f>
        <v>14676</v>
      </c>
      <c r="J33" s="11">
        <f>SUM(J23:J32)</f>
        <v>3</v>
      </c>
      <c r="K33" s="6" t="inlineStr"/>
    </row>
    <row r="55" ht="22" customHeight="1">
      <c r="A55" s="3" t="inlineStr">
        <is>
          <t>D. TOP 10 OPPORTUNITIES (risk-adjusted priority)</t>
        </is>
      </c>
    </row>
    <row r="56" ht="24" customHeight="1">
      <c r="A56" s="33" t="inlineStr">
        <is>
          <t>Rank</t>
        </is>
      </c>
      <c r="B56" s="33" t="inlineStr">
        <is>
          <t>Process / activity</t>
        </is>
      </c>
      <c r="C56" s="33" t="inlineStr">
        <is>
          <t>Function</t>
        </is>
      </c>
      <c r="D56" s="33" t="inlineStr">
        <is>
          <t>Solution family</t>
        </is>
      </c>
      <c r="E56" s="43" t="n"/>
      <c r="F56" s="33" t="inlineStr">
        <is>
          <t>Verdict</t>
        </is>
      </c>
      <c r="G56" s="43" t="n"/>
      <c r="H56" s="33" t="inlineStr">
        <is>
          <t>Value</t>
        </is>
      </c>
      <c r="I56" s="33" t="inlineStr">
        <is>
          <t>Feasibility</t>
        </is>
      </c>
      <c r="J56" s="33" t="inlineStr">
        <is>
          <t>Risk tier</t>
        </is>
      </c>
      <c r="K56" s="33" t="inlineStr">
        <is>
          <t>Horizon</t>
        </is>
      </c>
    </row>
    <row r="57" ht="36" customHeight="1">
      <c r="A57" s="11" t="n">
        <v>1</v>
      </c>
      <c r="B57" s="55" t="str">
        <f>IFERROR(INDEX('3. AI Fit Diagnostic'!$C$8:$C$57,MATCH(1,'3. AI Fit Diagnostic'!$Z$8:$Z$57,0)),"")</f>
        <v>Tax - VAT return data preparation</v>
      </c>
      <c r="C57" s="56" t="str">
        <f>IFERROR(INDEX('3. AI Fit Diagnostic'!$B$8:$B$57,MATCH(1,'3. AI Fit Diagnostic'!$Z$8:$Z$57,0)),"")</f>
        <v>Core service delivery / operations</v>
      </c>
      <c r="D57" s="24" t="str">
        <f>IFERROR(INDEX('3. AI Fit Diagnostic'!$O$8:$O$57,MATCH(1,'3. AI Fit Diagnostic'!$Z$8:$Z$57,0)),"")</f>
        <v>Workflow automation / RPA</v>
      </c>
      <c r="E57" s="15" t="n"/>
      <c r="F57" s="55" t="str">
        <f>IFERROR(INDEX('3. AI Fit Diagnostic'!$T$8:$T$57,MATCH(1,'3. AI Fit Diagnostic'!$Z$8:$Z$57,0)),"")</f>
        <v>Automate - AI not needed</v>
      </c>
      <c r="G57" s="15" t="n"/>
      <c r="H57" s="57">
        <f>IFERROR(INDEX('3. AI Fit Diagnostic'!$U$8:$U$57,MATCH(1,'3. AI Fit Diagnostic'!$Z$8:$Z$57,0)),"")</f>
        <v>4.05</v>
      </c>
      <c r="I57" s="57">
        <f>IFERROR(INDEX('3. AI Fit Diagnostic'!$V$8:$V$57,MATCH(1,'3. AI Fit Diagnostic'!$Z$8:$Z$57,0)),"")</f>
        <v>4.75</v>
      </c>
      <c r="J57" s="22" t="str">
        <f>IFERROR(INDEX('3. AI Fit Diagnostic'!$W$8:$W$57,MATCH(1,'3. AI Fit Diagnostic'!$Z$8:$Z$57,0)),"")</f>
        <v>Low</v>
      </c>
      <c r="K57" s="24" t="str">
        <f>IFERROR(INDEX('3. AI Fit Diagnostic'!$AA$8:$AA$57,MATCH(1,'3. AI Fit Diagnostic'!$Z$8:$Z$57,0)),"")</f>
        <v>H1 - Now (0-6 months)</v>
      </c>
    </row>
    <row r="58" ht="36" customHeight="1">
      <c r="A58" s="11" t="n">
        <v>2</v>
      </c>
      <c r="B58" s="55" t="str">
        <f>IFERROR(INDEX('3. AI Fit Diagnostic'!$C$8:$C$57,MATCH(2,'3. AI Fit Diagnostic'!$Z$8:$Z$57,0)),"")</f>
        <v>Timesheets, WIP and billing</v>
      </c>
      <c r="C58" s="56" t="str">
        <f>IFERROR(INDEX('3. AI Fit Diagnostic'!$B$8:$B$57,MATCH(2,'3. AI Fit Diagnostic'!$Z$8:$Z$57,0)),"")</f>
        <v>Finance &amp; accounting</v>
      </c>
      <c r="D58" s="24" t="str">
        <f>IFERROR(INDEX('3. AI Fit Diagnostic'!$O$8:$O$57,MATCH(2,'3. AI Fit Diagnostic'!$Z$8:$Z$57,0)),"")</f>
        <v>Workflow automation / RPA</v>
      </c>
      <c r="E58" s="15" t="n"/>
      <c r="F58" s="55" t="str">
        <f>IFERROR(INDEX('3. AI Fit Diagnostic'!$T$8:$T$57,MATCH(2,'3. AI Fit Diagnostic'!$Z$8:$Z$57,0)),"")</f>
        <v>Automate - AI not needed</v>
      </c>
      <c r="G58" s="15" t="n"/>
      <c r="H58" s="57">
        <f>IFERROR(INDEX('3. AI Fit Diagnostic'!$U$8:$U$57,MATCH(2,'3. AI Fit Diagnostic'!$Z$8:$Z$57,0)),"")</f>
        <v>3.85</v>
      </c>
      <c r="I58" s="57">
        <f>IFERROR(INDEX('3. AI Fit Diagnostic'!$V$8:$V$57,MATCH(2,'3. AI Fit Diagnostic'!$Z$8:$Z$57,0)),"")</f>
        <v>4.75</v>
      </c>
      <c r="J58" s="22" t="str">
        <f>IFERROR(INDEX('3. AI Fit Diagnostic'!$W$8:$W$57,MATCH(2,'3. AI Fit Diagnostic'!$Z$8:$Z$57,0)),"")</f>
        <v>Low</v>
      </c>
      <c r="K58" s="24" t="str">
        <f>IFERROR(INDEX('3. AI Fit Diagnostic'!$AA$8:$AA$57,MATCH(2,'3. AI Fit Diagnostic'!$Z$8:$Z$57,0)),"")</f>
        <v>H1 - Now (0-6 months)</v>
      </c>
    </row>
    <row r="59" ht="36" customHeight="1">
      <c r="A59" s="11" t="n">
        <v>3</v>
      </c>
      <c r="B59" s="55" t="str">
        <f>IFERROR(INDEX('3. AI Fit Diagnostic'!$C$8:$C$57,MATCH(3,'3. AI Fit Diagnostic'!$Z$8:$Z$57,0)),"")</f>
        <v>Meeting minutes and action tracking</v>
      </c>
      <c r="C59" s="56" t="str">
        <f>IFERROR(INDEX('3. AI Fit Diagnostic'!$B$8:$B$57,MATCH(3,'3. AI Fit Diagnostic'!$Z$8:$Z$57,0)),"")</f>
        <v>Management &amp; reporting</v>
      </c>
      <c r="D59" s="24" t="str">
        <f>IFERROR(INDEX('3. AI Fit Diagnostic'!$O$8:$O$57,MATCH(3,'3. AI Fit Diagnostic'!$Z$8:$Z$57,0)),"")</f>
        <v>Generative AI assistant (off-the-shelf)</v>
      </c>
      <c r="E59" s="15" t="n"/>
      <c r="F59" s="55" t="str">
        <f>IFERROR(INDEX('3. AI Fit Diagnostic'!$T$8:$T$57,MATCH(3,'3. AI Fit Diagnostic'!$Z$8:$Z$57,0)),"")</f>
        <v>AI fit now</v>
      </c>
      <c r="G59" s="15" t="n"/>
      <c r="H59" s="57">
        <f>IFERROR(INDEX('3. AI Fit Diagnostic'!$U$8:$U$57,MATCH(3,'3. AI Fit Diagnostic'!$Z$8:$Z$57,0)),"")</f>
        <v>3.85</v>
      </c>
      <c r="I59" s="57">
        <f>IFERROR(INDEX('3. AI Fit Diagnostic'!$V$8:$V$57,MATCH(3,'3. AI Fit Diagnostic'!$Z$8:$Z$57,0)),"")</f>
        <v>4.5</v>
      </c>
      <c r="J59" s="22" t="str">
        <f>IFERROR(INDEX('3. AI Fit Diagnostic'!$W$8:$W$57,MATCH(3,'3. AI Fit Diagnostic'!$Z$8:$Z$57,0)),"")</f>
        <v>Low</v>
      </c>
      <c r="K59" s="24" t="str">
        <f>IFERROR(INDEX('3. AI Fit Diagnostic'!$AA$8:$AA$57,MATCH(3,'3. AI Fit Diagnostic'!$Z$8:$Z$57,0)),"")</f>
        <v>H1 - Now (0-6 months)</v>
      </c>
    </row>
    <row r="60" ht="36" customHeight="1">
      <c r="A60" s="11" t="n">
        <v>4</v>
      </c>
      <c r="B60" s="55" t="str">
        <f>IFERROR(INDEX('3. AI Fit Diagnostic'!$C$8:$C$57,MATCH(4,'3. AI Fit Diagnostic'!$Z$8:$Z$57,0)),"")</f>
        <v>Audit - working-paper and memo drafting</v>
      </c>
      <c r="C60" s="56" t="str">
        <f>IFERROR(INDEX('3. AI Fit Diagnostic'!$B$8:$B$57,MATCH(4,'3. AI Fit Diagnostic'!$Z$8:$Z$57,0)),"")</f>
        <v>Core service delivery / operations</v>
      </c>
      <c r="D60" s="24" t="str">
        <f>IFERROR(INDEX('3. AI Fit Diagnostic'!$O$8:$O$57,MATCH(4,'3. AI Fit Diagnostic'!$Z$8:$Z$57,0)),"")</f>
        <v>Generative AI assistant (off-the-shelf)</v>
      </c>
      <c r="E60" s="15" t="n"/>
      <c r="F60" s="55" t="str">
        <f>IFERROR(INDEX('3. AI Fit Diagnostic'!$T$8:$T$57,MATCH(4,'3. AI Fit Diagnostic'!$Z$8:$Z$57,0)),"")</f>
        <v>AI fit now</v>
      </c>
      <c r="G60" s="15" t="n"/>
      <c r="H60" s="57">
        <f>IFERROR(INDEX('3. AI Fit Diagnostic'!$U$8:$U$57,MATCH(4,'3. AI Fit Diagnostic'!$Z$8:$Z$57,0)),"")</f>
        <v>3.7</v>
      </c>
      <c r="I60" s="57">
        <f>IFERROR(INDEX('3. AI Fit Diagnostic'!$V$8:$V$57,MATCH(4,'3. AI Fit Diagnostic'!$Z$8:$Z$57,0)),"")</f>
        <v>4.5</v>
      </c>
      <c r="J60" s="22" t="str">
        <f>IFERROR(INDEX('3. AI Fit Diagnostic'!$W$8:$W$57,MATCH(4,'3. AI Fit Diagnostic'!$Z$8:$Z$57,0)),"")</f>
        <v>Medium</v>
      </c>
      <c r="K60" s="24" t="str">
        <f>IFERROR(INDEX('3. AI Fit Diagnostic'!$AA$8:$AA$57,MATCH(4,'3. AI Fit Diagnostic'!$Z$8:$Z$57,0)),"")</f>
        <v>H1 - Now (0-6 months)</v>
      </c>
    </row>
    <row r="61" ht="36" customHeight="1">
      <c r="A61" s="11" t="n">
        <v>5</v>
      </c>
      <c r="B61" s="55" t="str">
        <f>IFERROR(INDEX('3. AI Fit Diagnostic'!$C$8:$C$57,MATCH(5,'3. AI Fit Diagnostic'!$Z$8:$Z$57,0)),"")</f>
        <v>Client acceptance, KYC and independence checks</v>
      </c>
      <c r="C61" s="56" t="str">
        <f>IFERROR(INDEX('3. AI Fit Diagnostic'!$B$8:$B$57,MATCH(5,'3. AI Fit Diagnostic'!$Z$8:$Z$57,0)),"")</f>
        <v>Risk, compliance &amp; legal</v>
      </c>
      <c r="D61" s="24" t="str">
        <f>IFERROR(INDEX('3. AI Fit Diagnostic'!$O$8:$O$57,MATCH(5,'3. AI Fit Diagnostic'!$Z$8:$Z$57,0)),"")</f>
        <v>Rules engine / workflow automation</v>
      </c>
      <c r="E61" s="15" t="n"/>
      <c r="F61" s="55" t="str">
        <f>IFERROR(INDEX('3. AI Fit Diagnostic'!$T$8:$T$57,MATCH(5,'3. AI Fit Diagnostic'!$Z$8:$Z$57,0)),"")</f>
        <v>Automate - AI not needed</v>
      </c>
      <c r="G61" s="15" t="n"/>
      <c r="H61" s="57">
        <f>IFERROR(INDEX('3. AI Fit Diagnostic'!$U$8:$U$57,MATCH(5,'3. AI Fit Diagnostic'!$Z$8:$Z$57,0)),"")</f>
        <v>3.45</v>
      </c>
      <c r="I61" s="57">
        <f>IFERROR(INDEX('3. AI Fit Diagnostic'!$V$8:$V$57,MATCH(5,'3. AI Fit Diagnostic'!$Z$8:$Z$57,0)),"")</f>
        <v>4.75</v>
      </c>
      <c r="J61" s="22" t="str">
        <f>IFERROR(INDEX('3. AI Fit Diagnostic'!$W$8:$W$57,MATCH(5,'3. AI Fit Diagnostic'!$Z$8:$Z$57,0)),"")</f>
        <v>Low</v>
      </c>
      <c r="K61" s="24" t="str">
        <f>IFERROR(INDEX('3. AI Fit Diagnostic'!$AA$8:$AA$57,MATCH(5,'3. AI Fit Diagnostic'!$Z$8:$Z$57,0)),"")</f>
        <v>H1 - Now (0-6 months)</v>
      </c>
    </row>
    <row r="62" ht="36" customHeight="1">
      <c r="A62" s="11" t="n">
        <v>6</v>
      </c>
      <c r="B62" s="55" t="str">
        <f>IFERROR(INDEX('3. AI Fit Diagnostic'!$C$8:$C$57,MATCH(6,'3. AI Fit Diagnostic'!$Z$8:$Z$57,0)),"")</f>
        <v>Audit - bank and confirmation letters</v>
      </c>
      <c r="C62" s="56" t="str">
        <f>IFERROR(INDEX('3. AI Fit Diagnostic'!$B$8:$B$57,MATCH(6,'3. AI Fit Diagnostic'!$Z$8:$Z$57,0)),"")</f>
        <v>Core service delivery / operations</v>
      </c>
      <c r="D62" s="24" t="str">
        <f>IFERROR(INDEX('3. AI Fit Diagnostic'!$O$8:$O$57,MATCH(6,'3. AI Fit Diagnostic'!$Z$8:$Z$57,0)),"")</f>
        <v>Intelligent document processing (IDP)</v>
      </c>
      <c r="E62" s="15" t="n"/>
      <c r="F62" s="55" t="str">
        <f>IFERROR(INDEX('3. AI Fit Diagnostic'!$T$8:$T$57,MATCH(6,'3. AI Fit Diagnostic'!$Z$8:$Z$57,0)),"")</f>
        <v>AI fit now</v>
      </c>
      <c r="G62" s="15" t="n"/>
      <c r="H62" s="57">
        <f>IFERROR(INDEX('3. AI Fit Diagnostic'!$U$8:$U$57,MATCH(6,'3. AI Fit Diagnostic'!$Z$8:$Z$57,0)),"")</f>
        <v>3.6</v>
      </c>
      <c r="I62" s="57">
        <f>IFERROR(INDEX('3. AI Fit Diagnostic'!$V$8:$V$57,MATCH(6,'3. AI Fit Diagnostic'!$Z$8:$Z$57,0)),"")</f>
        <v>4.5</v>
      </c>
      <c r="J62" s="22" t="str">
        <f>IFERROR(INDEX('3. AI Fit Diagnostic'!$W$8:$W$57,MATCH(6,'3. AI Fit Diagnostic'!$Z$8:$Z$57,0)),"")</f>
        <v>Medium</v>
      </c>
      <c r="K62" s="24" t="str">
        <f>IFERROR(INDEX('3. AI Fit Diagnostic'!$AA$8:$AA$57,MATCH(6,'3. AI Fit Diagnostic'!$Z$8:$Z$57,0)),"")</f>
        <v>H1 - Now (0-6 months)</v>
      </c>
    </row>
    <row r="63" ht="36" customHeight="1">
      <c r="A63" s="11" t="n">
        <v>7</v>
      </c>
      <c r="B63" s="55" t="str">
        <f>IFERROR(INDEX('3. AI Fit Diagnostic'!$C$8:$C$57,MATCH(7,'3. AI Fit Diagnostic'!$Z$8:$Z$57,0)),"")</f>
        <v>Methodology and knowledge Q&amp;A</v>
      </c>
      <c r="C63" s="56" t="str">
        <f>IFERROR(INDEX('3. AI Fit Diagnostic'!$B$8:$B$57,MATCH(7,'3. AI Fit Diagnostic'!$Z$8:$Z$57,0)),"")</f>
        <v>Knowledge &amp; collaboration</v>
      </c>
      <c r="D63" s="24" t="str">
        <f>IFERROR(INDEX('3. AI Fit Diagnostic'!$O$8:$O$57,MATCH(7,'3. AI Fit Diagnostic'!$Z$8:$Z$57,0)),"")</f>
        <v>GenAI knowledge assistant (RAG on own content)</v>
      </c>
      <c r="E63" s="15" t="n"/>
      <c r="F63" s="55" t="str">
        <f>IFERROR(INDEX('3. AI Fit Diagnostic'!$T$8:$T$57,MATCH(7,'3. AI Fit Diagnostic'!$Z$8:$Z$57,0)),"")</f>
        <v>AI fit now</v>
      </c>
      <c r="G63" s="15" t="n"/>
      <c r="H63" s="57">
        <f>IFERROR(INDEX('3. AI Fit Diagnostic'!$U$8:$U$57,MATCH(7,'3. AI Fit Diagnostic'!$Z$8:$Z$57,0)),"")</f>
        <v>4.1</v>
      </c>
      <c r="I63" s="57">
        <f>IFERROR(INDEX('3. AI Fit Diagnostic'!$V$8:$V$57,MATCH(7,'3. AI Fit Diagnostic'!$Z$8:$Z$57,0)),"")</f>
        <v>3.75</v>
      </c>
      <c r="J63" s="22" t="str">
        <f>IFERROR(INDEX('3. AI Fit Diagnostic'!$W$8:$W$57,MATCH(7,'3. AI Fit Diagnostic'!$Z$8:$Z$57,0)),"")</f>
        <v>Low</v>
      </c>
      <c r="K63" s="24" t="str">
        <f>IFERROR(INDEX('3. AI Fit Diagnostic'!$AA$8:$AA$57,MATCH(7,'3. AI Fit Diagnostic'!$Z$8:$Z$57,0)),"")</f>
        <v>H1 - Now (0-6 months)</v>
      </c>
    </row>
    <row r="64" ht="36" customHeight="1">
      <c r="A64" s="11" t="n">
        <v>8</v>
      </c>
      <c r="B64" s="55" t="str">
        <f>IFERROR(INDEX('3. AI Fit Diagnostic'!$C$8:$C$57,MATCH(8,'3. AI Fit Diagnostic'!$Z$8:$Z$57,0)),"")</f>
        <v>Proposals and tender responses</v>
      </c>
      <c r="C64" s="56" t="str">
        <f>IFERROR(INDEX('3. AI Fit Diagnostic'!$B$8:$B$57,MATCH(8,'3. AI Fit Diagnostic'!$Z$8:$Z$57,0)),"")</f>
        <v>Customer service &amp; sales</v>
      </c>
      <c r="D64" s="24" t="str">
        <f>IFERROR(INDEX('3. AI Fit Diagnostic'!$O$8:$O$57,MATCH(8,'3. AI Fit Diagnostic'!$Z$8:$Z$57,0)),"")</f>
        <v>Generative AI assistant (off-the-shelf)</v>
      </c>
      <c r="E64" s="15" t="n"/>
      <c r="F64" s="55" t="str">
        <f>IFERROR(INDEX('3. AI Fit Diagnostic'!$T$8:$T$57,MATCH(8,'3. AI Fit Diagnostic'!$Z$8:$Z$57,0)),"")</f>
        <v>AI fit now</v>
      </c>
      <c r="G64" s="15" t="n"/>
      <c r="H64" s="57">
        <f>IFERROR(INDEX('3. AI Fit Diagnostic'!$U$8:$U$57,MATCH(8,'3. AI Fit Diagnostic'!$Z$8:$Z$57,0)),"")</f>
        <v>3.7</v>
      </c>
      <c r="I64" s="57">
        <f>IFERROR(INDEX('3. AI Fit Diagnostic'!$V$8:$V$57,MATCH(8,'3. AI Fit Diagnostic'!$Z$8:$Z$57,0)),"")</f>
        <v>4</v>
      </c>
      <c r="J64" s="22" t="str">
        <f>IFERROR(INDEX('3. AI Fit Diagnostic'!$W$8:$W$57,MATCH(8,'3. AI Fit Diagnostic'!$Z$8:$Z$57,0)),"")</f>
        <v>Low</v>
      </c>
      <c r="K64" s="24" t="str">
        <f>IFERROR(INDEX('3. AI Fit Diagnostic'!$AA$8:$AA$57,MATCH(8,'3. AI Fit Diagnostic'!$Z$8:$Z$57,0)),"")</f>
        <v>H1 - Now (0-6 months)</v>
      </c>
    </row>
    <row r="65" ht="36" customHeight="1">
      <c r="A65" s="11" t="n">
        <v>9</v>
      </c>
      <c r="B65" s="55" t="str">
        <f>IFERROR(INDEX('3. AI Fit Diagnostic'!$C$8:$C$57,MATCH(9,'3. AI Fit Diagnostic'!$Z$8:$Z$57,0)),"")</f>
        <v>Advisory - contract and document review (due diligence)</v>
      </c>
      <c r="C65" s="56" t="str">
        <f>IFERROR(INDEX('3. AI Fit Diagnostic'!$B$8:$B$57,MATCH(9,'3. AI Fit Diagnostic'!$Z$8:$Z$57,0)),"")</f>
        <v>Core service delivery / operations</v>
      </c>
      <c r="D65" s="24" t="str">
        <f>IFERROR(INDEX('3. AI Fit Diagnostic'!$O$8:$O$57,MATCH(9,'3. AI Fit Diagnostic'!$Z$8:$Z$57,0)),"")</f>
        <v>Generative AI assistant (off-the-shelf)</v>
      </c>
      <c r="E65" s="15" t="n"/>
      <c r="F65" s="55" t="str">
        <f>IFERROR(INDEX('3. AI Fit Diagnostic'!$T$8:$T$57,MATCH(9,'3. AI Fit Diagnostic'!$Z$8:$Z$57,0)),"")</f>
        <v>AI fit now</v>
      </c>
      <c r="G65" s="15" t="n"/>
      <c r="H65" s="57">
        <f>IFERROR(INDEX('3. AI Fit Diagnostic'!$U$8:$U$57,MATCH(9,'3. AI Fit Diagnostic'!$Z$8:$Z$57,0)),"")</f>
        <v>3.7</v>
      </c>
      <c r="I65" s="57">
        <f>IFERROR(INDEX('3. AI Fit Diagnostic'!$V$8:$V$57,MATCH(9,'3. AI Fit Diagnostic'!$Z$8:$Z$57,0)),"")</f>
        <v>4</v>
      </c>
      <c r="J65" s="22" t="str">
        <f>IFERROR(INDEX('3. AI Fit Diagnostic'!$W$8:$W$57,MATCH(9,'3. AI Fit Diagnostic'!$Z$8:$Z$57,0)),"")</f>
        <v>Medium</v>
      </c>
      <c r="K65" s="24" t="str">
        <f>IFERROR(INDEX('3. AI Fit Diagnostic'!$AA$8:$AA$57,MATCH(9,'3. AI Fit Diagnostic'!$Z$8:$Z$57,0)),"")</f>
        <v>H1 - Now (0-6 months)</v>
      </c>
    </row>
    <row r="66" ht="36" customHeight="1">
      <c r="A66" s="11" t="n">
        <v>10</v>
      </c>
      <c r="B66" s="55" t="str">
        <f>IFERROR(INDEX('3. AI Fit Diagnostic'!$C$8:$C$57,MATCH(10,'3. AI Fit Diagnostic'!$Z$8:$Z$57,0)),"")</f>
        <v>Tax - VAT and corporate tax research</v>
      </c>
      <c r="C66" s="56" t="str">
        <f>IFERROR(INDEX('3. AI Fit Diagnostic'!$B$8:$B$57,MATCH(10,'3. AI Fit Diagnostic'!$Z$8:$Z$57,0)),"")</f>
        <v>Core service delivery / operations</v>
      </c>
      <c r="D66" s="24" t="str">
        <f>IFERROR(INDEX('3. AI Fit Diagnostic'!$O$8:$O$57,MATCH(10,'3. AI Fit Diagnostic'!$Z$8:$Z$57,0)),"")</f>
        <v>GenAI knowledge assistant (RAG on own content)</v>
      </c>
      <c r="E66" s="15" t="n"/>
      <c r="F66" s="55" t="str">
        <f>IFERROR(INDEX('3. AI Fit Diagnostic'!$T$8:$T$57,MATCH(10,'3. AI Fit Diagnostic'!$Z$8:$Z$57,0)),"")</f>
        <v>AI fit now</v>
      </c>
      <c r="G66" s="15" t="n"/>
      <c r="H66" s="57">
        <f>IFERROR(INDEX('3. AI Fit Diagnostic'!$U$8:$U$57,MATCH(10,'3. AI Fit Diagnostic'!$Z$8:$Z$57,0)),"")</f>
        <v>3.7</v>
      </c>
      <c r="I66" s="57">
        <f>IFERROR(INDEX('3. AI Fit Diagnostic'!$V$8:$V$57,MATCH(10,'3. AI Fit Diagnostic'!$Z$8:$Z$57,0)),"")</f>
        <v>3.75</v>
      </c>
      <c r="J66" s="22" t="str">
        <f>IFERROR(INDEX('3. AI Fit Diagnostic'!$W$8:$W$57,MATCH(10,'3. AI Fit Diagnostic'!$Z$8:$Z$57,0)),"")</f>
        <v>Low</v>
      </c>
      <c r="K66" s="24" t="str">
        <f>IFERROR(INDEX('3. AI Fit Diagnostic'!$AA$8:$AA$57,MATCH(10,'3. AI Fit Diagnostic'!$Z$8:$Z$57,0)),"")</f>
        <v>H1 - Now (0-6 months)</v>
      </c>
    </row>
    <row r="68" ht="28" customHeight="1">
      <c r="A68" s="58" t="inlineStr">
        <is>
          <t>Value and feasibility scored 1-5 (sheet 3). Hours released are indicative (effort x typical reduction for the solution family) and must be validated in the business case. Risk tiers are inherent (before controls) - see the Use-Case Canvas for minimum controls.</t>
        </is>
      </c>
      <c r="B68" s="15" t="n"/>
      <c r="C68" s="15" t="n"/>
      <c r="D68" s="15" t="n"/>
      <c r="E68" s="15" t="n"/>
      <c r="F68" s="15" t="n"/>
      <c r="G68" s="15" t="n"/>
      <c r="H68" s="15" t="n"/>
      <c r="I68" s="15" t="n"/>
      <c r="J68" s="15" t="n"/>
      <c r="K68" s="15" t="n"/>
    </row>
  </sheetData>
  <mergeCells count="46">
    <mergeCell ref="D60:E60"/>
    <mergeCell ref="G12:K12"/>
    <mergeCell ref="D63:E63"/>
    <mergeCell ref="F63:G63"/>
    <mergeCell ref="F65:G65"/>
    <mergeCell ref="C9:K9"/>
    <mergeCell ref="A11:K11"/>
    <mergeCell ref="F17:K17"/>
    <mergeCell ref="A1:K1"/>
    <mergeCell ref="A6:B6"/>
    <mergeCell ref="D65:E65"/>
    <mergeCell ref="F59:G59"/>
    <mergeCell ref="A7:B7"/>
    <mergeCell ref="D57:E57"/>
    <mergeCell ref="F13:K13"/>
    <mergeCell ref="D61:E61"/>
    <mergeCell ref="C8:K8"/>
    <mergeCell ref="D66:E66"/>
    <mergeCell ref="F66:G66"/>
    <mergeCell ref="C7:K7"/>
    <mergeCell ref="F62:G62"/>
    <mergeCell ref="A21:K21"/>
    <mergeCell ref="A55:K55"/>
    <mergeCell ref="F14:K14"/>
    <mergeCell ref="A5:B5"/>
    <mergeCell ref="A2:K2"/>
    <mergeCell ref="D62:E62"/>
    <mergeCell ref="D56:E56"/>
    <mergeCell ref="D58:E58"/>
    <mergeCell ref="A8:B8"/>
    <mergeCell ref="F56:G56"/>
    <mergeCell ref="F58:G58"/>
    <mergeCell ref="C6:K6"/>
    <mergeCell ref="F61:G61"/>
    <mergeCell ref="A4:K4"/>
    <mergeCell ref="F16:K16"/>
    <mergeCell ref="C5:K5"/>
    <mergeCell ref="D64:E64"/>
    <mergeCell ref="F60:G60"/>
    <mergeCell ref="A68:K68"/>
    <mergeCell ref="A9:B9"/>
    <mergeCell ref="B19:K19"/>
    <mergeCell ref="F57:G57"/>
    <mergeCell ref="D59:E59"/>
    <mergeCell ref="F64:G64"/>
    <mergeCell ref="F15:K15"/>
  </mergeCells>
  <conditionalFormatting sqref="C23:C32">
    <cfRule type="cellIs" priority="1" operator="greaterThan" dxfId="1">
      <formula>0</formula>
    </cfRule>
  </conditionalFormatting>
  <conditionalFormatting sqref="D23:D32">
    <cfRule type="cellIs" priority="2" operator="greaterThan" dxfId="4">
      <formula>0</formula>
    </cfRule>
  </conditionalFormatting>
  <conditionalFormatting sqref="E23:E32">
    <cfRule type="cellIs" priority="3" operator="greaterThan" dxfId="3">
      <formula>0</formula>
    </cfRule>
  </conditionalFormatting>
  <conditionalFormatting sqref="F23:F32">
    <cfRule type="cellIs" priority="4" operator="greaterThan" dxfId="2">
      <formula>0</formula>
    </cfRule>
  </conditionalFormatting>
  <conditionalFormatting sqref="G23:G32">
    <cfRule type="cellIs" priority="5" operator="greaterThan" dxfId="5">
      <formula>0</formula>
    </cfRule>
  </conditionalFormatting>
  <conditionalFormatting sqref="K23:K32">
    <cfRule type="cellIs" priority="6" operator="equal" dxfId="1">
      <formula>"AI opportunity"</formula>
    </cfRule>
    <cfRule type="cellIs" priority="7" operator="equal" dxfId="2">
      <formula>"Automation is enough"</formula>
    </cfRule>
  </conditionalFormatting>
  <conditionalFormatting sqref="F57:F66">
    <cfRule type="cellIs" priority="8" operator="equal" dxfId="1">
      <formula>"AI fit now"</formula>
    </cfRule>
    <cfRule type="cellIs" priority="9" operator="equal" dxfId="2">
      <formula>"Automate - AI not needed"</formula>
    </cfRule>
    <cfRule type="cellIs" priority="10" operator="equal" dxfId="3">
      <formula>"AI later - close data gap first"</formula>
    </cfRule>
    <cfRule type="cellIs" priority="11" operator="equal" dxfId="4">
      <formula>"Stretch - partner or later stage"</formula>
    </cfRule>
    <cfRule type="cellIs" priority="12" operator="equal" dxfId="5">
      <formula>"Redesign / standardise first"</formula>
    </cfRule>
  </conditionalFormatting>
  <conditionalFormatting sqref="J57:J66">
    <cfRule type="cellIs" priority="13" operator="equal" dxfId="6">
      <formula>"Low"</formula>
    </cfRule>
    <cfRule type="cellIs" priority="14" operator="equal" dxfId="3">
      <formula>"Medium"</formula>
    </cfRule>
    <cfRule type="cellIs" priority="15" operator="equal" dxfId="4">
      <formula>"High"</formula>
    </cfRule>
  </conditionalFormatting>
  <printOptions gridLines="0"/>
  <pageMargins left="0.5" right="0.5" top="0.75" bottom="0.75" header="0.25" footer="0.25"/>
  <pageSetup orientation="portrait" paperSize="9" fitToHeight="0" fitToWidth="1"/>
  <headerFooter>
    <oddHeader/>
    <oddFooter>&amp;L&amp;8 GT AI Opportunity Discovery Toolkit&amp;R&amp;8 Page &amp;P of &amp;N</oddFooter>
    <evenHeader/>
    <evenFooter/>
    <firstHeader/>
    <firstFooter/>
  </headerFooter>
  <rowBreaks count="1" manualBreakCount="1">
    <brk id="54" min="0" max="16383" man="1"/>
  </rowBreaks>
  <drawing xmlns:r="http://schemas.openxmlformats.org/officeDocument/2006/relationships" r:id="rId1"/>
</worksheet>
</file>

<file path=xl/worksheets/sheet6.xml><?xml version="1.0" encoding="utf-8"?>
<worksheet xmlns="http://schemas.openxmlformats.org/spreadsheetml/2006/main">
  <sheetPr>
    <outlinePr summaryBelow="1" summaryRight="1"/>
    <pageSetUpPr fitToPage="1"/>
  </sheetPr>
  <dimension ref="A1:H73"/>
  <sheetViews>
    <sheetView showGridLines="0" workbookViewId="0">
      <selection activeCell="A1" sqref="A1"/>
    </sheetView>
  </sheetViews>
  <sheetFormatPr baseColWidth="8" defaultRowHeight="15"/>
  <cols>
    <col width="6" customWidth="1" min="1" max="1"/>
    <col width="38" customWidth="1" min="2" max="2"/>
    <col width="26" customWidth="1" min="3" max="3"/>
    <col width="30" customWidth="1" min="4" max="4"/>
    <col width="26" customWidth="1" min="5" max="5"/>
    <col width="11" customWidth="1" min="6" max="6"/>
    <col width="10" customWidth="1" min="7" max="7"/>
    <col hidden="1" width="13" customWidth="1" min="8" max="8"/>
  </cols>
  <sheetData>
    <row r="1" ht="32" customHeight="1">
      <c r="A1" s="1" t="inlineStr">
        <is>
          <t>5. Opportunity Roadmap</t>
        </is>
      </c>
    </row>
    <row r="2" ht="32" customHeight="1">
      <c r="A2" s="2" t="inlineStr">
        <is>
          <t>Opportunities placed automatically by horizon (ordered by priority rank), with the foundations they depend on. Up to 20 / 12 / 10 / 8 items per lane are shown; adjust the horizon by changing inputs on sheet 3.</t>
        </is>
      </c>
    </row>
    <row r="4" ht="22" customHeight="1">
      <c r="A4" s="3" t="inlineStr">
        <is>
          <t>H1 - Now (0-6 months)</t>
        </is>
      </c>
    </row>
    <row r="5">
      <c r="A5" s="59" t="inlineStr">
        <is>
          <t>Rank</t>
        </is>
      </c>
      <c r="B5" s="59" t="inlineStr">
        <is>
          <t>Process / activity</t>
        </is>
      </c>
      <c r="C5" s="59" t="inlineStr">
        <is>
          <t>Function</t>
        </is>
      </c>
      <c r="D5" s="59" t="inlineStr">
        <is>
          <t>Solution family</t>
        </is>
      </c>
      <c r="E5" s="59" t="inlineStr">
        <is>
          <t>Verdict</t>
        </is>
      </c>
      <c r="F5" s="59" t="inlineStr">
        <is>
          <t>Risk tier</t>
        </is>
      </c>
      <c r="G5" s="59" t="inlineStr">
        <is>
          <t>Hours / yr</t>
        </is>
      </c>
    </row>
    <row r="6" ht="26" customHeight="1">
      <c r="A6" s="40">
        <f>IF($H6="","",INDEX('3. AI Fit Diagnostic'!$Z$8:$Z$57,MATCH($H6,'3. AI Fit Diagnostic'!$AD$8:$AD$57,0)))</f>
        <v>1</v>
      </c>
      <c r="B6" s="55" t="str">
        <f>IF($H6="","",INDEX('3. AI Fit Diagnostic'!$C$8:$C$57,MATCH($H6,'3. AI Fit Diagnostic'!$AD$8:$AD$57,0)))</f>
        <v>Tax - VAT return data preparation</v>
      </c>
      <c r="C6" s="24" t="str">
        <f>IF($H6="","",INDEX('3. AI Fit Diagnostic'!$B$8:$B$57,MATCH($H6,'3. AI Fit Diagnostic'!$AD$8:$AD$57,0)))</f>
        <v>Core service delivery / operations</v>
      </c>
      <c r="D6" s="24" t="str">
        <f>IF($H6="","",INDEX('3. AI Fit Diagnostic'!$O$8:$O$57,MATCH($H6,'3. AI Fit Diagnostic'!$AD$8:$AD$57,0)))</f>
        <v>Workflow automation / RPA</v>
      </c>
      <c r="E6" s="24" t="str">
        <f>IF($H6="","",INDEX('3. AI Fit Diagnostic'!$T$8:$T$57,MATCH($H6,'3. AI Fit Diagnostic'!$AD$8:$AD$57,0)))</f>
        <v>Automate - AI not needed</v>
      </c>
      <c r="F6" s="37" t="str">
        <f>IF($H6="","",INDEX('3. AI Fit Diagnostic'!$W$8:$W$57,MATCH($H6,'3. AI Fit Diagnostic'!$AD$8:$AD$57,0)))</f>
        <v>Low</v>
      </c>
      <c r="G6" s="41">
        <f>IF($H6="","",INDEX('3. AI Fit Diagnostic'!$AB$8:$AB$57,MATCH($H6,'3. AI Fit Diagnostic'!$AD$8:$AD$57,0)))</f>
        <v>1440</v>
      </c>
      <c r="H6">
        <f>IF(IFERROR(SMALL('3. AI Fit Diagnostic'!$AD$8:$AD$57,COUNTIF('3. AI Fit Diagnostic'!$AD$8:$AD$57,"&lt;"&amp;100)+1),"")="","",IF(IFERROR(SMALL('3. AI Fit Diagnostic'!$AD$8:$AD$57,COUNTIF('3. AI Fit Diagnostic'!$AD$8:$AD$57,"&lt;"&amp;100)+1),"")&lt;200,IFERROR(SMALL('3. AI Fit Diagnostic'!$AD$8:$AD$57,COUNTIF('3. AI Fit Diagnostic'!$AD$8:$AD$57,"&lt;"&amp;100)+1),""),""))</f>
        <v>101</v>
      </c>
    </row>
    <row r="7" ht="26" customHeight="1">
      <c r="A7" s="40">
        <f>IF($H7="","",INDEX('3. AI Fit Diagnostic'!$Z$8:$Z$57,MATCH($H7,'3. AI Fit Diagnostic'!$AD$8:$AD$57,0)))</f>
        <v>2</v>
      </c>
      <c r="B7" s="55" t="str">
        <f>IF($H7="","",INDEX('3. AI Fit Diagnostic'!$C$8:$C$57,MATCH($H7,'3. AI Fit Diagnostic'!$AD$8:$AD$57,0)))</f>
        <v>Timesheets, WIP and billing</v>
      </c>
      <c r="C7" s="24" t="str">
        <f>IF($H7="","",INDEX('3. AI Fit Diagnostic'!$B$8:$B$57,MATCH($H7,'3. AI Fit Diagnostic'!$AD$8:$AD$57,0)))</f>
        <v>Finance &amp; accounting</v>
      </c>
      <c r="D7" s="24" t="str">
        <f>IF($H7="","",INDEX('3. AI Fit Diagnostic'!$O$8:$O$57,MATCH($H7,'3. AI Fit Diagnostic'!$AD$8:$AD$57,0)))</f>
        <v>Workflow automation / RPA</v>
      </c>
      <c r="E7" s="24" t="str">
        <f>IF($H7="","",INDEX('3. AI Fit Diagnostic'!$T$8:$T$57,MATCH($H7,'3. AI Fit Diagnostic'!$AD$8:$AD$57,0)))</f>
        <v>Automate - AI not needed</v>
      </c>
      <c r="F7" s="37" t="str">
        <f>IF($H7="","",INDEX('3. AI Fit Diagnostic'!$W$8:$W$57,MATCH($H7,'3. AI Fit Diagnostic'!$AD$8:$AD$57,0)))</f>
        <v>Low</v>
      </c>
      <c r="G7" s="41">
        <f>IF($H7="","",INDEX('3. AI Fit Diagnostic'!$AB$8:$AB$57,MATCH($H7,'3. AI Fit Diagnostic'!$AD$8:$AD$57,0)))</f>
        <v>1296</v>
      </c>
      <c r="H7">
        <f>IF(IFERROR(SMALL('3. AI Fit Diagnostic'!$AD$8:$AD$57,COUNTIF('3. AI Fit Diagnostic'!$AD$8:$AD$57,"&lt;"&amp;100)+2),"")="","",IF(IFERROR(SMALL('3. AI Fit Diagnostic'!$AD$8:$AD$57,COUNTIF('3. AI Fit Diagnostic'!$AD$8:$AD$57,"&lt;"&amp;100)+2),"")&lt;200,IFERROR(SMALL('3. AI Fit Diagnostic'!$AD$8:$AD$57,COUNTIF('3. AI Fit Diagnostic'!$AD$8:$AD$57,"&lt;"&amp;100)+2),""),""))</f>
        <v>102</v>
      </c>
    </row>
    <row r="8" ht="26" customHeight="1">
      <c r="A8" s="40">
        <f>IF($H8="","",INDEX('3. AI Fit Diagnostic'!$Z$8:$Z$57,MATCH($H8,'3. AI Fit Diagnostic'!$AD$8:$AD$57,0)))</f>
        <v>3</v>
      </c>
      <c r="B8" s="55" t="str">
        <f>IF($H8="","",INDEX('3. AI Fit Diagnostic'!$C$8:$C$57,MATCH($H8,'3. AI Fit Diagnostic'!$AD$8:$AD$57,0)))</f>
        <v>Meeting minutes and action tracking</v>
      </c>
      <c r="C8" s="24" t="str">
        <f>IF($H8="","",INDEX('3. AI Fit Diagnostic'!$B$8:$B$57,MATCH($H8,'3. AI Fit Diagnostic'!$AD$8:$AD$57,0)))</f>
        <v>Management &amp; reporting</v>
      </c>
      <c r="D8" s="24" t="str">
        <f>IF($H8="","",INDEX('3. AI Fit Diagnostic'!$O$8:$O$57,MATCH($H8,'3. AI Fit Diagnostic'!$AD$8:$AD$57,0)))</f>
        <v>Generative AI assistant (off-the-shelf)</v>
      </c>
      <c r="E8" s="24" t="str">
        <f>IF($H8="","",INDEX('3. AI Fit Diagnostic'!$T$8:$T$57,MATCH($H8,'3. AI Fit Diagnostic'!$AD$8:$AD$57,0)))</f>
        <v>AI fit now</v>
      </c>
      <c r="F8" s="37" t="str">
        <f>IF($H8="","",INDEX('3. AI Fit Diagnostic'!$W$8:$W$57,MATCH($H8,'3. AI Fit Diagnostic'!$AD$8:$AD$57,0)))</f>
        <v>Low</v>
      </c>
      <c r="G8" s="41">
        <f>IF($H8="","",INDEX('3. AI Fit Diagnostic'!$AB$8:$AB$57,MATCH($H8,'3. AI Fit Diagnostic'!$AD$8:$AD$57,0)))</f>
        <v>900</v>
      </c>
      <c r="H8">
        <f>IF(IFERROR(SMALL('3. AI Fit Diagnostic'!$AD$8:$AD$57,COUNTIF('3. AI Fit Diagnostic'!$AD$8:$AD$57,"&lt;"&amp;100)+3),"")="","",IF(IFERROR(SMALL('3. AI Fit Diagnostic'!$AD$8:$AD$57,COUNTIF('3. AI Fit Diagnostic'!$AD$8:$AD$57,"&lt;"&amp;100)+3),"")&lt;200,IFERROR(SMALL('3. AI Fit Diagnostic'!$AD$8:$AD$57,COUNTIF('3. AI Fit Diagnostic'!$AD$8:$AD$57,"&lt;"&amp;100)+3),""),""))</f>
        <v>103</v>
      </c>
    </row>
    <row r="9" ht="26" customHeight="1">
      <c r="A9" s="40">
        <f>IF($H9="","",INDEX('3. AI Fit Diagnostic'!$Z$8:$Z$57,MATCH($H9,'3. AI Fit Diagnostic'!$AD$8:$AD$57,0)))</f>
        <v>4</v>
      </c>
      <c r="B9" s="55" t="str">
        <f>IF($H9="","",INDEX('3. AI Fit Diagnostic'!$C$8:$C$57,MATCH($H9,'3. AI Fit Diagnostic'!$AD$8:$AD$57,0)))</f>
        <v>Audit - working-paper and memo drafting</v>
      </c>
      <c r="C9" s="24" t="str">
        <f>IF($H9="","",INDEX('3. AI Fit Diagnostic'!$B$8:$B$57,MATCH($H9,'3. AI Fit Diagnostic'!$AD$8:$AD$57,0)))</f>
        <v>Core service delivery / operations</v>
      </c>
      <c r="D9" s="24" t="str">
        <f>IF($H9="","",INDEX('3. AI Fit Diagnostic'!$O$8:$O$57,MATCH($H9,'3. AI Fit Diagnostic'!$AD$8:$AD$57,0)))</f>
        <v>Generative AI assistant (off-the-shelf)</v>
      </c>
      <c r="E9" s="24" t="str">
        <f>IF($H9="","",INDEX('3. AI Fit Diagnostic'!$T$8:$T$57,MATCH($H9,'3. AI Fit Diagnostic'!$AD$8:$AD$57,0)))</f>
        <v>AI fit now</v>
      </c>
      <c r="F9" s="37" t="str">
        <f>IF($H9="","",INDEX('3. AI Fit Diagnostic'!$W$8:$W$57,MATCH($H9,'3. AI Fit Diagnostic'!$AD$8:$AD$57,0)))</f>
        <v>Medium</v>
      </c>
      <c r="G9" s="41">
        <f>IF($H9="","",INDEX('3. AI Fit Diagnostic'!$AB$8:$AB$57,MATCH($H9,'3. AI Fit Diagnostic'!$AD$8:$AD$57,0)))</f>
        <v>1440</v>
      </c>
      <c r="H9">
        <f>IF(IFERROR(SMALL('3. AI Fit Diagnostic'!$AD$8:$AD$57,COUNTIF('3. AI Fit Diagnostic'!$AD$8:$AD$57,"&lt;"&amp;100)+4),"")="","",IF(IFERROR(SMALL('3. AI Fit Diagnostic'!$AD$8:$AD$57,COUNTIF('3. AI Fit Diagnostic'!$AD$8:$AD$57,"&lt;"&amp;100)+4),"")&lt;200,IFERROR(SMALL('3. AI Fit Diagnostic'!$AD$8:$AD$57,COUNTIF('3. AI Fit Diagnostic'!$AD$8:$AD$57,"&lt;"&amp;100)+4),""),""))</f>
        <v>104</v>
      </c>
    </row>
    <row r="10" ht="26" customHeight="1">
      <c r="A10" s="40">
        <f>IF($H10="","",INDEX('3. AI Fit Diagnostic'!$Z$8:$Z$57,MATCH($H10,'3. AI Fit Diagnostic'!$AD$8:$AD$57,0)))</f>
        <v>5</v>
      </c>
      <c r="B10" s="55" t="str">
        <f>IF($H10="","",INDEX('3. AI Fit Diagnostic'!$C$8:$C$57,MATCH($H10,'3. AI Fit Diagnostic'!$AD$8:$AD$57,0)))</f>
        <v>Client acceptance, KYC and independence checks</v>
      </c>
      <c r="C10" s="24" t="str">
        <f>IF($H10="","",INDEX('3. AI Fit Diagnostic'!$B$8:$B$57,MATCH($H10,'3. AI Fit Diagnostic'!$AD$8:$AD$57,0)))</f>
        <v>Risk, compliance &amp; legal</v>
      </c>
      <c r="D10" s="24" t="str">
        <f>IF($H10="","",INDEX('3. AI Fit Diagnostic'!$O$8:$O$57,MATCH($H10,'3. AI Fit Diagnostic'!$AD$8:$AD$57,0)))</f>
        <v>Rules engine / workflow automation</v>
      </c>
      <c r="E10" s="24" t="str">
        <f>IF($H10="","",INDEX('3. AI Fit Diagnostic'!$T$8:$T$57,MATCH($H10,'3. AI Fit Diagnostic'!$AD$8:$AD$57,0)))</f>
        <v>Automate - AI not needed</v>
      </c>
      <c r="F10" s="37" t="str">
        <f>IF($H10="","",INDEX('3. AI Fit Diagnostic'!$W$8:$W$57,MATCH($H10,'3. AI Fit Diagnostic'!$AD$8:$AD$57,0)))</f>
        <v>Low</v>
      </c>
      <c r="G10" s="41">
        <f>IF($H10="","",INDEX('3. AI Fit Diagnostic'!$AB$8:$AB$57,MATCH($H10,'3. AI Fit Diagnostic'!$AD$8:$AD$57,0)))</f>
        <v>840</v>
      </c>
      <c r="H10">
        <f>IF(IFERROR(SMALL('3. AI Fit Diagnostic'!$AD$8:$AD$57,COUNTIF('3. AI Fit Diagnostic'!$AD$8:$AD$57,"&lt;"&amp;100)+5),"")="","",IF(IFERROR(SMALL('3. AI Fit Diagnostic'!$AD$8:$AD$57,COUNTIF('3. AI Fit Diagnostic'!$AD$8:$AD$57,"&lt;"&amp;100)+5),"")&lt;200,IFERROR(SMALL('3. AI Fit Diagnostic'!$AD$8:$AD$57,COUNTIF('3. AI Fit Diagnostic'!$AD$8:$AD$57,"&lt;"&amp;100)+5),""),""))</f>
        <v>105</v>
      </c>
    </row>
    <row r="11" ht="26" customHeight="1">
      <c r="A11" s="40">
        <f>IF($H11="","",INDEX('3. AI Fit Diagnostic'!$Z$8:$Z$57,MATCH($H11,'3. AI Fit Diagnostic'!$AD$8:$AD$57,0)))</f>
        <v>6</v>
      </c>
      <c r="B11" s="55" t="str">
        <f>IF($H11="","",INDEX('3. AI Fit Diagnostic'!$C$8:$C$57,MATCH($H11,'3. AI Fit Diagnostic'!$AD$8:$AD$57,0)))</f>
        <v>Audit - bank and confirmation letters</v>
      </c>
      <c r="C11" s="24" t="str">
        <f>IF($H11="","",INDEX('3. AI Fit Diagnostic'!$B$8:$B$57,MATCH($H11,'3. AI Fit Diagnostic'!$AD$8:$AD$57,0)))</f>
        <v>Core service delivery / operations</v>
      </c>
      <c r="D11" s="24" t="str">
        <f>IF($H11="","",INDEX('3. AI Fit Diagnostic'!$O$8:$O$57,MATCH($H11,'3. AI Fit Diagnostic'!$AD$8:$AD$57,0)))</f>
        <v>Intelligent document processing (IDP)</v>
      </c>
      <c r="E11" s="24" t="str">
        <f>IF($H11="","",INDEX('3. AI Fit Diagnostic'!$T$8:$T$57,MATCH($H11,'3. AI Fit Diagnostic'!$AD$8:$AD$57,0)))</f>
        <v>AI fit now</v>
      </c>
      <c r="F11" s="37" t="str">
        <f>IF($H11="","",INDEX('3. AI Fit Diagnostic'!$W$8:$W$57,MATCH($H11,'3. AI Fit Diagnostic'!$AD$8:$AD$57,0)))</f>
        <v>Medium</v>
      </c>
      <c r="G11" s="41">
        <f>IF($H11="","",INDEX('3. AI Fit Diagnostic'!$AB$8:$AB$57,MATCH($H11,'3. AI Fit Diagnostic'!$AD$8:$AD$57,0)))</f>
        <v>720</v>
      </c>
      <c r="H11">
        <f>IF(IFERROR(SMALL('3. AI Fit Diagnostic'!$AD$8:$AD$57,COUNTIF('3. AI Fit Diagnostic'!$AD$8:$AD$57,"&lt;"&amp;100)+6),"")="","",IF(IFERROR(SMALL('3. AI Fit Diagnostic'!$AD$8:$AD$57,COUNTIF('3. AI Fit Diagnostic'!$AD$8:$AD$57,"&lt;"&amp;100)+6),"")&lt;200,IFERROR(SMALL('3. AI Fit Diagnostic'!$AD$8:$AD$57,COUNTIF('3. AI Fit Diagnostic'!$AD$8:$AD$57,"&lt;"&amp;100)+6),""),""))</f>
        <v>106</v>
      </c>
    </row>
    <row r="12" ht="26" customHeight="1">
      <c r="A12" s="40">
        <f>IF($H12="","",INDEX('3. AI Fit Diagnostic'!$Z$8:$Z$57,MATCH($H12,'3. AI Fit Diagnostic'!$AD$8:$AD$57,0)))</f>
        <v>7</v>
      </c>
      <c r="B12" s="55" t="str">
        <f>IF($H12="","",INDEX('3. AI Fit Diagnostic'!$C$8:$C$57,MATCH($H12,'3. AI Fit Diagnostic'!$AD$8:$AD$57,0)))</f>
        <v>Methodology and knowledge Q&amp;A</v>
      </c>
      <c r="C12" s="24" t="str">
        <f>IF($H12="","",INDEX('3. AI Fit Diagnostic'!$B$8:$B$57,MATCH($H12,'3. AI Fit Diagnostic'!$AD$8:$AD$57,0)))</f>
        <v>Knowledge &amp; collaboration</v>
      </c>
      <c r="D12" s="24" t="str">
        <f>IF($H12="","",INDEX('3. AI Fit Diagnostic'!$O$8:$O$57,MATCH($H12,'3. AI Fit Diagnostic'!$AD$8:$AD$57,0)))</f>
        <v>GenAI knowledge assistant (RAG on own content)</v>
      </c>
      <c r="E12" s="24" t="str">
        <f>IF($H12="","",INDEX('3. AI Fit Diagnostic'!$T$8:$T$57,MATCH($H12,'3. AI Fit Diagnostic'!$AD$8:$AD$57,0)))</f>
        <v>AI fit now</v>
      </c>
      <c r="F12" s="37" t="str">
        <f>IF($H12="","",INDEX('3. AI Fit Diagnostic'!$W$8:$W$57,MATCH($H12,'3. AI Fit Diagnostic'!$AD$8:$AD$57,0)))</f>
        <v>Low</v>
      </c>
      <c r="G12" s="41">
        <f>IF($H12="","",INDEX('3. AI Fit Diagnostic'!$AB$8:$AB$57,MATCH($H12,'3. AI Fit Diagnostic'!$AD$8:$AD$57,0)))</f>
        <v>600</v>
      </c>
      <c r="H12">
        <f>IF(IFERROR(SMALL('3. AI Fit Diagnostic'!$AD$8:$AD$57,COUNTIF('3. AI Fit Diagnostic'!$AD$8:$AD$57,"&lt;"&amp;100)+7),"")="","",IF(IFERROR(SMALL('3. AI Fit Diagnostic'!$AD$8:$AD$57,COUNTIF('3. AI Fit Diagnostic'!$AD$8:$AD$57,"&lt;"&amp;100)+7),"")&lt;200,IFERROR(SMALL('3. AI Fit Diagnostic'!$AD$8:$AD$57,COUNTIF('3. AI Fit Diagnostic'!$AD$8:$AD$57,"&lt;"&amp;100)+7),""),""))</f>
        <v>107</v>
      </c>
    </row>
    <row r="13" ht="26" customHeight="1">
      <c r="A13" s="40">
        <f>IF($H13="","",INDEX('3. AI Fit Diagnostic'!$Z$8:$Z$57,MATCH($H13,'3. AI Fit Diagnostic'!$AD$8:$AD$57,0)))</f>
        <v>8</v>
      </c>
      <c r="B13" s="55" t="str">
        <f>IF($H13="","",INDEX('3. AI Fit Diagnostic'!$C$8:$C$57,MATCH($H13,'3. AI Fit Diagnostic'!$AD$8:$AD$57,0)))</f>
        <v>Proposals and tender responses</v>
      </c>
      <c r="C13" s="24" t="str">
        <f>IF($H13="","",INDEX('3. AI Fit Diagnostic'!$B$8:$B$57,MATCH($H13,'3. AI Fit Diagnostic'!$AD$8:$AD$57,0)))</f>
        <v>Customer service &amp; sales</v>
      </c>
      <c r="D13" s="24" t="str">
        <f>IF($H13="","",INDEX('3. AI Fit Diagnostic'!$O$8:$O$57,MATCH($H13,'3. AI Fit Diagnostic'!$AD$8:$AD$57,0)))</f>
        <v>Generative AI assistant (off-the-shelf)</v>
      </c>
      <c r="E13" s="24" t="str">
        <f>IF($H13="","",INDEX('3. AI Fit Diagnostic'!$T$8:$T$57,MATCH($H13,'3. AI Fit Diagnostic'!$AD$8:$AD$57,0)))</f>
        <v>AI fit now</v>
      </c>
      <c r="F13" s="37" t="str">
        <f>IF($H13="","",INDEX('3. AI Fit Diagnostic'!$W$8:$W$57,MATCH($H13,'3. AI Fit Diagnostic'!$AD$8:$AD$57,0)))</f>
        <v>Low</v>
      </c>
      <c r="G13" s="41">
        <f>IF($H13="","",INDEX('3. AI Fit Diagnostic'!$AB$8:$AB$57,MATCH($H13,'3. AI Fit Diagnostic'!$AD$8:$AD$57,0)))</f>
        <v>1260</v>
      </c>
      <c r="H13">
        <f>IF(IFERROR(SMALL('3. AI Fit Diagnostic'!$AD$8:$AD$57,COUNTIF('3. AI Fit Diagnostic'!$AD$8:$AD$57,"&lt;"&amp;100)+8),"")="","",IF(IFERROR(SMALL('3. AI Fit Diagnostic'!$AD$8:$AD$57,COUNTIF('3. AI Fit Diagnostic'!$AD$8:$AD$57,"&lt;"&amp;100)+8),"")&lt;200,IFERROR(SMALL('3. AI Fit Diagnostic'!$AD$8:$AD$57,COUNTIF('3. AI Fit Diagnostic'!$AD$8:$AD$57,"&lt;"&amp;100)+8),""),""))</f>
        <v>108</v>
      </c>
    </row>
    <row r="14" ht="26" customHeight="1">
      <c r="A14" s="40">
        <f>IF($H14="","",INDEX('3. AI Fit Diagnostic'!$Z$8:$Z$57,MATCH($H14,'3. AI Fit Diagnostic'!$AD$8:$AD$57,0)))</f>
        <v>9</v>
      </c>
      <c r="B14" s="55" t="str">
        <f>IF($H14="","",INDEX('3. AI Fit Diagnostic'!$C$8:$C$57,MATCH($H14,'3. AI Fit Diagnostic'!$AD$8:$AD$57,0)))</f>
        <v>Advisory - contract and document review (due diligence)</v>
      </c>
      <c r="C14" s="24" t="str">
        <f>IF($H14="","",INDEX('3. AI Fit Diagnostic'!$B$8:$B$57,MATCH($H14,'3. AI Fit Diagnostic'!$AD$8:$AD$57,0)))</f>
        <v>Core service delivery / operations</v>
      </c>
      <c r="D14" s="24" t="str">
        <f>IF($H14="","",INDEX('3. AI Fit Diagnostic'!$O$8:$O$57,MATCH($H14,'3. AI Fit Diagnostic'!$AD$8:$AD$57,0)))</f>
        <v>Generative AI assistant (off-the-shelf)</v>
      </c>
      <c r="E14" s="24" t="str">
        <f>IF($H14="","",INDEX('3. AI Fit Diagnostic'!$T$8:$T$57,MATCH($H14,'3. AI Fit Diagnostic'!$AD$8:$AD$57,0)))</f>
        <v>AI fit now</v>
      </c>
      <c r="F14" s="37" t="str">
        <f>IF($H14="","",INDEX('3. AI Fit Diagnostic'!$W$8:$W$57,MATCH($H14,'3. AI Fit Diagnostic'!$AD$8:$AD$57,0)))</f>
        <v>Medium</v>
      </c>
      <c r="G14" s="41">
        <f>IF($H14="","",INDEX('3. AI Fit Diagnostic'!$AB$8:$AB$57,MATCH($H14,'3. AI Fit Diagnostic'!$AD$8:$AD$57,0)))</f>
        <v>792</v>
      </c>
      <c r="H14">
        <f>IF(IFERROR(SMALL('3. AI Fit Diagnostic'!$AD$8:$AD$57,COUNTIF('3. AI Fit Diagnostic'!$AD$8:$AD$57,"&lt;"&amp;100)+9),"")="","",IF(IFERROR(SMALL('3. AI Fit Diagnostic'!$AD$8:$AD$57,COUNTIF('3. AI Fit Diagnostic'!$AD$8:$AD$57,"&lt;"&amp;100)+9),"")&lt;200,IFERROR(SMALL('3. AI Fit Diagnostic'!$AD$8:$AD$57,COUNTIF('3. AI Fit Diagnostic'!$AD$8:$AD$57,"&lt;"&amp;100)+9),""),""))</f>
        <v>109</v>
      </c>
    </row>
    <row r="15" ht="26" customHeight="1">
      <c r="A15" s="40">
        <f>IF($H15="","",INDEX('3. AI Fit Diagnostic'!$Z$8:$Z$57,MATCH($H15,'3. AI Fit Diagnostic'!$AD$8:$AD$57,0)))</f>
        <v>10</v>
      </c>
      <c r="B15" s="55" t="str">
        <f>IF($H15="","",INDEX('3. AI Fit Diagnostic'!$C$8:$C$57,MATCH($H15,'3. AI Fit Diagnostic'!$AD$8:$AD$57,0)))</f>
        <v>Tax - VAT and corporate tax research</v>
      </c>
      <c r="C15" s="24" t="str">
        <f>IF($H15="","",INDEX('3. AI Fit Diagnostic'!$B$8:$B$57,MATCH($H15,'3. AI Fit Diagnostic'!$AD$8:$AD$57,0)))</f>
        <v>Core service delivery / operations</v>
      </c>
      <c r="D15" s="24" t="str">
        <f>IF($H15="","",INDEX('3. AI Fit Diagnostic'!$O$8:$O$57,MATCH($H15,'3. AI Fit Diagnostic'!$AD$8:$AD$57,0)))</f>
        <v>GenAI knowledge assistant (RAG on own content)</v>
      </c>
      <c r="E15" s="24" t="str">
        <f>IF($H15="","",INDEX('3. AI Fit Diagnostic'!$T$8:$T$57,MATCH($H15,'3. AI Fit Diagnostic'!$AD$8:$AD$57,0)))</f>
        <v>AI fit now</v>
      </c>
      <c r="F15" s="37" t="str">
        <f>IF($H15="","",INDEX('3. AI Fit Diagnostic'!$W$8:$W$57,MATCH($H15,'3. AI Fit Diagnostic'!$AD$8:$AD$57,0)))</f>
        <v>Low</v>
      </c>
      <c r="G15" s="41">
        <f>IF($H15="","",INDEX('3. AI Fit Diagnostic'!$AB$8:$AB$57,MATCH($H15,'3. AI Fit Diagnostic'!$AD$8:$AD$57,0)))</f>
        <v>480</v>
      </c>
      <c r="H15">
        <f>IF(IFERROR(SMALL('3. AI Fit Diagnostic'!$AD$8:$AD$57,COUNTIF('3. AI Fit Diagnostic'!$AD$8:$AD$57,"&lt;"&amp;100)+10),"")="","",IF(IFERROR(SMALL('3. AI Fit Diagnostic'!$AD$8:$AD$57,COUNTIF('3. AI Fit Diagnostic'!$AD$8:$AD$57,"&lt;"&amp;100)+10),"")&lt;200,IFERROR(SMALL('3. AI Fit Diagnostic'!$AD$8:$AD$57,COUNTIF('3. AI Fit Diagnostic'!$AD$8:$AD$57,"&lt;"&amp;100)+10),""),""))</f>
        <v>110</v>
      </c>
    </row>
    <row r="16" ht="26" customHeight="1">
      <c r="A16" s="40">
        <f>IF($H16="","",INDEX('3. AI Fit Diagnostic'!$Z$8:$Z$57,MATCH($H16,'3. AI Fit Diagnostic'!$AD$8:$AD$57,0)))</f>
        <v>11</v>
      </c>
      <c r="B16" s="55" t="str">
        <f>IF($H16="","",INDEX('3. AI Fit Diagnostic'!$C$8:$C$57,MATCH($H16,'3. AI Fit Diagnostic'!$AD$8:$AD$57,0)))</f>
        <v>Client BCP and business impact analysis (AI-powered BCP tool - in preparation)</v>
      </c>
      <c r="C16" s="24" t="str">
        <f>IF($H16="","",INDEX('3. AI Fit Diagnostic'!$B$8:$B$57,MATCH($H16,'3. AI Fit Diagnostic'!$AD$8:$AD$57,0)))</f>
        <v>Risk, compliance &amp; legal</v>
      </c>
      <c r="D16" s="24" t="str">
        <f>IF($H16="","",INDEX('3. AI Fit Diagnostic'!$O$8:$O$57,MATCH($H16,'3. AI Fit Diagnostic'!$AD$8:$AD$57,0)))</f>
        <v>Generative AI assistant (off-the-shelf)</v>
      </c>
      <c r="E16" s="24" t="str">
        <f>IF($H16="","",INDEX('3. AI Fit Diagnostic'!$T$8:$T$57,MATCH($H16,'3. AI Fit Diagnostic'!$AD$8:$AD$57,0)))</f>
        <v>AI fit now</v>
      </c>
      <c r="F16" s="37" t="str">
        <f>IF($H16="","",INDEX('3. AI Fit Diagnostic'!$W$8:$W$57,MATCH($H16,'3. AI Fit Diagnostic'!$AD$8:$AD$57,0)))</f>
        <v>Medium</v>
      </c>
      <c r="G16" s="41">
        <f>IF($H16="","",INDEX('3. AI Fit Diagnostic'!$AB$8:$AB$57,MATCH($H16,'3. AI Fit Diagnostic'!$AD$8:$AD$57,0)))</f>
        <v>720</v>
      </c>
      <c r="H16">
        <f>IF(IFERROR(SMALL('3. AI Fit Diagnostic'!$AD$8:$AD$57,COUNTIF('3. AI Fit Diagnostic'!$AD$8:$AD$57,"&lt;"&amp;100)+11),"")="","",IF(IFERROR(SMALL('3. AI Fit Diagnostic'!$AD$8:$AD$57,COUNTIF('3. AI Fit Diagnostic'!$AD$8:$AD$57,"&lt;"&amp;100)+11),"")&lt;200,IFERROR(SMALL('3. AI Fit Diagnostic'!$AD$8:$AD$57,COUNTIF('3. AI Fit Diagnostic'!$AD$8:$AD$57,"&lt;"&amp;100)+11),""),""))</f>
        <v>111</v>
      </c>
    </row>
    <row r="17" ht="26" customHeight="1">
      <c r="A17" s="40">
        <f>IF($H17="","",INDEX('3. AI Fit Diagnostic'!$Z$8:$Z$57,MATCH($H17,'3. AI Fit Diagnostic'!$AD$8:$AD$57,0)))</f>
        <v>12</v>
      </c>
      <c r="B17" s="55" t="str">
        <f>IF($H17="","",INDEX('3. AI Fit Diagnostic'!$C$8:$C$57,MATCH($H17,'3. AI Fit Diagnostic'!$AD$8:$AD$57,0)))</f>
        <v>Thought-leadership and social content</v>
      </c>
      <c r="C17" s="24" t="str">
        <f>IF($H17="","",INDEX('3. AI Fit Diagnostic'!$B$8:$B$57,MATCH($H17,'3. AI Fit Diagnostic'!$AD$8:$AD$57,0)))</f>
        <v>Marketing &amp; communications</v>
      </c>
      <c r="D17" s="24" t="str">
        <f>IF($H17="","",INDEX('3. AI Fit Diagnostic'!$O$8:$O$57,MATCH($H17,'3. AI Fit Diagnostic'!$AD$8:$AD$57,0)))</f>
        <v>Generative AI assistant (off-the-shelf)</v>
      </c>
      <c r="E17" s="24" t="str">
        <f>IF($H17="","",INDEX('3. AI Fit Diagnostic'!$T$8:$T$57,MATCH($H17,'3. AI Fit Diagnostic'!$AD$8:$AD$57,0)))</f>
        <v>AI fit now</v>
      </c>
      <c r="F17" s="37" t="str">
        <f>IF($H17="","",INDEX('3. AI Fit Diagnostic'!$W$8:$W$57,MATCH($H17,'3. AI Fit Diagnostic'!$AD$8:$AD$57,0)))</f>
        <v>Low</v>
      </c>
      <c r="G17" s="41">
        <f>IF($H17="","",INDEX('3. AI Fit Diagnostic'!$AB$8:$AB$57,MATCH($H17,'3. AI Fit Diagnostic'!$AD$8:$AD$57,0)))</f>
        <v>288</v>
      </c>
      <c r="H17">
        <f>IF(IFERROR(SMALL('3. AI Fit Diagnostic'!$AD$8:$AD$57,COUNTIF('3. AI Fit Diagnostic'!$AD$8:$AD$57,"&lt;"&amp;100)+12),"")="","",IF(IFERROR(SMALL('3. AI Fit Diagnostic'!$AD$8:$AD$57,COUNTIF('3. AI Fit Diagnostic'!$AD$8:$AD$57,"&lt;"&amp;100)+12),"")&lt;200,IFERROR(SMALL('3. AI Fit Diagnostic'!$AD$8:$AD$57,COUNTIF('3. AI Fit Diagnostic'!$AD$8:$AD$57,"&lt;"&amp;100)+12),""),""))</f>
        <v>112</v>
      </c>
    </row>
    <row r="18" ht="26" customHeight="1">
      <c r="A18" s="40">
        <f>IF($H18="","",INDEX('3. AI Fit Diagnostic'!$Z$8:$Z$57,MATCH($H18,'3. AI Fit Diagnostic'!$AD$8:$AD$57,0)))</f>
        <v>13</v>
      </c>
      <c r="B18" s="55" t="str">
        <f>IF($H18="","",INDEX('3. AI Fit Diagnostic'!$C$8:$C$57,MATCH($H18,'3. AI Fit Diagnostic'!$AD$8:$AD$57,0)))</f>
        <v>AI readiness assessment report production</v>
      </c>
      <c r="C18" s="24" t="str">
        <f>IF($H18="","",INDEX('3. AI Fit Diagnostic'!$B$8:$B$57,MATCH($H18,'3. AI Fit Diagnostic'!$AD$8:$AD$57,0)))</f>
        <v>Core service delivery / operations</v>
      </c>
      <c r="D18" s="24" t="str">
        <f>IF($H18="","",INDEX('3. AI Fit Diagnostic'!$O$8:$O$57,MATCH($H18,'3. AI Fit Diagnostic'!$AD$8:$AD$57,0)))</f>
        <v>Workflow automation / RPA</v>
      </c>
      <c r="E18" s="24" t="str">
        <f>IF($H18="","",INDEX('3. AI Fit Diagnostic'!$T$8:$T$57,MATCH($H18,'3. AI Fit Diagnostic'!$AD$8:$AD$57,0)))</f>
        <v>Automate - AI not needed</v>
      </c>
      <c r="F18" s="37" t="str">
        <f>IF($H18="","",INDEX('3. AI Fit Diagnostic'!$W$8:$W$57,MATCH($H18,'3. AI Fit Diagnostic'!$AD$8:$AD$57,0)))</f>
        <v>Low</v>
      </c>
      <c r="G18" s="41">
        <f>IF($H18="","",INDEX('3. AI Fit Diagnostic'!$AB$8:$AB$57,MATCH($H18,'3. AI Fit Diagnostic'!$AD$8:$AD$57,0)))</f>
        <v>288</v>
      </c>
      <c r="H18">
        <f>IF(IFERROR(SMALL('3. AI Fit Diagnostic'!$AD$8:$AD$57,COUNTIF('3. AI Fit Diagnostic'!$AD$8:$AD$57,"&lt;"&amp;100)+13),"")="","",IF(IFERROR(SMALL('3. AI Fit Diagnostic'!$AD$8:$AD$57,COUNTIF('3. AI Fit Diagnostic'!$AD$8:$AD$57,"&lt;"&amp;100)+13),"")&lt;200,IFERROR(SMALL('3. AI Fit Diagnostic'!$AD$8:$AD$57,COUNTIF('3. AI Fit Diagnostic'!$AD$8:$AD$57,"&lt;"&amp;100)+13),""),""))</f>
        <v>113</v>
      </c>
    </row>
    <row r="19" ht="26" customHeight="1">
      <c r="A19" s="40">
        <f>IF($H19="","",INDEX('3. AI Fit Diagnostic'!$Z$8:$Z$57,MATCH($H19,'3. AI Fit Diagnostic'!$AD$8:$AD$57,0)))</f>
        <v>16</v>
      </c>
      <c r="B19" s="55" t="str">
        <f>IF($H19="","",INDEX('3. AI Fit Diagnostic'!$C$8:$C$57,MATCH($H19,'3. AI Fit Diagnostic'!$AD$8:$AD$57,0)))</f>
        <v>Management KPI reporting</v>
      </c>
      <c r="C19" s="24" t="str">
        <f>IF($H19="","",INDEX('3. AI Fit Diagnostic'!$B$8:$B$57,MATCH($H19,'3. AI Fit Diagnostic'!$AD$8:$AD$57,0)))</f>
        <v>Management &amp; reporting</v>
      </c>
      <c r="D19" s="24" t="str">
        <f>IF($H19="","",INDEX('3. AI Fit Diagnostic'!$O$8:$O$57,MATCH($H19,'3. AI Fit Diagnostic'!$AD$8:$AD$57,0)))</f>
        <v>BI, dashboards &amp; reconciliation automation</v>
      </c>
      <c r="E19" s="24" t="str">
        <f>IF($H19="","",INDEX('3. AI Fit Diagnostic'!$T$8:$T$57,MATCH($H19,'3. AI Fit Diagnostic'!$AD$8:$AD$57,0)))</f>
        <v>Automate - AI not needed</v>
      </c>
      <c r="F19" s="37" t="str">
        <f>IF($H19="","",INDEX('3. AI Fit Diagnostic'!$W$8:$W$57,MATCH($H19,'3. AI Fit Diagnostic'!$AD$8:$AD$57,0)))</f>
        <v>Low</v>
      </c>
      <c r="G19" s="41">
        <f>IF($H19="","",INDEX('3. AI Fit Diagnostic'!$AB$8:$AB$57,MATCH($H19,'3. AI Fit Diagnostic'!$AD$8:$AD$57,0)))</f>
        <v>300</v>
      </c>
      <c r="H19">
        <f>IF(IFERROR(SMALL('3. AI Fit Diagnostic'!$AD$8:$AD$57,COUNTIF('3. AI Fit Diagnostic'!$AD$8:$AD$57,"&lt;"&amp;100)+14),"")="","",IF(IFERROR(SMALL('3. AI Fit Diagnostic'!$AD$8:$AD$57,COUNTIF('3. AI Fit Diagnostic'!$AD$8:$AD$57,"&lt;"&amp;100)+14),"")&lt;200,IFERROR(SMALL('3. AI Fit Diagnostic'!$AD$8:$AD$57,COUNTIF('3. AI Fit Diagnostic'!$AD$8:$AD$57,"&lt;"&amp;100)+14),""),""))</f>
        <v>116</v>
      </c>
    </row>
    <row r="20" ht="26" customHeight="1">
      <c r="A20" s="40">
        <f>IF($H20="","",INDEX('3. AI Fit Diagnostic'!$Z$8:$Z$57,MATCH($H20,'3. AI Fit Diagnostic'!$AD$8:$AD$57,0)))</f>
        <v>17</v>
      </c>
      <c r="B20" s="55" t="str">
        <f>IF($H20="","",INDEX('3. AI Fit Diagnostic'!$C$8:$C$57,MATCH($H20,'3. AI Fit Diagnostic'!$AD$8:$AD$57,0)))</f>
        <v>HR policy and leave queries</v>
      </c>
      <c r="C20" s="24" t="str">
        <f>IF($H20="","",INDEX('3. AI Fit Diagnostic'!$B$8:$B$57,MATCH($H20,'3. AI Fit Diagnostic'!$AD$8:$AD$57,0)))</f>
        <v>HR &amp; people</v>
      </c>
      <c r="D20" s="24" t="str">
        <f>IF($H20="","",INDEX('3. AI Fit Diagnostic'!$O$8:$O$57,MATCH($H20,'3. AI Fit Diagnostic'!$AD$8:$AD$57,0)))</f>
        <v>Conversational AI / virtual agent</v>
      </c>
      <c r="E20" s="24" t="str">
        <f>IF($H20="","",INDEX('3. AI Fit Diagnostic'!$T$8:$T$57,MATCH($H20,'3. AI Fit Diagnostic'!$AD$8:$AD$57,0)))</f>
        <v>AI fit now</v>
      </c>
      <c r="F20" s="37" t="str">
        <f>IF($H20="","",INDEX('3. AI Fit Diagnostic'!$W$8:$W$57,MATCH($H20,'3. AI Fit Diagnostic'!$AD$8:$AD$57,0)))</f>
        <v>Low</v>
      </c>
      <c r="G20" s="41">
        <f>IF($H20="","",INDEX('3. AI Fit Diagnostic'!$AB$8:$AB$57,MATCH($H20,'3. AI Fit Diagnostic'!$AD$8:$AD$57,0)))</f>
        <v>216</v>
      </c>
      <c r="H20">
        <f>IF(IFERROR(SMALL('3. AI Fit Diagnostic'!$AD$8:$AD$57,COUNTIF('3. AI Fit Diagnostic'!$AD$8:$AD$57,"&lt;"&amp;100)+15),"")="","",IF(IFERROR(SMALL('3. AI Fit Diagnostic'!$AD$8:$AD$57,COUNTIF('3. AI Fit Diagnostic'!$AD$8:$AD$57,"&lt;"&amp;100)+15),"")&lt;200,IFERROR(SMALL('3. AI Fit Diagnostic'!$AD$8:$AD$57,COUNTIF('3. AI Fit Diagnostic'!$AD$8:$AD$57,"&lt;"&amp;100)+15),""),""))</f>
        <v>117</v>
      </c>
    </row>
    <row r="21" ht="26" customHeight="1">
      <c r="A21" s="40">
        <f>IF($H21="","",INDEX('3. AI Fit Diagnostic'!$Z$8:$Z$57,MATCH($H21,'3. AI Fit Diagnostic'!$AD$8:$AD$57,0)))</f>
        <v>18</v>
      </c>
      <c r="B21" s="55" t="str">
        <f>IF($H21="","",INDEX('3. AI Fit Diagnostic'!$C$8:$C$57,MATCH($H21,'3. AI Fit Diagnostic'!$AD$8:$AD$57,0)))</f>
        <v>Expense claims</v>
      </c>
      <c r="C21" s="24" t="str">
        <f>IF($H21="","",INDEX('3. AI Fit Diagnostic'!$B$8:$B$57,MATCH($H21,'3. AI Fit Diagnostic'!$AD$8:$AD$57,0)))</f>
        <v>Finance &amp; accounting</v>
      </c>
      <c r="D21" s="24" t="str">
        <f>IF($H21="","",INDEX('3. AI Fit Diagnostic'!$O$8:$O$57,MATCH($H21,'3. AI Fit Diagnostic'!$AD$8:$AD$57,0)))</f>
        <v>Intelligent document processing (IDP)</v>
      </c>
      <c r="E21" s="24" t="str">
        <f>IF($H21="","",INDEX('3. AI Fit Diagnostic'!$T$8:$T$57,MATCH($H21,'3. AI Fit Diagnostic'!$AD$8:$AD$57,0)))</f>
        <v>AI fit now</v>
      </c>
      <c r="F21" s="37" t="str">
        <f>IF($H21="","",INDEX('3. AI Fit Diagnostic'!$W$8:$W$57,MATCH($H21,'3. AI Fit Diagnostic'!$AD$8:$AD$57,0)))</f>
        <v>Medium</v>
      </c>
      <c r="G21" s="41">
        <f>IF($H21="","",INDEX('3. AI Fit Diagnostic'!$AB$8:$AB$57,MATCH($H21,'3. AI Fit Diagnostic'!$AD$8:$AD$57,0)))</f>
        <v>360</v>
      </c>
      <c r="H21">
        <f>IF(IFERROR(SMALL('3. AI Fit Diagnostic'!$AD$8:$AD$57,COUNTIF('3. AI Fit Diagnostic'!$AD$8:$AD$57,"&lt;"&amp;100)+16),"")="","",IF(IFERROR(SMALL('3. AI Fit Diagnostic'!$AD$8:$AD$57,COUNTIF('3. AI Fit Diagnostic'!$AD$8:$AD$57,"&lt;"&amp;100)+16),"")&lt;200,IFERROR(SMALL('3. AI Fit Diagnostic'!$AD$8:$AD$57,COUNTIF('3. AI Fit Diagnostic'!$AD$8:$AD$57,"&lt;"&amp;100)+16),""),""))</f>
        <v>118</v>
      </c>
    </row>
    <row r="22" ht="26" customHeight="1">
      <c r="A22" s="40" t="str">
        <f>IF($H22="","",INDEX('3. AI Fit Diagnostic'!$Z$8:$Z$57,MATCH($H22,'3. AI Fit Diagnostic'!$AD$8:$AD$57,0)))</f>
        <v/>
      </c>
      <c r="B22" s="55" t="str">
        <f>IF($H22="","",INDEX('3. AI Fit Diagnostic'!$C$8:$C$57,MATCH($H22,'3. AI Fit Diagnostic'!$AD$8:$AD$57,0)))</f>
        <v/>
      </c>
      <c r="C22" s="24" t="str">
        <f>IF($H22="","",INDEX('3. AI Fit Diagnostic'!$B$8:$B$57,MATCH($H22,'3. AI Fit Diagnostic'!$AD$8:$AD$57,0)))</f>
        <v/>
      </c>
      <c r="D22" s="24" t="str">
        <f>IF($H22="","",INDEX('3. AI Fit Diagnostic'!$O$8:$O$57,MATCH($H22,'3. AI Fit Diagnostic'!$AD$8:$AD$57,0)))</f>
        <v/>
      </c>
      <c r="E22" s="24" t="str">
        <f>IF($H22="","",INDEX('3. AI Fit Diagnostic'!$T$8:$T$57,MATCH($H22,'3. AI Fit Diagnostic'!$AD$8:$AD$57,0)))</f>
        <v/>
      </c>
      <c r="F22" s="37" t="str">
        <f>IF($H22="","",INDEX('3. AI Fit Diagnostic'!$W$8:$W$57,MATCH($H22,'3. AI Fit Diagnostic'!$AD$8:$AD$57,0)))</f>
        <v/>
      </c>
      <c r="G22" s="41" t="str">
        <f>IF($H22="","",INDEX('3. AI Fit Diagnostic'!$AB$8:$AB$57,MATCH($H22,'3. AI Fit Diagnostic'!$AD$8:$AD$57,0)))</f>
        <v/>
      </c>
      <c r="H22" t="str">
        <f>IF(IFERROR(SMALL('3. AI Fit Diagnostic'!$AD$8:$AD$57,COUNTIF('3. AI Fit Diagnostic'!$AD$8:$AD$57,"&lt;"&amp;100)+17),"")="","",IF(IFERROR(SMALL('3. AI Fit Diagnostic'!$AD$8:$AD$57,COUNTIF('3. AI Fit Diagnostic'!$AD$8:$AD$57,"&lt;"&amp;100)+17),"")&lt;200,IFERROR(SMALL('3. AI Fit Diagnostic'!$AD$8:$AD$57,COUNTIF('3. AI Fit Diagnostic'!$AD$8:$AD$57,"&lt;"&amp;100)+17),""),""))</f>
        <v/>
      </c>
    </row>
    <row r="23" ht="26" customHeight="1">
      <c r="A23" s="40" t="str">
        <f>IF($H23="","",INDEX('3. AI Fit Diagnostic'!$Z$8:$Z$57,MATCH($H23,'3. AI Fit Diagnostic'!$AD$8:$AD$57,0)))</f>
        <v/>
      </c>
      <c r="B23" s="55" t="str">
        <f>IF($H23="","",INDEX('3. AI Fit Diagnostic'!$C$8:$C$57,MATCH($H23,'3. AI Fit Diagnostic'!$AD$8:$AD$57,0)))</f>
        <v/>
      </c>
      <c r="C23" s="24" t="str">
        <f>IF($H23="","",INDEX('3. AI Fit Diagnostic'!$B$8:$B$57,MATCH($H23,'3. AI Fit Diagnostic'!$AD$8:$AD$57,0)))</f>
        <v/>
      </c>
      <c r="D23" s="24" t="str">
        <f>IF($H23="","",INDEX('3. AI Fit Diagnostic'!$O$8:$O$57,MATCH($H23,'3. AI Fit Diagnostic'!$AD$8:$AD$57,0)))</f>
        <v/>
      </c>
      <c r="E23" s="24" t="str">
        <f>IF($H23="","",INDEX('3. AI Fit Diagnostic'!$T$8:$T$57,MATCH($H23,'3. AI Fit Diagnostic'!$AD$8:$AD$57,0)))</f>
        <v/>
      </c>
      <c r="F23" s="37" t="str">
        <f>IF($H23="","",INDEX('3. AI Fit Diagnostic'!$W$8:$W$57,MATCH($H23,'3. AI Fit Diagnostic'!$AD$8:$AD$57,0)))</f>
        <v/>
      </c>
      <c r="G23" s="41" t="str">
        <f>IF($H23="","",INDEX('3. AI Fit Diagnostic'!$AB$8:$AB$57,MATCH($H23,'3. AI Fit Diagnostic'!$AD$8:$AD$57,0)))</f>
        <v/>
      </c>
      <c r="H23" t="str">
        <f>IF(IFERROR(SMALL('3. AI Fit Diagnostic'!$AD$8:$AD$57,COUNTIF('3. AI Fit Diagnostic'!$AD$8:$AD$57,"&lt;"&amp;100)+18),"")="","",IF(IFERROR(SMALL('3. AI Fit Diagnostic'!$AD$8:$AD$57,COUNTIF('3. AI Fit Diagnostic'!$AD$8:$AD$57,"&lt;"&amp;100)+18),"")&lt;200,IFERROR(SMALL('3. AI Fit Diagnostic'!$AD$8:$AD$57,COUNTIF('3. AI Fit Diagnostic'!$AD$8:$AD$57,"&lt;"&amp;100)+18),""),""))</f>
        <v/>
      </c>
    </row>
    <row r="24" ht="26" customHeight="1">
      <c r="A24" s="40" t="str">
        <f>IF($H24="","",INDEX('3. AI Fit Diagnostic'!$Z$8:$Z$57,MATCH($H24,'3. AI Fit Diagnostic'!$AD$8:$AD$57,0)))</f>
        <v/>
      </c>
      <c r="B24" s="55" t="str">
        <f>IF($H24="","",INDEX('3. AI Fit Diagnostic'!$C$8:$C$57,MATCH($H24,'3. AI Fit Diagnostic'!$AD$8:$AD$57,0)))</f>
        <v/>
      </c>
      <c r="C24" s="24" t="str">
        <f>IF($H24="","",INDEX('3. AI Fit Diagnostic'!$B$8:$B$57,MATCH($H24,'3. AI Fit Diagnostic'!$AD$8:$AD$57,0)))</f>
        <v/>
      </c>
      <c r="D24" s="24" t="str">
        <f>IF($H24="","",INDEX('3. AI Fit Diagnostic'!$O$8:$O$57,MATCH($H24,'3. AI Fit Diagnostic'!$AD$8:$AD$57,0)))</f>
        <v/>
      </c>
      <c r="E24" s="24" t="str">
        <f>IF($H24="","",INDEX('3. AI Fit Diagnostic'!$T$8:$T$57,MATCH($H24,'3. AI Fit Diagnostic'!$AD$8:$AD$57,0)))</f>
        <v/>
      </c>
      <c r="F24" s="37" t="str">
        <f>IF($H24="","",INDEX('3. AI Fit Diagnostic'!$W$8:$W$57,MATCH($H24,'3. AI Fit Diagnostic'!$AD$8:$AD$57,0)))</f>
        <v/>
      </c>
      <c r="G24" s="41" t="str">
        <f>IF($H24="","",INDEX('3. AI Fit Diagnostic'!$AB$8:$AB$57,MATCH($H24,'3. AI Fit Diagnostic'!$AD$8:$AD$57,0)))</f>
        <v/>
      </c>
      <c r="H24" t="str">
        <f>IF(IFERROR(SMALL('3. AI Fit Diagnostic'!$AD$8:$AD$57,COUNTIF('3. AI Fit Diagnostic'!$AD$8:$AD$57,"&lt;"&amp;100)+19),"")="","",IF(IFERROR(SMALL('3. AI Fit Diagnostic'!$AD$8:$AD$57,COUNTIF('3. AI Fit Diagnostic'!$AD$8:$AD$57,"&lt;"&amp;100)+19),"")&lt;200,IFERROR(SMALL('3. AI Fit Diagnostic'!$AD$8:$AD$57,COUNTIF('3. AI Fit Diagnostic'!$AD$8:$AD$57,"&lt;"&amp;100)+19),""),""))</f>
        <v/>
      </c>
    </row>
    <row r="25" ht="26" customHeight="1">
      <c r="A25" s="40" t="str">
        <f>IF($H25="","",INDEX('3. AI Fit Diagnostic'!$Z$8:$Z$57,MATCH($H25,'3. AI Fit Diagnostic'!$AD$8:$AD$57,0)))</f>
        <v/>
      </c>
      <c r="B25" s="55" t="str">
        <f>IF($H25="","",INDEX('3. AI Fit Diagnostic'!$C$8:$C$57,MATCH($H25,'3. AI Fit Diagnostic'!$AD$8:$AD$57,0)))</f>
        <v/>
      </c>
      <c r="C25" s="24" t="str">
        <f>IF($H25="","",INDEX('3. AI Fit Diagnostic'!$B$8:$B$57,MATCH($H25,'3. AI Fit Diagnostic'!$AD$8:$AD$57,0)))</f>
        <v/>
      </c>
      <c r="D25" s="24" t="str">
        <f>IF($H25="","",INDEX('3. AI Fit Diagnostic'!$O$8:$O$57,MATCH($H25,'3. AI Fit Diagnostic'!$AD$8:$AD$57,0)))</f>
        <v/>
      </c>
      <c r="E25" s="24" t="str">
        <f>IF($H25="","",INDEX('3. AI Fit Diagnostic'!$T$8:$T$57,MATCH($H25,'3. AI Fit Diagnostic'!$AD$8:$AD$57,0)))</f>
        <v/>
      </c>
      <c r="F25" s="37" t="str">
        <f>IF($H25="","",INDEX('3. AI Fit Diagnostic'!$W$8:$W$57,MATCH($H25,'3. AI Fit Diagnostic'!$AD$8:$AD$57,0)))</f>
        <v/>
      </c>
      <c r="G25" s="41" t="str">
        <f>IF($H25="","",INDEX('3. AI Fit Diagnostic'!$AB$8:$AB$57,MATCH($H25,'3. AI Fit Diagnostic'!$AD$8:$AD$57,0)))</f>
        <v/>
      </c>
      <c r="H25" t="str">
        <f>IF(IFERROR(SMALL('3. AI Fit Diagnostic'!$AD$8:$AD$57,COUNTIF('3. AI Fit Diagnostic'!$AD$8:$AD$57,"&lt;"&amp;100)+20),"")="","",IF(IFERROR(SMALL('3. AI Fit Diagnostic'!$AD$8:$AD$57,COUNTIF('3. AI Fit Diagnostic'!$AD$8:$AD$57,"&lt;"&amp;100)+20),"")&lt;200,IFERROR(SMALL('3. AI Fit Diagnostic'!$AD$8:$AD$57,COUNTIF('3. AI Fit Diagnostic'!$AD$8:$AD$57,"&lt;"&amp;100)+20),""),""))</f>
        <v/>
      </c>
    </row>
    <row r="27" ht="22" customHeight="1">
      <c r="A27" s="10" t="inlineStr">
        <is>
          <t>H2 - Next (6-12 months)</t>
        </is>
      </c>
    </row>
    <row r="28">
      <c r="A28" s="59" t="inlineStr">
        <is>
          <t>Rank</t>
        </is>
      </c>
      <c r="B28" s="59" t="inlineStr">
        <is>
          <t>Process / activity</t>
        </is>
      </c>
      <c r="C28" s="59" t="inlineStr">
        <is>
          <t>Function</t>
        </is>
      </c>
      <c r="D28" s="59" t="inlineStr">
        <is>
          <t>Solution family</t>
        </is>
      </c>
      <c r="E28" s="59" t="inlineStr">
        <is>
          <t>Verdict</t>
        </is>
      </c>
      <c r="F28" s="59" t="inlineStr">
        <is>
          <t>Risk tier</t>
        </is>
      </c>
      <c r="G28" s="59" t="inlineStr">
        <is>
          <t>Hours / yr</t>
        </is>
      </c>
    </row>
    <row r="29" ht="26" customHeight="1">
      <c r="A29" s="40">
        <f>IF($H29="","",INDEX('3. AI Fit Diagnostic'!$Z$8:$Z$57,MATCH($H29,'3. AI Fit Diagnostic'!$AD$8:$AD$57,0)))</f>
        <v>14</v>
      </c>
      <c r="B29" s="55" t="str">
        <f>IF($H29="","",INDEX('3. AI Fit Diagnostic'!$C$8:$C$57,MATCH($H29,'3. AI Fit Diagnostic'!$AD$8:$AD$57,0)))</f>
        <v>Financial statements preparation (AI-powered FS tool - in preparation)</v>
      </c>
      <c r="C29" s="24" t="str">
        <f>IF($H29="","",INDEX('3. AI Fit Diagnostic'!$B$8:$B$57,MATCH($H29,'3. AI Fit Diagnostic'!$AD$8:$AD$57,0)))</f>
        <v>Core service delivery / operations</v>
      </c>
      <c r="D29" s="24" t="str">
        <f>IF($H29="","",INDEX('3. AI Fit Diagnostic'!$O$8:$O$57,MATCH($H29,'3. AI Fit Diagnostic'!$AD$8:$AD$57,0)))</f>
        <v>Predictive analytics / machine learning</v>
      </c>
      <c r="E29" s="24" t="str">
        <f>IF($H29="","",INDEX('3. AI Fit Diagnostic'!$T$8:$T$57,MATCH($H29,'3. AI Fit Diagnostic'!$AD$8:$AD$57,0)))</f>
        <v>Stretch - partner or later stage</v>
      </c>
      <c r="F29" s="37" t="str">
        <f>IF($H29="","",INDEX('3. AI Fit Diagnostic'!$W$8:$W$57,MATCH($H29,'3. AI Fit Diagnostic'!$AD$8:$AD$57,0)))</f>
        <v>High</v>
      </c>
      <c r="G29" s="41">
        <f>IF($H29="","",INDEX('3. AI Fit Diagnostic'!$AB$8:$AB$57,MATCH($H29,'3. AI Fit Diagnostic'!$AD$8:$AD$57,0)))</f>
        <v>624</v>
      </c>
      <c r="H29">
        <f>IF(IFERROR(SMALL('3. AI Fit Diagnostic'!$AD$8:$AD$57,COUNTIF('3. AI Fit Diagnostic'!$AD$8:$AD$57,"&lt;"&amp;200)+1),"")="","",IF(IFERROR(SMALL('3. AI Fit Diagnostic'!$AD$8:$AD$57,COUNTIF('3. AI Fit Diagnostic'!$AD$8:$AD$57,"&lt;"&amp;200)+1),"")&lt;300,IFERROR(SMALL('3. AI Fit Diagnostic'!$AD$8:$AD$57,COUNTIF('3. AI Fit Diagnostic'!$AD$8:$AD$57,"&lt;"&amp;200)+1),""),""))</f>
        <v>214</v>
      </c>
    </row>
    <row r="30" ht="26" customHeight="1">
      <c r="A30" s="40">
        <f>IF($H30="","",INDEX('3. AI Fit Diagnostic'!$Z$8:$Z$57,MATCH($H30,'3. AI Fit Diagnostic'!$AD$8:$AD$57,0)))</f>
        <v>15</v>
      </c>
      <c r="B30" s="55" t="str">
        <f>IF($H30="","",INDEX('3. AI Fit Diagnostic'!$C$8:$C$57,MATCH($H30,'3. AI Fit Diagnostic'!$AD$8:$AD$57,0)))</f>
        <v>Audit - journal-entry testing</v>
      </c>
      <c r="C30" s="24" t="str">
        <f>IF($H30="","",INDEX('3. AI Fit Diagnostic'!$B$8:$B$57,MATCH($H30,'3. AI Fit Diagnostic'!$AD$8:$AD$57,0)))</f>
        <v>Core service delivery / operations</v>
      </c>
      <c r="D30" s="24" t="str">
        <f>IF($H30="","",INDEX('3. AI Fit Diagnostic'!$O$8:$O$57,MATCH($H30,'3. AI Fit Diagnostic'!$AD$8:$AD$57,0)))</f>
        <v>Predictive analytics / machine learning</v>
      </c>
      <c r="E30" s="24" t="str">
        <f>IF($H30="","",INDEX('3. AI Fit Diagnostic'!$T$8:$T$57,MATCH($H30,'3. AI Fit Diagnostic'!$AD$8:$AD$57,0)))</f>
        <v>Stretch - partner or later stage</v>
      </c>
      <c r="F30" s="37" t="str">
        <f>IF($H30="","",INDEX('3. AI Fit Diagnostic'!$W$8:$W$57,MATCH($H30,'3. AI Fit Diagnostic'!$AD$8:$AD$57,0)))</f>
        <v>High</v>
      </c>
      <c r="G30" s="41">
        <f>IF($H30="","",INDEX('3. AI Fit Diagnostic'!$AB$8:$AB$57,MATCH($H30,'3. AI Fit Diagnostic'!$AD$8:$AD$57,0)))</f>
        <v>720</v>
      </c>
      <c r="H30">
        <f>IF(IFERROR(SMALL('3. AI Fit Diagnostic'!$AD$8:$AD$57,COUNTIF('3. AI Fit Diagnostic'!$AD$8:$AD$57,"&lt;"&amp;200)+2),"")="","",IF(IFERROR(SMALL('3. AI Fit Diagnostic'!$AD$8:$AD$57,COUNTIF('3. AI Fit Diagnostic'!$AD$8:$AD$57,"&lt;"&amp;200)+2),"")&lt;300,IFERROR(SMALL('3. AI Fit Diagnostic'!$AD$8:$AD$57,COUNTIF('3. AI Fit Diagnostic'!$AD$8:$AD$57,"&lt;"&amp;200)+2),""),""))</f>
        <v>215</v>
      </c>
    </row>
    <row r="31" ht="26" customHeight="1">
      <c r="A31" s="40">
        <f>IF($H31="","",INDEX('3. AI Fit Diagnostic'!$Z$8:$Z$57,MATCH($H31,'3. AI Fit Diagnostic'!$AD$8:$AD$57,0)))</f>
        <v>21</v>
      </c>
      <c r="B31" s="55" t="str">
        <f>IF($H31="","",INDEX('3. AI Fit Diagnostic'!$C$8:$C$57,MATCH($H31,'3. AI Fit Diagnostic'!$AD$8:$AD$57,0)))</f>
        <v>Engagement set-up and status coordination</v>
      </c>
      <c r="C31" s="24" t="str">
        <f>IF($H31="","",INDEX('3. AI Fit Diagnostic'!$B$8:$B$57,MATCH($H31,'3. AI Fit Diagnostic'!$AD$8:$AD$57,0)))</f>
        <v>Core service delivery / operations</v>
      </c>
      <c r="D31" s="24" t="str">
        <f>IF($H31="","",INDEX('3. AI Fit Diagnostic'!$O$8:$O$57,MATCH($H31,'3. AI Fit Diagnostic'!$AD$8:$AD$57,0)))</f>
        <v>Agentic AI (supervised agents)</v>
      </c>
      <c r="E31" s="24" t="str">
        <f>IF($H31="","",INDEX('3. AI Fit Diagnostic'!$T$8:$T$57,MATCH($H31,'3. AI Fit Diagnostic'!$AD$8:$AD$57,0)))</f>
        <v>Redesign / standardise first</v>
      </c>
      <c r="F31" s="37" t="str">
        <f>IF($H31="","",INDEX('3. AI Fit Diagnostic'!$W$8:$W$57,MATCH($H31,'3. AI Fit Diagnostic'!$AD$8:$AD$57,0)))</f>
        <v>Medium</v>
      </c>
      <c r="G31" s="41">
        <f>IF($H31="","",INDEX('3. AI Fit Diagnostic'!$AB$8:$AB$57,MATCH($H31,'3. AI Fit Diagnostic'!$AD$8:$AD$57,0)))</f>
        <v>720</v>
      </c>
      <c r="H31">
        <f>IF(IFERROR(SMALL('3. AI Fit Diagnostic'!$AD$8:$AD$57,COUNTIF('3. AI Fit Diagnostic'!$AD$8:$AD$57,"&lt;"&amp;200)+3),"")="","",IF(IFERROR(SMALL('3. AI Fit Diagnostic'!$AD$8:$AD$57,COUNTIF('3. AI Fit Diagnostic'!$AD$8:$AD$57,"&lt;"&amp;200)+3),"")&lt;300,IFERROR(SMALL('3. AI Fit Diagnostic'!$AD$8:$AD$57,COUNTIF('3. AI Fit Diagnostic'!$AD$8:$AD$57,"&lt;"&amp;200)+3),""),""))</f>
        <v>221</v>
      </c>
    </row>
    <row r="32" ht="26" customHeight="1">
      <c r="A32" s="40" t="str">
        <f>IF($H32="","",INDEX('3. AI Fit Diagnostic'!$Z$8:$Z$57,MATCH($H32,'3. AI Fit Diagnostic'!$AD$8:$AD$57,0)))</f>
        <v/>
      </c>
      <c r="B32" s="55" t="str">
        <f>IF($H32="","",INDEX('3. AI Fit Diagnostic'!$C$8:$C$57,MATCH($H32,'3. AI Fit Diagnostic'!$AD$8:$AD$57,0)))</f>
        <v/>
      </c>
      <c r="C32" s="24" t="str">
        <f>IF($H32="","",INDEX('3. AI Fit Diagnostic'!$B$8:$B$57,MATCH($H32,'3. AI Fit Diagnostic'!$AD$8:$AD$57,0)))</f>
        <v/>
      </c>
      <c r="D32" s="24" t="str">
        <f>IF($H32="","",INDEX('3. AI Fit Diagnostic'!$O$8:$O$57,MATCH($H32,'3. AI Fit Diagnostic'!$AD$8:$AD$57,0)))</f>
        <v/>
      </c>
      <c r="E32" s="24" t="str">
        <f>IF($H32="","",INDEX('3. AI Fit Diagnostic'!$T$8:$T$57,MATCH($H32,'3. AI Fit Diagnostic'!$AD$8:$AD$57,0)))</f>
        <v/>
      </c>
      <c r="F32" s="37" t="str">
        <f>IF($H32="","",INDEX('3. AI Fit Diagnostic'!$W$8:$W$57,MATCH($H32,'3. AI Fit Diagnostic'!$AD$8:$AD$57,0)))</f>
        <v/>
      </c>
      <c r="G32" s="41" t="str">
        <f>IF($H32="","",INDEX('3. AI Fit Diagnostic'!$AB$8:$AB$57,MATCH($H32,'3. AI Fit Diagnostic'!$AD$8:$AD$57,0)))</f>
        <v/>
      </c>
      <c r="H32" t="str">
        <f>IF(IFERROR(SMALL('3. AI Fit Diagnostic'!$AD$8:$AD$57,COUNTIF('3. AI Fit Diagnostic'!$AD$8:$AD$57,"&lt;"&amp;200)+4),"")="","",IF(IFERROR(SMALL('3. AI Fit Diagnostic'!$AD$8:$AD$57,COUNTIF('3. AI Fit Diagnostic'!$AD$8:$AD$57,"&lt;"&amp;200)+4),"")&lt;300,IFERROR(SMALL('3. AI Fit Diagnostic'!$AD$8:$AD$57,COUNTIF('3. AI Fit Diagnostic'!$AD$8:$AD$57,"&lt;"&amp;200)+4),""),""))</f>
        <v/>
      </c>
    </row>
    <row r="33" ht="26" customHeight="1">
      <c r="A33" s="40" t="str">
        <f>IF($H33="","",INDEX('3. AI Fit Diagnostic'!$Z$8:$Z$57,MATCH($H33,'3. AI Fit Diagnostic'!$AD$8:$AD$57,0)))</f>
        <v/>
      </c>
      <c r="B33" s="55" t="str">
        <f>IF($H33="","",INDEX('3. AI Fit Diagnostic'!$C$8:$C$57,MATCH($H33,'3. AI Fit Diagnostic'!$AD$8:$AD$57,0)))</f>
        <v/>
      </c>
      <c r="C33" s="24" t="str">
        <f>IF($H33="","",INDEX('3. AI Fit Diagnostic'!$B$8:$B$57,MATCH($H33,'3. AI Fit Diagnostic'!$AD$8:$AD$57,0)))</f>
        <v/>
      </c>
      <c r="D33" s="24" t="str">
        <f>IF($H33="","",INDEX('3. AI Fit Diagnostic'!$O$8:$O$57,MATCH($H33,'3. AI Fit Diagnostic'!$AD$8:$AD$57,0)))</f>
        <v/>
      </c>
      <c r="E33" s="24" t="str">
        <f>IF($H33="","",INDEX('3. AI Fit Diagnostic'!$T$8:$T$57,MATCH($H33,'3. AI Fit Diagnostic'!$AD$8:$AD$57,0)))</f>
        <v/>
      </c>
      <c r="F33" s="37" t="str">
        <f>IF($H33="","",INDEX('3. AI Fit Diagnostic'!$W$8:$W$57,MATCH($H33,'3. AI Fit Diagnostic'!$AD$8:$AD$57,0)))</f>
        <v/>
      </c>
      <c r="G33" s="41" t="str">
        <f>IF($H33="","",INDEX('3. AI Fit Diagnostic'!$AB$8:$AB$57,MATCH($H33,'3. AI Fit Diagnostic'!$AD$8:$AD$57,0)))</f>
        <v/>
      </c>
      <c r="H33" t="str">
        <f>IF(IFERROR(SMALL('3. AI Fit Diagnostic'!$AD$8:$AD$57,COUNTIF('3. AI Fit Diagnostic'!$AD$8:$AD$57,"&lt;"&amp;200)+5),"")="","",IF(IFERROR(SMALL('3. AI Fit Diagnostic'!$AD$8:$AD$57,COUNTIF('3. AI Fit Diagnostic'!$AD$8:$AD$57,"&lt;"&amp;200)+5),"")&lt;300,IFERROR(SMALL('3. AI Fit Diagnostic'!$AD$8:$AD$57,COUNTIF('3. AI Fit Diagnostic'!$AD$8:$AD$57,"&lt;"&amp;200)+5),""),""))</f>
        <v/>
      </c>
    </row>
    <row r="34" ht="26" customHeight="1">
      <c r="A34" s="40" t="str">
        <f>IF($H34="","",INDEX('3. AI Fit Diagnostic'!$Z$8:$Z$57,MATCH($H34,'3. AI Fit Diagnostic'!$AD$8:$AD$57,0)))</f>
        <v/>
      </c>
      <c r="B34" s="55" t="str">
        <f>IF($H34="","",INDEX('3. AI Fit Diagnostic'!$C$8:$C$57,MATCH($H34,'3. AI Fit Diagnostic'!$AD$8:$AD$57,0)))</f>
        <v/>
      </c>
      <c r="C34" s="24" t="str">
        <f>IF($H34="","",INDEX('3. AI Fit Diagnostic'!$B$8:$B$57,MATCH($H34,'3. AI Fit Diagnostic'!$AD$8:$AD$57,0)))</f>
        <v/>
      </c>
      <c r="D34" s="24" t="str">
        <f>IF($H34="","",INDEX('3. AI Fit Diagnostic'!$O$8:$O$57,MATCH($H34,'3. AI Fit Diagnostic'!$AD$8:$AD$57,0)))</f>
        <v/>
      </c>
      <c r="E34" s="24" t="str">
        <f>IF($H34="","",INDEX('3. AI Fit Diagnostic'!$T$8:$T$57,MATCH($H34,'3. AI Fit Diagnostic'!$AD$8:$AD$57,0)))</f>
        <v/>
      </c>
      <c r="F34" s="37" t="str">
        <f>IF($H34="","",INDEX('3. AI Fit Diagnostic'!$W$8:$W$57,MATCH($H34,'3. AI Fit Diagnostic'!$AD$8:$AD$57,0)))</f>
        <v/>
      </c>
      <c r="G34" s="41" t="str">
        <f>IF($H34="","",INDEX('3. AI Fit Diagnostic'!$AB$8:$AB$57,MATCH($H34,'3. AI Fit Diagnostic'!$AD$8:$AD$57,0)))</f>
        <v/>
      </c>
      <c r="H34" t="str">
        <f>IF(IFERROR(SMALL('3. AI Fit Diagnostic'!$AD$8:$AD$57,COUNTIF('3. AI Fit Diagnostic'!$AD$8:$AD$57,"&lt;"&amp;200)+6),"")="","",IF(IFERROR(SMALL('3. AI Fit Diagnostic'!$AD$8:$AD$57,COUNTIF('3. AI Fit Diagnostic'!$AD$8:$AD$57,"&lt;"&amp;200)+6),"")&lt;300,IFERROR(SMALL('3. AI Fit Diagnostic'!$AD$8:$AD$57,COUNTIF('3. AI Fit Diagnostic'!$AD$8:$AD$57,"&lt;"&amp;200)+6),""),""))</f>
        <v/>
      </c>
    </row>
    <row r="35" ht="26" customHeight="1">
      <c r="A35" s="40" t="str">
        <f>IF($H35="","",INDEX('3. AI Fit Diagnostic'!$Z$8:$Z$57,MATCH($H35,'3. AI Fit Diagnostic'!$AD$8:$AD$57,0)))</f>
        <v/>
      </c>
      <c r="B35" s="55" t="str">
        <f>IF($H35="","",INDEX('3. AI Fit Diagnostic'!$C$8:$C$57,MATCH($H35,'3. AI Fit Diagnostic'!$AD$8:$AD$57,0)))</f>
        <v/>
      </c>
      <c r="C35" s="24" t="str">
        <f>IF($H35="","",INDEX('3. AI Fit Diagnostic'!$B$8:$B$57,MATCH($H35,'3. AI Fit Diagnostic'!$AD$8:$AD$57,0)))</f>
        <v/>
      </c>
      <c r="D35" s="24" t="str">
        <f>IF($H35="","",INDEX('3. AI Fit Diagnostic'!$O$8:$O$57,MATCH($H35,'3. AI Fit Diagnostic'!$AD$8:$AD$57,0)))</f>
        <v/>
      </c>
      <c r="E35" s="24" t="str">
        <f>IF($H35="","",INDEX('3. AI Fit Diagnostic'!$T$8:$T$57,MATCH($H35,'3. AI Fit Diagnostic'!$AD$8:$AD$57,0)))</f>
        <v/>
      </c>
      <c r="F35" s="37" t="str">
        <f>IF($H35="","",INDEX('3. AI Fit Diagnostic'!$W$8:$W$57,MATCH($H35,'3. AI Fit Diagnostic'!$AD$8:$AD$57,0)))</f>
        <v/>
      </c>
      <c r="G35" s="41" t="str">
        <f>IF($H35="","",INDEX('3. AI Fit Diagnostic'!$AB$8:$AB$57,MATCH($H35,'3. AI Fit Diagnostic'!$AD$8:$AD$57,0)))</f>
        <v/>
      </c>
      <c r="H35" t="str">
        <f>IF(IFERROR(SMALL('3. AI Fit Diagnostic'!$AD$8:$AD$57,COUNTIF('3. AI Fit Diagnostic'!$AD$8:$AD$57,"&lt;"&amp;200)+7),"")="","",IF(IFERROR(SMALL('3. AI Fit Diagnostic'!$AD$8:$AD$57,COUNTIF('3. AI Fit Diagnostic'!$AD$8:$AD$57,"&lt;"&amp;200)+7),"")&lt;300,IFERROR(SMALL('3. AI Fit Diagnostic'!$AD$8:$AD$57,COUNTIF('3. AI Fit Diagnostic'!$AD$8:$AD$57,"&lt;"&amp;200)+7),""),""))</f>
        <v/>
      </c>
    </row>
    <row r="36" ht="26" customHeight="1">
      <c r="A36" s="40" t="str">
        <f>IF($H36="","",INDEX('3. AI Fit Diagnostic'!$Z$8:$Z$57,MATCH($H36,'3. AI Fit Diagnostic'!$AD$8:$AD$57,0)))</f>
        <v/>
      </c>
      <c r="B36" s="55" t="str">
        <f>IF($H36="","",INDEX('3. AI Fit Diagnostic'!$C$8:$C$57,MATCH($H36,'3. AI Fit Diagnostic'!$AD$8:$AD$57,0)))</f>
        <v/>
      </c>
      <c r="C36" s="24" t="str">
        <f>IF($H36="","",INDEX('3. AI Fit Diagnostic'!$B$8:$B$57,MATCH($H36,'3. AI Fit Diagnostic'!$AD$8:$AD$57,0)))</f>
        <v/>
      </c>
      <c r="D36" s="24" t="str">
        <f>IF($H36="","",INDEX('3. AI Fit Diagnostic'!$O$8:$O$57,MATCH($H36,'3. AI Fit Diagnostic'!$AD$8:$AD$57,0)))</f>
        <v/>
      </c>
      <c r="E36" s="24" t="str">
        <f>IF($H36="","",INDEX('3. AI Fit Diagnostic'!$T$8:$T$57,MATCH($H36,'3. AI Fit Diagnostic'!$AD$8:$AD$57,0)))</f>
        <v/>
      </c>
      <c r="F36" s="37" t="str">
        <f>IF($H36="","",INDEX('3. AI Fit Diagnostic'!$W$8:$W$57,MATCH($H36,'3. AI Fit Diagnostic'!$AD$8:$AD$57,0)))</f>
        <v/>
      </c>
      <c r="G36" s="41" t="str">
        <f>IF($H36="","",INDEX('3. AI Fit Diagnostic'!$AB$8:$AB$57,MATCH($H36,'3. AI Fit Diagnostic'!$AD$8:$AD$57,0)))</f>
        <v/>
      </c>
      <c r="H36" t="str">
        <f>IF(IFERROR(SMALL('3. AI Fit Diagnostic'!$AD$8:$AD$57,COUNTIF('3. AI Fit Diagnostic'!$AD$8:$AD$57,"&lt;"&amp;200)+8),"")="","",IF(IFERROR(SMALL('3. AI Fit Diagnostic'!$AD$8:$AD$57,COUNTIF('3. AI Fit Diagnostic'!$AD$8:$AD$57,"&lt;"&amp;200)+8),"")&lt;300,IFERROR(SMALL('3. AI Fit Diagnostic'!$AD$8:$AD$57,COUNTIF('3. AI Fit Diagnostic'!$AD$8:$AD$57,"&lt;"&amp;200)+8),""),""))</f>
        <v/>
      </c>
    </row>
    <row r="37" ht="26" customHeight="1">
      <c r="A37" s="40" t="str">
        <f>IF($H37="","",INDEX('3. AI Fit Diagnostic'!$Z$8:$Z$57,MATCH($H37,'3. AI Fit Diagnostic'!$AD$8:$AD$57,0)))</f>
        <v/>
      </c>
      <c r="B37" s="55" t="str">
        <f>IF($H37="","",INDEX('3. AI Fit Diagnostic'!$C$8:$C$57,MATCH($H37,'3. AI Fit Diagnostic'!$AD$8:$AD$57,0)))</f>
        <v/>
      </c>
      <c r="C37" s="24" t="str">
        <f>IF($H37="","",INDEX('3. AI Fit Diagnostic'!$B$8:$B$57,MATCH($H37,'3. AI Fit Diagnostic'!$AD$8:$AD$57,0)))</f>
        <v/>
      </c>
      <c r="D37" s="24" t="str">
        <f>IF($H37="","",INDEX('3. AI Fit Diagnostic'!$O$8:$O$57,MATCH($H37,'3. AI Fit Diagnostic'!$AD$8:$AD$57,0)))</f>
        <v/>
      </c>
      <c r="E37" s="24" t="str">
        <f>IF($H37="","",INDEX('3. AI Fit Diagnostic'!$T$8:$T$57,MATCH($H37,'3. AI Fit Diagnostic'!$AD$8:$AD$57,0)))</f>
        <v/>
      </c>
      <c r="F37" s="37" t="str">
        <f>IF($H37="","",INDEX('3. AI Fit Diagnostic'!$W$8:$W$57,MATCH($H37,'3. AI Fit Diagnostic'!$AD$8:$AD$57,0)))</f>
        <v/>
      </c>
      <c r="G37" s="41" t="str">
        <f>IF($H37="","",INDEX('3. AI Fit Diagnostic'!$AB$8:$AB$57,MATCH($H37,'3. AI Fit Diagnostic'!$AD$8:$AD$57,0)))</f>
        <v/>
      </c>
      <c r="H37" t="str">
        <f>IF(IFERROR(SMALL('3. AI Fit Diagnostic'!$AD$8:$AD$57,COUNTIF('3. AI Fit Diagnostic'!$AD$8:$AD$57,"&lt;"&amp;200)+9),"")="","",IF(IFERROR(SMALL('3. AI Fit Diagnostic'!$AD$8:$AD$57,COUNTIF('3. AI Fit Diagnostic'!$AD$8:$AD$57,"&lt;"&amp;200)+9),"")&lt;300,IFERROR(SMALL('3. AI Fit Diagnostic'!$AD$8:$AD$57,COUNTIF('3. AI Fit Diagnostic'!$AD$8:$AD$57,"&lt;"&amp;200)+9),""),""))</f>
        <v/>
      </c>
    </row>
    <row r="38" ht="26" customHeight="1">
      <c r="A38" s="40" t="str">
        <f>IF($H38="","",INDEX('3. AI Fit Diagnostic'!$Z$8:$Z$57,MATCH($H38,'3. AI Fit Diagnostic'!$AD$8:$AD$57,0)))</f>
        <v/>
      </c>
      <c r="B38" s="55" t="str">
        <f>IF($H38="","",INDEX('3. AI Fit Diagnostic'!$C$8:$C$57,MATCH($H38,'3. AI Fit Diagnostic'!$AD$8:$AD$57,0)))</f>
        <v/>
      </c>
      <c r="C38" s="24" t="str">
        <f>IF($H38="","",INDEX('3. AI Fit Diagnostic'!$B$8:$B$57,MATCH($H38,'3. AI Fit Diagnostic'!$AD$8:$AD$57,0)))</f>
        <v/>
      </c>
      <c r="D38" s="24" t="str">
        <f>IF($H38="","",INDEX('3. AI Fit Diagnostic'!$O$8:$O$57,MATCH($H38,'3. AI Fit Diagnostic'!$AD$8:$AD$57,0)))</f>
        <v/>
      </c>
      <c r="E38" s="24" t="str">
        <f>IF($H38="","",INDEX('3. AI Fit Diagnostic'!$T$8:$T$57,MATCH($H38,'3. AI Fit Diagnostic'!$AD$8:$AD$57,0)))</f>
        <v/>
      </c>
      <c r="F38" s="37" t="str">
        <f>IF($H38="","",INDEX('3. AI Fit Diagnostic'!$W$8:$W$57,MATCH($H38,'3. AI Fit Diagnostic'!$AD$8:$AD$57,0)))</f>
        <v/>
      </c>
      <c r="G38" s="41" t="str">
        <f>IF($H38="","",INDEX('3. AI Fit Diagnostic'!$AB$8:$AB$57,MATCH($H38,'3. AI Fit Diagnostic'!$AD$8:$AD$57,0)))</f>
        <v/>
      </c>
      <c r="H38" t="str">
        <f>IF(IFERROR(SMALL('3. AI Fit Diagnostic'!$AD$8:$AD$57,COUNTIF('3. AI Fit Diagnostic'!$AD$8:$AD$57,"&lt;"&amp;200)+10),"")="","",IF(IFERROR(SMALL('3. AI Fit Diagnostic'!$AD$8:$AD$57,COUNTIF('3. AI Fit Diagnostic'!$AD$8:$AD$57,"&lt;"&amp;200)+10),"")&lt;300,IFERROR(SMALL('3. AI Fit Diagnostic'!$AD$8:$AD$57,COUNTIF('3. AI Fit Diagnostic'!$AD$8:$AD$57,"&lt;"&amp;200)+10),""),""))</f>
        <v/>
      </c>
    </row>
    <row r="39" ht="26" customHeight="1">
      <c r="A39" s="40" t="str">
        <f>IF($H39="","",INDEX('3. AI Fit Diagnostic'!$Z$8:$Z$57,MATCH($H39,'3. AI Fit Diagnostic'!$AD$8:$AD$57,0)))</f>
        <v/>
      </c>
      <c r="B39" s="55" t="str">
        <f>IF($H39="","",INDEX('3. AI Fit Diagnostic'!$C$8:$C$57,MATCH($H39,'3. AI Fit Diagnostic'!$AD$8:$AD$57,0)))</f>
        <v/>
      </c>
      <c r="C39" s="24" t="str">
        <f>IF($H39="","",INDEX('3. AI Fit Diagnostic'!$B$8:$B$57,MATCH($H39,'3. AI Fit Diagnostic'!$AD$8:$AD$57,0)))</f>
        <v/>
      </c>
      <c r="D39" s="24" t="str">
        <f>IF($H39="","",INDEX('3. AI Fit Diagnostic'!$O$8:$O$57,MATCH($H39,'3. AI Fit Diagnostic'!$AD$8:$AD$57,0)))</f>
        <v/>
      </c>
      <c r="E39" s="24" t="str">
        <f>IF($H39="","",INDEX('3. AI Fit Diagnostic'!$T$8:$T$57,MATCH($H39,'3. AI Fit Diagnostic'!$AD$8:$AD$57,0)))</f>
        <v/>
      </c>
      <c r="F39" s="37" t="str">
        <f>IF($H39="","",INDEX('3. AI Fit Diagnostic'!$W$8:$W$57,MATCH($H39,'3. AI Fit Diagnostic'!$AD$8:$AD$57,0)))</f>
        <v/>
      </c>
      <c r="G39" s="41" t="str">
        <f>IF($H39="","",INDEX('3. AI Fit Diagnostic'!$AB$8:$AB$57,MATCH($H39,'3. AI Fit Diagnostic'!$AD$8:$AD$57,0)))</f>
        <v/>
      </c>
      <c r="H39" t="str">
        <f>IF(IFERROR(SMALL('3. AI Fit Diagnostic'!$AD$8:$AD$57,COUNTIF('3. AI Fit Diagnostic'!$AD$8:$AD$57,"&lt;"&amp;200)+11),"")="","",IF(IFERROR(SMALL('3. AI Fit Diagnostic'!$AD$8:$AD$57,COUNTIF('3. AI Fit Diagnostic'!$AD$8:$AD$57,"&lt;"&amp;200)+11),"")&lt;300,IFERROR(SMALL('3. AI Fit Diagnostic'!$AD$8:$AD$57,COUNTIF('3. AI Fit Diagnostic'!$AD$8:$AD$57,"&lt;"&amp;200)+11),""),""))</f>
        <v/>
      </c>
    </row>
    <row r="40" ht="26" customHeight="1">
      <c r="A40" s="40" t="str">
        <f>IF($H40="","",INDEX('3. AI Fit Diagnostic'!$Z$8:$Z$57,MATCH($H40,'3. AI Fit Diagnostic'!$AD$8:$AD$57,0)))</f>
        <v/>
      </c>
      <c r="B40" s="55" t="str">
        <f>IF($H40="","",INDEX('3. AI Fit Diagnostic'!$C$8:$C$57,MATCH($H40,'3. AI Fit Diagnostic'!$AD$8:$AD$57,0)))</f>
        <v/>
      </c>
      <c r="C40" s="24" t="str">
        <f>IF($H40="","",INDEX('3. AI Fit Diagnostic'!$B$8:$B$57,MATCH($H40,'3. AI Fit Diagnostic'!$AD$8:$AD$57,0)))</f>
        <v/>
      </c>
      <c r="D40" s="24" t="str">
        <f>IF($H40="","",INDEX('3. AI Fit Diagnostic'!$O$8:$O$57,MATCH($H40,'3. AI Fit Diagnostic'!$AD$8:$AD$57,0)))</f>
        <v/>
      </c>
      <c r="E40" s="24" t="str">
        <f>IF($H40="","",INDEX('3. AI Fit Diagnostic'!$T$8:$T$57,MATCH($H40,'3. AI Fit Diagnostic'!$AD$8:$AD$57,0)))</f>
        <v/>
      </c>
      <c r="F40" s="37" t="str">
        <f>IF($H40="","",INDEX('3. AI Fit Diagnostic'!$W$8:$W$57,MATCH($H40,'3. AI Fit Diagnostic'!$AD$8:$AD$57,0)))</f>
        <v/>
      </c>
      <c r="G40" s="41" t="str">
        <f>IF($H40="","",INDEX('3. AI Fit Diagnostic'!$AB$8:$AB$57,MATCH($H40,'3. AI Fit Diagnostic'!$AD$8:$AD$57,0)))</f>
        <v/>
      </c>
      <c r="H40" t="str">
        <f>IF(IFERROR(SMALL('3. AI Fit Diagnostic'!$AD$8:$AD$57,COUNTIF('3. AI Fit Diagnostic'!$AD$8:$AD$57,"&lt;"&amp;200)+12),"")="","",IF(IFERROR(SMALL('3. AI Fit Diagnostic'!$AD$8:$AD$57,COUNTIF('3. AI Fit Diagnostic'!$AD$8:$AD$57,"&lt;"&amp;200)+12),"")&lt;300,IFERROR(SMALL('3. AI Fit Diagnostic'!$AD$8:$AD$57,COUNTIF('3. AI Fit Diagnostic'!$AD$8:$AD$57,"&lt;"&amp;200)+12),""),""))</f>
        <v/>
      </c>
    </row>
    <row r="42" ht="22" customHeight="1">
      <c r="A42" s="60" t="inlineStr">
        <is>
          <t>H3 - Later (12-24 months)</t>
        </is>
      </c>
    </row>
    <row r="43">
      <c r="A43" s="59" t="inlineStr">
        <is>
          <t>Rank</t>
        </is>
      </c>
      <c r="B43" s="59" t="inlineStr">
        <is>
          <t>Process / activity</t>
        </is>
      </c>
      <c r="C43" s="59" t="inlineStr">
        <is>
          <t>Function</t>
        </is>
      </c>
      <c r="D43" s="59" t="inlineStr">
        <is>
          <t>Solution family</t>
        </is>
      </c>
      <c r="E43" s="59" t="inlineStr">
        <is>
          <t>Verdict</t>
        </is>
      </c>
      <c r="F43" s="59" t="inlineStr">
        <is>
          <t>Risk tier</t>
        </is>
      </c>
      <c r="G43" s="59" t="inlineStr">
        <is>
          <t>Hours / yr</t>
        </is>
      </c>
    </row>
    <row r="44" ht="26" customHeight="1">
      <c r="A44" s="40">
        <f>IF($H44="","",INDEX('3. AI Fit Diagnostic'!$Z$8:$Z$57,MATCH($H44,'3. AI Fit Diagnostic'!$AD$8:$AD$57,0)))</f>
        <v>19</v>
      </c>
      <c r="B44" s="55" t="str">
        <f>IF($H44="","",INDEX('3. AI Fit Diagnostic'!$C$8:$C$57,MATCH($H44,'3. AI Fit Diagnostic'!$AD$8:$AD$57,0)))</f>
        <v>Client cross-sell and retention insights</v>
      </c>
      <c r="C44" s="24" t="str">
        <f>IF($H44="","",INDEX('3. AI Fit Diagnostic'!$B$8:$B$57,MATCH($H44,'3. AI Fit Diagnostic'!$AD$8:$AD$57,0)))</f>
        <v>Customer service &amp; sales</v>
      </c>
      <c r="D44" s="24" t="str">
        <f>IF($H44="","",INDEX('3. AI Fit Diagnostic'!$O$8:$O$57,MATCH($H44,'3. AI Fit Diagnostic'!$AD$8:$AD$57,0)))</f>
        <v>Predictive analytics / machine learning</v>
      </c>
      <c r="E44" s="24" t="str">
        <f>IF($H44="","",INDEX('3. AI Fit Diagnostic'!$T$8:$T$57,MATCH($H44,'3. AI Fit Diagnostic'!$AD$8:$AD$57,0)))</f>
        <v>AI later - close data gap first</v>
      </c>
      <c r="F44" s="37" t="str">
        <f>IF($H44="","",INDEX('3. AI Fit Diagnostic'!$W$8:$W$57,MATCH($H44,'3. AI Fit Diagnostic'!$AD$8:$AD$57,0)))</f>
        <v>Medium</v>
      </c>
      <c r="G44" s="41">
        <f>IF($H44="","",INDEX('3. AI Fit Diagnostic'!$AB$8:$AB$57,MATCH($H44,'3. AI Fit Diagnostic'!$AD$8:$AD$57,0)))</f>
        <v>480</v>
      </c>
      <c r="H44">
        <f>IF(IFERROR(SMALL('3. AI Fit Diagnostic'!$AD$8:$AD$57,COUNTIF('3. AI Fit Diagnostic'!$AD$8:$AD$57,"&lt;"&amp;300)+1),"")="","",IF(IFERROR(SMALL('3. AI Fit Diagnostic'!$AD$8:$AD$57,COUNTIF('3. AI Fit Diagnostic'!$AD$8:$AD$57,"&lt;"&amp;300)+1),"")&lt;400,IFERROR(SMALL('3. AI Fit Diagnostic'!$AD$8:$AD$57,COUNTIF('3. AI Fit Diagnostic'!$AD$8:$AD$57,"&lt;"&amp;300)+1),""),""))</f>
        <v>319</v>
      </c>
    </row>
    <row r="45" ht="26" customHeight="1">
      <c r="A45" s="40" t="str">
        <f>IF($H45="","",INDEX('3. AI Fit Diagnostic'!$Z$8:$Z$57,MATCH($H45,'3. AI Fit Diagnostic'!$AD$8:$AD$57,0)))</f>
        <v/>
      </c>
      <c r="B45" s="55" t="str">
        <f>IF($H45="","",INDEX('3. AI Fit Diagnostic'!$C$8:$C$57,MATCH($H45,'3. AI Fit Diagnostic'!$AD$8:$AD$57,0)))</f>
        <v/>
      </c>
      <c r="C45" s="24" t="str">
        <f>IF($H45="","",INDEX('3. AI Fit Diagnostic'!$B$8:$B$57,MATCH($H45,'3. AI Fit Diagnostic'!$AD$8:$AD$57,0)))</f>
        <v/>
      </c>
      <c r="D45" s="24" t="str">
        <f>IF($H45="","",INDEX('3. AI Fit Diagnostic'!$O$8:$O$57,MATCH($H45,'3. AI Fit Diagnostic'!$AD$8:$AD$57,0)))</f>
        <v/>
      </c>
      <c r="E45" s="24" t="str">
        <f>IF($H45="","",INDEX('3. AI Fit Diagnostic'!$T$8:$T$57,MATCH($H45,'3. AI Fit Diagnostic'!$AD$8:$AD$57,0)))</f>
        <v/>
      </c>
      <c r="F45" s="37" t="str">
        <f>IF($H45="","",INDEX('3. AI Fit Diagnostic'!$W$8:$W$57,MATCH($H45,'3. AI Fit Diagnostic'!$AD$8:$AD$57,0)))</f>
        <v/>
      </c>
      <c r="G45" s="41" t="str">
        <f>IF($H45="","",INDEX('3. AI Fit Diagnostic'!$AB$8:$AB$57,MATCH($H45,'3. AI Fit Diagnostic'!$AD$8:$AD$57,0)))</f>
        <v/>
      </c>
      <c r="H45" t="str">
        <f>IF(IFERROR(SMALL('3. AI Fit Diagnostic'!$AD$8:$AD$57,COUNTIF('3. AI Fit Diagnostic'!$AD$8:$AD$57,"&lt;"&amp;300)+2),"")="","",IF(IFERROR(SMALL('3. AI Fit Diagnostic'!$AD$8:$AD$57,COUNTIF('3. AI Fit Diagnostic'!$AD$8:$AD$57,"&lt;"&amp;300)+2),"")&lt;400,IFERROR(SMALL('3. AI Fit Diagnostic'!$AD$8:$AD$57,COUNTIF('3. AI Fit Diagnostic'!$AD$8:$AD$57,"&lt;"&amp;300)+2),""),""))</f>
        <v/>
      </c>
    </row>
    <row r="46" ht="26" customHeight="1">
      <c r="A46" s="40" t="str">
        <f>IF($H46="","",INDEX('3. AI Fit Diagnostic'!$Z$8:$Z$57,MATCH($H46,'3. AI Fit Diagnostic'!$AD$8:$AD$57,0)))</f>
        <v/>
      </c>
      <c r="B46" s="55" t="str">
        <f>IF($H46="","",INDEX('3. AI Fit Diagnostic'!$C$8:$C$57,MATCH($H46,'3. AI Fit Diagnostic'!$AD$8:$AD$57,0)))</f>
        <v/>
      </c>
      <c r="C46" s="24" t="str">
        <f>IF($H46="","",INDEX('3. AI Fit Diagnostic'!$B$8:$B$57,MATCH($H46,'3. AI Fit Diagnostic'!$AD$8:$AD$57,0)))</f>
        <v/>
      </c>
      <c r="D46" s="24" t="str">
        <f>IF($H46="","",INDEX('3. AI Fit Diagnostic'!$O$8:$O$57,MATCH($H46,'3. AI Fit Diagnostic'!$AD$8:$AD$57,0)))</f>
        <v/>
      </c>
      <c r="E46" s="24" t="str">
        <f>IF($H46="","",INDEX('3. AI Fit Diagnostic'!$T$8:$T$57,MATCH($H46,'3. AI Fit Diagnostic'!$AD$8:$AD$57,0)))</f>
        <v/>
      </c>
      <c r="F46" s="37" t="str">
        <f>IF($H46="","",INDEX('3. AI Fit Diagnostic'!$W$8:$W$57,MATCH($H46,'3. AI Fit Diagnostic'!$AD$8:$AD$57,0)))</f>
        <v/>
      </c>
      <c r="G46" s="41" t="str">
        <f>IF($H46="","",INDEX('3. AI Fit Diagnostic'!$AB$8:$AB$57,MATCH($H46,'3. AI Fit Diagnostic'!$AD$8:$AD$57,0)))</f>
        <v/>
      </c>
      <c r="H46" t="str">
        <f>IF(IFERROR(SMALL('3. AI Fit Diagnostic'!$AD$8:$AD$57,COUNTIF('3. AI Fit Diagnostic'!$AD$8:$AD$57,"&lt;"&amp;300)+3),"")="","",IF(IFERROR(SMALL('3. AI Fit Diagnostic'!$AD$8:$AD$57,COUNTIF('3. AI Fit Diagnostic'!$AD$8:$AD$57,"&lt;"&amp;300)+3),"")&lt;400,IFERROR(SMALL('3. AI Fit Diagnostic'!$AD$8:$AD$57,COUNTIF('3. AI Fit Diagnostic'!$AD$8:$AD$57,"&lt;"&amp;300)+3),""),""))</f>
        <v/>
      </c>
    </row>
    <row r="47" ht="26" customHeight="1">
      <c r="A47" s="40" t="str">
        <f>IF($H47="","",INDEX('3. AI Fit Diagnostic'!$Z$8:$Z$57,MATCH($H47,'3. AI Fit Diagnostic'!$AD$8:$AD$57,0)))</f>
        <v/>
      </c>
      <c r="B47" s="55" t="str">
        <f>IF($H47="","",INDEX('3. AI Fit Diagnostic'!$C$8:$C$57,MATCH($H47,'3. AI Fit Diagnostic'!$AD$8:$AD$57,0)))</f>
        <v/>
      </c>
      <c r="C47" s="24" t="str">
        <f>IF($H47="","",INDEX('3. AI Fit Diagnostic'!$B$8:$B$57,MATCH($H47,'3. AI Fit Diagnostic'!$AD$8:$AD$57,0)))</f>
        <v/>
      </c>
      <c r="D47" s="24" t="str">
        <f>IF($H47="","",INDEX('3. AI Fit Diagnostic'!$O$8:$O$57,MATCH($H47,'3. AI Fit Diagnostic'!$AD$8:$AD$57,0)))</f>
        <v/>
      </c>
      <c r="E47" s="24" t="str">
        <f>IF($H47="","",INDEX('3. AI Fit Diagnostic'!$T$8:$T$57,MATCH($H47,'3. AI Fit Diagnostic'!$AD$8:$AD$57,0)))</f>
        <v/>
      </c>
      <c r="F47" s="37" t="str">
        <f>IF($H47="","",INDEX('3. AI Fit Diagnostic'!$W$8:$W$57,MATCH($H47,'3. AI Fit Diagnostic'!$AD$8:$AD$57,0)))</f>
        <v/>
      </c>
      <c r="G47" s="41" t="str">
        <f>IF($H47="","",INDEX('3. AI Fit Diagnostic'!$AB$8:$AB$57,MATCH($H47,'3. AI Fit Diagnostic'!$AD$8:$AD$57,0)))</f>
        <v/>
      </c>
      <c r="H47" t="str">
        <f>IF(IFERROR(SMALL('3. AI Fit Diagnostic'!$AD$8:$AD$57,COUNTIF('3. AI Fit Diagnostic'!$AD$8:$AD$57,"&lt;"&amp;300)+4),"")="","",IF(IFERROR(SMALL('3. AI Fit Diagnostic'!$AD$8:$AD$57,COUNTIF('3. AI Fit Diagnostic'!$AD$8:$AD$57,"&lt;"&amp;300)+4),"")&lt;400,IFERROR(SMALL('3. AI Fit Diagnostic'!$AD$8:$AD$57,COUNTIF('3. AI Fit Diagnostic'!$AD$8:$AD$57,"&lt;"&amp;300)+4),""),""))</f>
        <v/>
      </c>
    </row>
    <row r="48" ht="26" customHeight="1">
      <c r="A48" s="40" t="str">
        <f>IF($H48="","",INDEX('3. AI Fit Diagnostic'!$Z$8:$Z$57,MATCH($H48,'3. AI Fit Diagnostic'!$AD$8:$AD$57,0)))</f>
        <v/>
      </c>
      <c r="B48" s="55" t="str">
        <f>IF($H48="","",INDEX('3. AI Fit Diagnostic'!$C$8:$C$57,MATCH($H48,'3. AI Fit Diagnostic'!$AD$8:$AD$57,0)))</f>
        <v/>
      </c>
      <c r="C48" s="24" t="str">
        <f>IF($H48="","",INDEX('3. AI Fit Diagnostic'!$B$8:$B$57,MATCH($H48,'3. AI Fit Diagnostic'!$AD$8:$AD$57,0)))</f>
        <v/>
      </c>
      <c r="D48" s="24" t="str">
        <f>IF($H48="","",INDEX('3. AI Fit Diagnostic'!$O$8:$O$57,MATCH($H48,'3. AI Fit Diagnostic'!$AD$8:$AD$57,0)))</f>
        <v/>
      </c>
      <c r="E48" s="24" t="str">
        <f>IF($H48="","",INDEX('3. AI Fit Diagnostic'!$T$8:$T$57,MATCH($H48,'3. AI Fit Diagnostic'!$AD$8:$AD$57,0)))</f>
        <v/>
      </c>
      <c r="F48" s="37" t="str">
        <f>IF($H48="","",INDEX('3. AI Fit Diagnostic'!$W$8:$W$57,MATCH($H48,'3. AI Fit Diagnostic'!$AD$8:$AD$57,0)))</f>
        <v/>
      </c>
      <c r="G48" s="41" t="str">
        <f>IF($H48="","",INDEX('3. AI Fit Diagnostic'!$AB$8:$AB$57,MATCH($H48,'3. AI Fit Diagnostic'!$AD$8:$AD$57,0)))</f>
        <v/>
      </c>
      <c r="H48" t="str">
        <f>IF(IFERROR(SMALL('3. AI Fit Diagnostic'!$AD$8:$AD$57,COUNTIF('3. AI Fit Diagnostic'!$AD$8:$AD$57,"&lt;"&amp;300)+5),"")="","",IF(IFERROR(SMALL('3. AI Fit Diagnostic'!$AD$8:$AD$57,COUNTIF('3. AI Fit Diagnostic'!$AD$8:$AD$57,"&lt;"&amp;300)+5),"")&lt;400,IFERROR(SMALL('3. AI Fit Diagnostic'!$AD$8:$AD$57,COUNTIF('3. AI Fit Diagnostic'!$AD$8:$AD$57,"&lt;"&amp;300)+5),""),""))</f>
        <v/>
      </c>
    </row>
    <row r="49" ht="26" customHeight="1">
      <c r="A49" s="40" t="str">
        <f>IF($H49="","",INDEX('3. AI Fit Diagnostic'!$Z$8:$Z$57,MATCH($H49,'3. AI Fit Diagnostic'!$AD$8:$AD$57,0)))</f>
        <v/>
      </c>
      <c r="B49" s="55" t="str">
        <f>IF($H49="","",INDEX('3. AI Fit Diagnostic'!$C$8:$C$57,MATCH($H49,'3. AI Fit Diagnostic'!$AD$8:$AD$57,0)))</f>
        <v/>
      </c>
      <c r="C49" s="24" t="str">
        <f>IF($H49="","",INDEX('3. AI Fit Diagnostic'!$B$8:$B$57,MATCH($H49,'3. AI Fit Diagnostic'!$AD$8:$AD$57,0)))</f>
        <v/>
      </c>
      <c r="D49" s="24" t="str">
        <f>IF($H49="","",INDEX('3. AI Fit Diagnostic'!$O$8:$O$57,MATCH($H49,'3. AI Fit Diagnostic'!$AD$8:$AD$57,0)))</f>
        <v/>
      </c>
      <c r="E49" s="24" t="str">
        <f>IF($H49="","",INDEX('3. AI Fit Diagnostic'!$T$8:$T$57,MATCH($H49,'3. AI Fit Diagnostic'!$AD$8:$AD$57,0)))</f>
        <v/>
      </c>
      <c r="F49" s="37" t="str">
        <f>IF($H49="","",INDEX('3. AI Fit Diagnostic'!$W$8:$W$57,MATCH($H49,'3. AI Fit Diagnostic'!$AD$8:$AD$57,0)))</f>
        <v/>
      </c>
      <c r="G49" s="41" t="str">
        <f>IF($H49="","",INDEX('3. AI Fit Diagnostic'!$AB$8:$AB$57,MATCH($H49,'3. AI Fit Diagnostic'!$AD$8:$AD$57,0)))</f>
        <v/>
      </c>
      <c r="H49" t="str">
        <f>IF(IFERROR(SMALL('3. AI Fit Diagnostic'!$AD$8:$AD$57,COUNTIF('3. AI Fit Diagnostic'!$AD$8:$AD$57,"&lt;"&amp;300)+6),"")="","",IF(IFERROR(SMALL('3. AI Fit Diagnostic'!$AD$8:$AD$57,COUNTIF('3. AI Fit Diagnostic'!$AD$8:$AD$57,"&lt;"&amp;300)+6),"")&lt;400,IFERROR(SMALL('3. AI Fit Diagnostic'!$AD$8:$AD$57,COUNTIF('3. AI Fit Diagnostic'!$AD$8:$AD$57,"&lt;"&amp;300)+6),""),""))</f>
        <v/>
      </c>
    </row>
    <row r="50" ht="26" customHeight="1">
      <c r="A50" s="40" t="str">
        <f>IF($H50="","",INDEX('3. AI Fit Diagnostic'!$Z$8:$Z$57,MATCH($H50,'3. AI Fit Diagnostic'!$AD$8:$AD$57,0)))</f>
        <v/>
      </c>
      <c r="B50" s="55" t="str">
        <f>IF($H50="","",INDEX('3. AI Fit Diagnostic'!$C$8:$C$57,MATCH($H50,'3. AI Fit Diagnostic'!$AD$8:$AD$57,0)))</f>
        <v/>
      </c>
      <c r="C50" s="24" t="str">
        <f>IF($H50="","",INDEX('3. AI Fit Diagnostic'!$B$8:$B$57,MATCH($H50,'3. AI Fit Diagnostic'!$AD$8:$AD$57,0)))</f>
        <v/>
      </c>
      <c r="D50" s="24" t="str">
        <f>IF($H50="","",INDEX('3. AI Fit Diagnostic'!$O$8:$O$57,MATCH($H50,'3. AI Fit Diagnostic'!$AD$8:$AD$57,0)))</f>
        <v/>
      </c>
      <c r="E50" s="24" t="str">
        <f>IF($H50="","",INDEX('3. AI Fit Diagnostic'!$T$8:$T$57,MATCH($H50,'3. AI Fit Diagnostic'!$AD$8:$AD$57,0)))</f>
        <v/>
      </c>
      <c r="F50" s="37" t="str">
        <f>IF($H50="","",INDEX('3. AI Fit Diagnostic'!$W$8:$W$57,MATCH($H50,'3. AI Fit Diagnostic'!$AD$8:$AD$57,0)))</f>
        <v/>
      </c>
      <c r="G50" s="41" t="str">
        <f>IF($H50="","",INDEX('3. AI Fit Diagnostic'!$AB$8:$AB$57,MATCH($H50,'3. AI Fit Diagnostic'!$AD$8:$AD$57,0)))</f>
        <v/>
      </c>
      <c r="H50" t="str">
        <f>IF(IFERROR(SMALL('3. AI Fit Diagnostic'!$AD$8:$AD$57,COUNTIF('3. AI Fit Diagnostic'!$AD$8:$AD$57,"&lt;"&amp;300)+7),"")="","",IF(IFERROR(SMALL('3. AI Fit Diagnostic'!$AD$8:$AD$57,COUNTIF('3. AI Fit Diagnostic'!$AD$8:$AD$57,"&lt;"&amp;300)+7),"")&lt;400,IFERROR(SMALL('3. AI Fit Diagnostic'!$AD$8:$AD$57,COUNTIF('3. AI Fit Diagnostic'!$AD$8:$AD$57,"&lt;"&amp;300)+7),""),""))</f>
        <v/>
      </c>
    </row>
    <row r="51" ht="26" customHeight="1">
      <c r="A51" s="40" t="str">
        <f>IF($H51="","",INDEX('3. AI Fit Diagnostic'!$Z$8:$Z$57,MATCH($H51,'3. AI Fit Diagnostic'!$AD$8:$AD$57,0)))</f>
        <v/>
      </c>
      <c r="B51" s="55" t="str">
        <f>IF($H51="","",INDEX('3. AI Fit Diagnostic'!$C$8:$C$57,MATCH($H51,'3. AI Fit Diagnostic'!$AD$8:$AD$57,0)))</f>
        <v/>
      </c>
      <c r="C51" s="24" t="str">
        <f>IF($H51="","",INDEX('3. AI Fit Diagnostic'!$B$8:$B$57,MATCH($H51,'3. AI Fit Diagnostic'!$AD$8:$AD$57,0)))</f>
        <v/>
      </c>
      <c r="D51" s="24" t="str">
        <f>IF($H51="","",INDEX('3. AI Fit Diagnostic'!$O$8:$O$57,MATCH($H51,'3. AI Fit Diagnostic'!$AD$8:$AD$57,0)))</f>
        <v/>
      </c>
      <c r="E51" s="24" t="str">
        <f>IF($H51="","",INDEX('3. AI Fit Diagnostic'!$T$8:$T$57,MATCH($H51,'3. AI Fit Diagnostic'!$AD$8:$AD$57,0)))</f>
        <v/>
      </c>
      <c r="F51" s="37" t="str">
        <f>IF($H51="","",INDEX('3. AI Fit Diagnostic'!$W$8:$W$57,MATCH($H51,'3. AI Fit Diagnostic'!$AD$8:$AD$57,0)))</f>
        <v/>
      </c>
      <c r="G51" s="41" t="str">
        <f>IF($H51="","",INDEX('3. AI Fit Diagnostic'!$AB$8:$AB$57,MATCH($H51,'3. AI Fit Diagnostic'!$AD$8:$AD$57,0)))</f>
        <v/>
      </c>
      <c r="H51" t="str">
        <f>IF(IFERROR(SMALL('3. AI Fit Diagnostic'!$AD$8:$AD$57,COUNTIF('3. AI Fit Diagnostic'!$AD$8:$AD$57,"&lt;"&amp;300)+8),"")="","",IF(IFERROR(SMALL('3. AI Fit Diagnostic'!$AD$8:$AD$57,COUNTIF('3. AI Fit Diagnostic'!$AD$8:$AD$57,"&lt;"&amp;300)+8),"")&lt;400,IFERROR(SMALL('3. AI Fit Diagnostic'!$AD$8:$AD$57,COUNTIF('3. AI Fit Diagnostic'!$AD$8:$AD$57,"&lt;"&amp;300)+8),""),""))</f>
        <v/>
      </c>
    </row>
    <row r="52" ht="26" customHeight="1">
      <c r="A52" s="40" t="str">
        <f>IF($H52="","",INDEX('3. AI Fit Diagnostic'!$Z$8:$Z$57,MATCH($H52,'3. AI Fit Diagnostic'!$AD$8:$AD$57,0)))</f>
        <v/>
      </c>
      <c r="B52" s="55" t="str">
        <f>IF($H52="","",INDEX('3. AI Fit Diagnostic'!$C$8:$C$57,MATCH($H52,'3. AI Fit Diagnostic'!$AD$8:$AD$57,0)))</f>
        <v/>
      </c>
      <c r="C52" s="24" t="str">
        <f>IF($H52="","",INDEX('3. AI Fit Diagnostic'!$B$8:$B$57,MATCH($H52,'3. AI Fit Diagnostic'!$AD$8:$AD$57,0)))</f>
        <v/>
      </c>
      <c r="D52" s="24" t="str">
        <f>IF($H52="","",INDEX('3. AI Fit Diagnostic'!$O$8:$O$57,MATCH($H52,'3. AI Fit Diagnostic'!$AD$8:$AD$57,0)))</f>
        <v/>
      </c>
      <c r="E52" s="24" t="str">
        <f>IF($H52="","",INDEX('3. AI Fit Diagnostic'!$T$8:$T$57,MATCH($H52,'3. AI Fit Diagnostic'!$AD$8:$AD$57,0)))</f>
        <v/>
      </c>
      <c r="F52" s="37" t="str">
        <f>IF($H52="","",INDEX('3. AI Fit Diagnostic'!$W$8:$W$57,MATCH($H52,'3. AI Fit Diagnostic'!$AD$8:$AD$57,0)))</f>
        <v/>
      </c>
      <c r="G52" s="41" t="str">
        <f>IF($H52="","",INDEX('3. AI Fit Diagnostic'!$AB$8:$AB$57,MATCH($H52,'3. AI Fit Diagnostic'!$AD$8:$AD$57,0)))</f>
        <v/>
      </c>
      <c r="H52" t="str">
        <f>IF(IFERROR(SMALL('3. AI Fit Diagnostic'!$AD$8:$AD$57,COUNTIF('3. AI Fit Diagnostic'!$AD$8:$AD$57,"&lt;"&amp;300)+9),"")="","",IF(IFERROR(SMALL('3. AI Fit Diagnostic'!$AD$8:$AD$57,COUNTIF('3. AI Fit Diagnostic'!$AD$8:$AD$57,"&lt;"&amp;300)+9),"")&lt;400,IFERROR(SMALL('3. AI Fit Diagnostic'!$AD$8:$AD$57,COUNTIF('3. AI Fit Diagnostic'!$AD$8:$AD$57,"&lt;"&amp;300)+9),""),""))</f>
        <v/>
      </c>
    </row>
    <row r="53" ht="26" customHeight="1">
      <c r="A53" s="40" t="str">
        <f>IF($H53="","",INDEX('3. AI Fit Diagnostic'!$Z$8:$Z$57,MATCH($H53,'3. AI Fit Diagnostic'!$AD$8:$AD$57,0)))</f>
        <v/>
      </c>
      <c r="B53" s="55" t="str">
        <f>IF($H53="","",INDEX('3. AI Fit Diagnostic'!$C$8:$C$57,MATCH($H53,'3. AI Fit Diagnostic'!$AD$8:$AD$57,0)))</f>
        <v/>
      </c>
      <c r="C53" s="24" t="str">
        <f>IF($H53="","",INDEX('3. AI Fit Diagnostic'!$B$8:$B$57,MATCH($H53,'3. AI Fit Diagnostic'!$AD$8:$AD$57,0)))</f>
        <v/>
      </c>
      <c r="D53" s="24" t="str">
        <f>IF($H53="","",INDEX('3. AI Fit Diagnostic'!$O$8:$O$57,MATCH($H53,'3. AI Fit Diagnostic'!$AD$8:$AD$57,0)))</f>
        <v/>
      </c>
      <c r="E53" s="24" t="str">
        <f>IF($H53="","",INDEX('3. AI Fit Diagnostic'!$T$8:$T$57,MATCH($H53,'3. AI Fit Diagnostic'!$AD$8:$AD$57,0)))</f>
        <v/>
      </c>
      <c r="F53" s="37" t="str">
        <f>IF($H53="","",INDEX('3. AI Fit Diagnostic'!$W$8:$W$57,MATCH($H53,'3. AI Fit Diagnostic'!$AD$8:$AD$57,0)))</f>
        <v/>
      </c>
      <c r="G53" s="41" t="str">
        <f>IF($H53="","",INDEX('3. AI Fit Diagnostic'!$AB$8:$AB$57,MATCH($H53,'3. AI Fit Diagnostic'!$AD$8:$AD$57,0)))</f>
        <v/>
      </c>
      <c r="H53" t="str">
        <f>IF(IFERROR(SMALL('3. AI Fit Diagnostic'!$AD$8:$AD$57,COUNTIF('3. AI Fit Diagnostic'!$AD$8:$AD$57,"&lt;"&amp;300)+10),"")="","",IF(IFERROR(SMALL('3. AI Fit Diagnostic'!$AD$8:$AD$57,COUNTIF('3. AI Fit Diagnostic'!$AD$8:$AD$57,"&lt;"&amp;300)+10),"")&lt;400,IFERROR(SMALL('3. AI Fit Diagnostic'!$AD$8:$AD$57,COUNTIF('3. AI Fit Diagnostic'!$AD$8:$AD$57,"&lt;"&amp;300)+10),""),""))</f>
        <v/>
      </c>
    </row>
    <row r="55" ht="22" customHeight="1">
      <c r="A55" s="61" t="inlineStr">
        <is>
          <t>Backlog / not prioritised</t>
        </is>
      </c>
    </row>
    <row r="56">
      <c r="A56" s="59" t="inlineStr">
        <is>
          <t>Rank</t>
        </is>
      </c>
      <c r="B56" s="59" t="inlineStr">
        <is>
          <t>Process / activity</t>
        </is>
      </c>
      <c r="C56" s="59" t="inlineStr">
        <is>
          <t>Function</t>
        </is>
      </c>
      <c r="D56" s="59" t="inlineStr">
        <is>
          <t>Solution family</t>
        </is>
      </c>
      <c r="E56" s="59" t="inlineStr">
        <is>
          <t>Verdict</t>
        </is>
      </c>
      <c r="F56" s="59" t="inlineStr">
        <is>
          <t>Risk tier</t>
        </is>
      </c>
      <c r="G56" s="59" t="inlineStr">
        <is>
          <t>Hours / yr</t>
        </is>
      </c>
    </row>
    <row r="57" ht="26" customHeight="1">
      <c r="A57" s="40">
        <f>IF($H57="","",INDEX('3. AI Fit Diagnostic'!$Z$8:$Z$57,MATCH($H57,'3. AI Fit Diagnostic'!$AD$8:$AD$57,0)))</f>
        <v>20</v>
      </c>
      <c r="B57" s="55" t="str">
        <f>IF($H57="","",INDEX('3. AI Fit Diagnostic'!$C$8:$C$57,MATCH($H57,'3. AI Fit Diagnostic'!$AD$8:$AD$57,0)))</f>
        <v>Recruitment - CV screening</v>
      </c>
      <c r="C57" s="24" t="str">
        <f>IF($H57="","",INDEX('3. AI Fit Diagnostic'!$B$8:$B$57,MATCH($H57,'3. AI Fit Diagnostic'!$AD$8:$AD$57,0)))</f>
        <v>HR &amp; people</v>
      </c>
      <c r="D57" s="24" t="str">
        <f>IF($H57="","",INDEX('3. AI Fit Diagnostic'!$O$8:$O$57,MATCH($H57,'3. AI Fit Diagnostic'!$AD$8:$AD$57,0)))</f>
        <v>Predictive analytics / machine learning</v>
      </c>
      <c r="E57" s="24" t="str">
        <f>IF($H57="","",INDEX('3. AI Fit Diagnostic'!$T$8:$T$57,MATCH($H57,'3. AI Fit Diagnostic'!$AD$8:$AD$57,0)))</f>
        <v>AI later - close data gap first</v>
      </c>
      <c r="F57" s="37" t="str">
        <f>IF($H57="","",INDEX('3. AI Fit Diagnostic'!$W$8:$W$57,MATCH($H57,'3. AI Fit Diagnostic'!$AD$8:$AD$57,0)))</f>
        <v>High</v>
      </c>
      <c r="G57" s="41">
        <f>IF($H57="","",INDEX('3. AI Fit Diagnostic'!$AB$8:$AB$57,MATCH($H57,'3. AI Fit Diagnostic'!$AD$8:$AD$57,0)))</f>
        <v>192</v>
      </c>
      <c r="H57">
        <f>IF(IFERROR(SMALL('3. AI Fit Diagnostic'!$AD$8:$AD$57,COUNTIF('3. AI Fit Diagnostic'!$AD$8:$AD$57,"&lt;"&amp;400)+1),"")="","",IF(IFERROR(SMALL('3. AI Fit Diagnostic'!$AD$8:$AD$57,COUNTIF('3. AI Fit Diagnostic'!$AD$8:$AD$57,"&lt;"&amp;400)+1),"")&lt;500,IFERROR(SMALL('3. AI Fit Diagnostic'!$AD$8:$AD$57,COUNTIF('3. AI Fit Diagnostic'!$AD$8:$AD$57,"&lt;"&amp;400)+1),""),""))</f>
        <v>420</v>
      </c>
    </row>
    <row r="58" ht="26" customHeight="1">
      <c r="A58" s="40" t="str">
        <f>IF($H58="","",INDEX('3. AI Fit Diagnostic'!$Z$8:$Z$57,MATCH($H58,'3. AI Fit Diagnostic'!$AD$8:$AD$57,0)))</f>
        <v/>
      </c>
      <c r="B58" s="55" t="str">
        <f>IF($H58="","",INDEX('3. AI Fit Diagnostic'!$C$8:$C$57,MATCH($H58,'3. AI Fit Diagnostic'!$AD$8:$AD$57,0)))</f>
        <v/>
      </c>
      <c r="C58" s="24" t="str">
        <f>IF($H58="","",INDEX('3. AI Fit Diagnostic'!$B$8:$B$57,MATCH($H58,'3. AI Fit Diagnostic'!$AD$8:$AD$57,0)))</f>
        <v/>
      </c>
      <c r="D58" s="24" t="str">
        <f>IF($H58="","",INDEX('3. AI Fit Diagnostic'!$O$8:$O$57,MATCH($H58,'3. AI Fit Diagnostic'!$AD$8:$AD$57,0)))</f>
        <v/>
      </c>
      <c r="E58" s="24" t="str">
        <f>IF($H58="","",INDEX('3. AI Fit Diagnostic'!$T$8:$T$57,MATCH($H58,'3. AI Fit Diagnostic'!$AD$8:$AD$57,0)))</f>
        <v/>
      </c>
      <c r="F58" s="37" t="str">
        <f>IF($H58="","",INDEX('3. AI Fit Diagnostic'!$W$8:$W$57,MATCH($H58,'3. AI Fit Diagnostic'!$AD$8:$AD$57,0)))</f>
        <v/>
      </c>
      <c r="G58" s="41" t="str">
        <f>IF($H58="","",INDEX('3. AI Fit Diagnostic'!$AB$8:$AB$57,MATCH($H58,'3. AI Fit Diagnostic'!$AD$8:$AD$57,0)))</f>
        <v/>
      </c>
      <c r="H58" t="str">
        <f>IF(IFERROR(SMALL('3. AI Fit Diagnostic'!$AD$8:$AD$57,COUNTIF('3. AI Fit Diagnostic'!$AD$8:$AD$57,"&lt;"&amp;400)+2),"")="","",IF(IFERROR(SMALL('3. AI Fit Diagnostic'!$AD$8:$AD$57,COUNTIF('3. AI Fit Diagnostic'!$AD$8:$AD$57,"&lt;"&amp;400)+2),"")&lt;500,IFERROR(SMALL('3. AI Fit Diagnostic'!$AD$8:$AD$57,COUNTIF('3. AI Fit Diagnostic'!$AD$8:$AD$57,"&lt;"&amp;400)+2),""),""))</f>
        <v/>
      </c>
    </row>
    <row r="59" ht="26" customHeight="1">
      <c r="A59" s="40" t="str">
        <f>IF($H59="","",INDEX('3. AI Fit Diagnostic'!$Z$8:$Z$57,MATCH($H59,'3. AI Fit Diagnostic'!$AD$8:$AD$57,0)))</f>
        <v/>
      </c>
      <c r="B59" s="55" t="str">
        <f>IF($H59="","",INDEX('3. AI Fit Diagnostic'!$C$8:$C$57,MATCH($H59,'3. AI Fit Diagnostic'!$AD$8:$AD$57,0)))</f>
        <v/>
      </c>
      <c r="C59" s="24" t="str">
        <f>IF($H59="","",INDEX('3. AI Fit Diagnostic'!$B$8:$B$57,MATCH($H59,'3. AI Fit Diagnostic'!$AD$8:$AD$57,0)))</f>
        <v/>
      </c>
      <c r="D59" s="24" t="str">
        <f>IF($H59="","",INDEX('3. AI Fit Diagnostic'!$O$8:$O$57,MATCH($H59,'3. AI Fit Diagnostic'!$AD$8:$AD$57,0)))</f>
        <v/>
      </c>
      <c r="E59" s="24" t="str">
        <f>IF($H59="","",INDEX('3. AI Fit Diagnostic'!$T$8:$T$57,MATCH($H59,'3. AI Fit Diagnostic'!$AD$8:$AD$57,0)))</f>
        <v/>
      </c>
      <c r="F59" s="37" t="str">
        <f>IF($H59="","",INDEX('3. AI Fit Diagnostic'!$W$8:$W$57,MATCH($H59,'3. AI Fit Diagnostic'!$AD$8:$AD$57,0)))</f>
        <v/>
      </c>
      <c r="G59" s="41" t="str">
        <f>IF($H59="","",INDEX('3. AI Fit Diagnostic'!$AB$8:$AB$57,MATCH($H59,'3. AI Fit Diagnostic'!$AD$8:$AD$57,0)))</f>
        <v/>
      </c>
      <c r="H59" t="str">
        <f>IF(IFERROR(SMALL('3. AI Fit Diagnostic'!$AD$8:$AD$57,COUNTIF('3. AI Fit Diagnostic'!$AD$8:$AD$57,"&lt;"&amp;400)+3),"")="","",IF(IFERROR(SMALL('3. AI Fit Diagnostic'!$AD$8:$AD$57,COUNTIF('3. AI Fit Diagnostic'!$AD$8:$AD$57,"&lt;"&amp;400)+3),"")&lt;500,IFERROR(SMALL('3. AI Fit Diagnostic'!$AD$8:$AD$57,COUNTIF('3. AI Fit Diagnostic'!$AD$8:$AD$57,"&lt;"&amp;400)+3),""),""))</f>
        <v/>
      </c>
    </row>
    <row r="60" ht="26" customHeight="1">
      <c r="A60" s="40" t="str">
        <f>IF($H60="","",INDEX('3. AI Fit Diagnostic'!$Z$8:$Z$57,MATCH($H60,'3. AI Fit Diagnostic'!$AD$8:$AD$57,0)))</f>
        <v/>
      </c>
      <c r="B60" s="55" t="str">
        <f>IF($H60="","",INDEX('3. AI Fit Diagnostic'!$C$8:$C$57,MATCH($H60,'3. AI Fit Diagnostic'!$AD$8:$AD$57,0)))</f>
        <v/>
      </c>
      <c r="C60" s="24" t="str">
        <f>IF($H60="","",INDEX('3. AI Fit Diagnostic'!$B$8:$B$57,MATCH($H60,'3. AI Fit Diagnostic'!$AD$8:$AD$57,0)))</f>
        <v/>
      </c>
      <c r="D60" s="24" t="str">
        <f>IF($H60="","",INDEX('3. AI Fit Diagnostic'!$O$8:$O$57,MATCH($H60,'3. AI Fit Diagnostic'!$AD$8:$AD$57,0)))</f>
        <v/>
      </c>
      <c r="E60" s="24" t="str">
        <f>IF($H60="","",INDEX('3. AI Fit Diagnostic'!$T$8:$T$57,MATCH($H60,'3. AI Fit Diagnostic'!$AD$8:$AD$57,0)))</f>
        <v/>
      </c>
      <c r="F60" s="37" t="str">
        <f>IF($H60="","",INDEX('3. AI Fit Diagnostic'!$W$8:$W$57,MATCH($H60,'3. AI Fit Diagnostic'!$AD$8:$AD$57,0)))</f>
        <v/>
      </c>
      <c r="G60" s="41" t="str">
        <f>IF($H60="","",INDEX('3. AI Fit Diagnostic'!$AB$8:$AB$57,MATCH($H60,'3. AI Fit Diagnostic'!$AD$8:$AD$57,0)))</f>
        <v/>
      </c>
      <c r="H60" t="str">
        <f>IF(IFERROR(SMALL('3. AI Fit Diagnostic'!$AD$8:$AD$57,COUNTIF('3. AI Fit Diagnostic'!$AD$8:$AD$57,"&lt;"&amp;400)+4),"")="","",IF(IFERROR(SMALL('3. AI Fit Diagnostic'!$AD$8:$AD$57,COUNTIF('3. AI Fit Diagnostic'!$AD$8:$AD$57,"&lt;"&amp;400)+4),"")&lt;500,IFERROR(SMALL('3. AI Fit Diagnostic'!$AD$8:$AD$57,COUNTIF('3. AI Fit Diagnostic'!$AD$8:$AD$57,"&lt;"&amp;400)+4),""),""))</f>
        <v/>
      </c>
    </row>
    <row r="61" ht="26" customHeight="1">
      <c r="A61" s="40" t="str">
        <f>IF($H61="","",INDEX('3. AI Fit Diagnostic'!$Z$8:$Z$57,MATCH($H61,'3. AI Fit Diagnostic'!$AD$8:$AD$57,0)))</f>
        <v/>
      </c>
      <c r="B61" s="55" t="str">
        <f>IF($H61="","",INDEX('3. AI Fit Diagnostic'!$C$8:$C$57,MATCH($H61,'3. AI Fit Diagnostic'!$AD$8:$AD$57,0)))</f>
        <v/>
      </c>
      <c r="C61" s="24" t="str">
        <f>IF($H61="","",INDEX('3. AI Fit Diagnostic'!$B$8:$B$57,MATCH($H61,'3. AI Fit Diagnostic'!$AD$8:$AD$57,0)))</f>
        <v/>
      </c>
      <c r="D61" s="24" t="str">
        <f>IF($H61="","",INDEX('3. AI Fit Diagnostic'!$O$8:$O$57,MATCH($H61,'3. AI Fit Diagnostic'!$AD$8:$AD$57,0)))</f>
        <v/>
      </c>
      <c r="E61" s="24" t="str">
        <f>IF($H61="","",INDEX('3. AI Fit Diagnostic'!$T$8:$T$57,MATCH($H61,'3. AI Fit Diagnostic'!$AD$8:$AD$57,0)))</f>
        <v/>
      </c>
      <c r="F61" s="37" t="str">
        <f>IF($H61="","",INDEX('3. AI Fit Diagnostic'!$W$8:$W$57,MATCH($H61,'3. AI Fit Diagnostic'!$AD$8:$AD$57,0)))</f>
        <v/>
      </c>
      <c r="G61" s="41" t="str">
        <f>IF($H61="","",INDEX('3. AI Fit Diagnostic'!$AB$8:$AB$57,MATCH($H61,'3. AI Fit Diagnostic'!$AD$8:$AD$57,0)))</f>
        <v/>
      </c>
      <c r="H61" t="str">
        <f>IF(IFERROR(SMALL('3. AI Fit Diagnostic'!$AD$8:$AD$57,COUNTIF('3. AI Fit Diagnostic'!$AD$8:$AD$57,"&lt;"&amp;400)+5),"")="","",IF(IFERROR(SMALL('3. AI Fit Diagnostic'!$AD$8:$AD$57,COUNTIF('3. AI Fit Diagnostic'!$AD$8:$AD$57,"&lt;"&amp;400)+5),"")&lt;500,IFERROR(SMALL('3. AI Fit Diagnostic'!$AD$8:$AD$57,COUNTIF('3. AI Fit Diagnostic'!$AD$8:$AD$57,"&lt;"&amp;400)+5),""),""))</f>
        <v/>
      </c>
    </row>
    <row r="62" ht="26" customHeight="1">
      <c r="A62" s="40" t="str">
        <f>IF($H62="","",INDEX('3. AI Fit Diagnostic'!$Z$8:$Z$57,MATCH($H62,'3. AI Fit Diagnostic'!$AD$8:$AD$57,0)))</f>
        <v/>
      </c>
      <c r="B62" s="55" t="str">
        <f>IF($H62="","",INDEX('3. AI Fit Diagnostic'!$C$8:$C$57,MATCH($H62,'3. AI Fit Diagnostic'!$AD$8:$AD$57,0)))</f>
        <v/>
      </c>
      <c r="C62" s="24" t="str">
        <f>IF($H62="","",INDEX('3. AI Fit Diagnostic'!$B$8:$B$57,MATCH($H62,'3. AI Fit Diagnostic'!$AD$8:$AD$57,0)))</f>
        <v/>
      </c>
      <c r="D62" s="24" t="str">
        <f>IF($H62="","",INDEX('3. AI Fit Diagnostic'!$O$8:$O$57,MATCH($H62,'3. AI Fit Diagnostic'!$AD$8:$AD$57,0)))</f>
        <v/>
      </c>
      <c r="E62" s="24" t="str">
        <f>IF($H62="","",INDEX('3. AI Fit Diagnostic'!$T$8:$T$57,MATCH($H62,'3. AI Fit Diagnostic'!$AD$8:$AD$57,0)))</f>
        <v/>
      </c>
      <c r="F62" s="37" t="str">
        <f>IF($H62="","",INDEX('3. AI Fit Diagnostic'!$W$8:$W$57,MATCH($H62,'3. AI Fit Diagnostic'!$AD$8:$AD$57,0)))</f>
        <v/>
      </c>
      <c r="G62" s="41" t="str">
        <f>IF($H62="","",INDEX('3. AI Fit Diagnostic'!$AB$8:$AB$57,MATCH($H62,'3. AI Fit Diagnostic'!$AD$8:$AD$57,0)))</f>
        <v/>
      </c>
      <c r="H62" t="str">
        <f>IF(IFERROR(SMALL('3. AI Fit Diagnostic'!$AD$8:$AD$57,COUNTIF('3. AI Fit Diagnostic'!$AD$8:$AD$57,"&lt;"&amp;400)+6),"")="","",IF(IFERROR(SMALL('3. AI Fit Diagnostic'!$AD$8:$AD$57,COUNTIF('3. AI Fit Diagnostic'!$AD$8:$AD$57,"&lt;"&amp;400)+6),"")&lt;500,IFERROR(SMALL('3. AI Fit Diagnostic'!$AD$8:$AD$57,COUNTIF('3. AI Fit Diagnostic'!$AD$8:$AD$57,"&lt;"&amp;400)+6),""),""))</f>
        <v/>
      </c>
    </row>
    <row r="63" ht="26" customHeight="1">
      <c r="A63" s="40" t="str">
        <f>IF($H63="","",INDEX('3. AI Fit Diagnostic'!$Z$8:$Z$57,MATCH($H63,'3. AI Fit Diagnostic'!$AD$8:$AD$57,0)))</f>
        <v/>
      </c>
      <c r="B63" s="55" t="str">
        <f>IF($H63="","",INDEX('3. AI Fit Diagnostic'!$C$8:$C$57,MATCH($H63,'3. AI Fit Diagnostic'!$AD$8:$AD$57,0)))</f>
        <v/>
      </c>
      <c r="C63" s="24" t="str">
        <f>IF($H63="","",INDEX('3. AI Fit Diagnostic'!$B$8:$B$57,MATCH($H63,'3. AI Fit Diagnostic'!$AD$8:$AD$57,0)))</f>
        <v/>
      </c>
      <c r="D63" s="24" t="str">
        <f>IF($H63="","",INDEX('3. AI Fit Diagnostic'!$O$8:$O$57,MATCH($H63,'3. AI Fit Diagnostic'!$AD$8:$AD$57,0)))</f>
        <v/>
      </c>
      <c r="E63" s="24" t="str">
        <f>IF($H63="","",INDEX('3. AI Fit Diagnostic'!$T$8:$T$57,MATCH($H63,'3. AI Fit Diagnostic'!$AD$8:$AD$57,0)))</f>
        <v/>
      </c>
      <c r="F63" s="37" t="str">
        <f>IF($H63="","",INDEX('3. AI Fit Diagnostic'!$W$8:$W$57,MATCH($H63,'3. AI Fit Diagnostic'!$AD$8:$AD$57,0)))</f>
        <v/>
      </c>
      <c r="G63" s="41" t="str">
        <f>IF($H63="","",INDEX('3. AI Fit Diagnostic'!$AB$8:$AB$57,MATCH($H63,'3. AI Fit Diagnostic'!$AD$8:$AD$57,0)))</f>
        <v/>
      </c>
      <c r="H63" t="str">
        <f>IF(IFERROR(SMALL('3. AI Fit Diagnostic'!$AD$8:$AD$57,COUNTIF('3. AI Fit Diagnostic'!$AD$8:$AD$57,"&lt;"&amp;400)+7),"")="","",IF(IFERROR(SMALL('3. AI Fit Diagnostic'!$AD$8:$AD$57,COUNTIF('3. AI Fit Diagnostic'!$AD$8:$AD$57,"&lt;"&amp;400)+7),"")&lt;500,IFERROR(SMALL('3. AI Fit Diagnostic'!$AD$8:$AD$57,COUNTIF('3. AI Fit Diagnostic'!$AD$8:$AD$57,"&lt;"&amp;400)+7),""),""))</f>
        <v/>
      </c>
    </row>
    <row r="64" ht="26" customHeight="1">
      <c r="A64" s="40" t="str">
        <f>IF($H64="","",INDEX('3. AI Fit Diagnostic'!$Z$8:$Z$57,MATCH($H64,'3. AI Fit Diagnostic'!$AD$8:$AD$57,0)))</f>
        <v/>
      </c>
      <c r="B64" s="55" t="str">
        <f>IF($H64="","",INDEX('3. AI Fit Diagnostic'!$C$8:$C$57,MATCH($H64,'3. AI Fit Diagnostic'!$AD$8:$AD$57,0)))</f>
        <v/>
      </c>
      <c r="C64" s="24" t="str">
        <f>IF($H64="","",INDEX('3. AI Fit Diagnostic'!$B$8:$B$57,MATCH($H64,'3. AI Fit Diagnostic'!$AD$8:$AD$57,0)))</f>
        <v/>
      </c>
      <c r="D64" s="24" t="str">
        <f>IF($H64="","",INDEX('3. AI Fit Diagnostic'!$O$8:$O$57,MATCH($H64,'3. AI Fit Diagnostic'!$AD$8:$AD$57,0)))</f>
        <v/>
      </c>
      <c r="E64" s="24" t="str">
        <f>IF($H64="","",INDEX('3. AI Fit Diagnostic'!$T$8:$T$57,MATCH($H64,'3. AI Fit Diagnostic'!$AD$8:$AD$57,0)))</f>
        <v/>
      </c>
      <c r="F64" s="37" t="str">
        <f>IF($H64="","",INDEX('3. AI Fit Diagnostic'!$W$8:$W$57,MATCH($H64,'3. AI Fit Diagnostic'!$AD$8:$AD$57,0)))</f>
        <v/>
      </c>
      <c r="G64" s="41" t="str">
        <f>IF($H64="","",INDEX('3. AI Fit Diagnostic'!$AB$8:$AB$57,MATCH($H64,'3. AI Fit Diagnostic'!$AD$8:$AD$57,0)))</f>
        <v/>
      </c>
      <c r="H64" t="str">
        <f>IF(IFERROR(SMALL('3. AI Fit Diagnostic'!$AD$8:$AD$57,COUNTIF('3. AI Fit Diagnostic'!$AD$8:$AD$57,"&lt;"&amp;400)+8),"")="","",IF(IFERROR(SMALL('3. AI Fit Diagnostic'!$AD$8:$AD$57,COUNTIF('3. AI Fit Diagnostic'!$AD$8:$AD$57,"&lt;"&amp;400)+8),"")&lt;500,IFERROR(SMALL('3. AI Fit Diagnostic'!$AD$8:$AD$57,COUNTIF('3. AI Fit Diagnostic'!$AD$8:$AD$57,"&lt;"&amp;400)+8),""),""))</f>
        <v/>
      </c>
    </row>
    <row r="66" ht="22" customHeight="1">
      <c r="A66" s="62" t="inlineStr">
        <is>
          <t>ENABLING FOUNDATIONS (generated from the diagnostic and position screen)</t>
        </is>
      </c>
    </row>
    <row r="67" ht="32" customHeight="1">
      <c r="A67" s="6" t="inlineStr"/>
      <c r="B67" s="4" t="inlineStr">
        <is>
          <t>Governance (always)</t>
        </is>
      </c>
      <c r="C67" s="24" t="str">
        <f>"Before H1 go-live: AI acceptable-use policy, AI register and approved-tools list; tier-based use-case risk assessment (GT AI Risk Assessment Framework). "&amp;COUNTIF('3. AI Fit Diagnostic'!$W$8:$W$57,"High")&amp;" High-risk and "&amp;COUNTIF('3. AI Fit Diagnostic'!$W$8:$W$57,"Medium")&amp;" Medium-risk items need documented assessments."</f>
        <v>Before H1 go-live: AI acceptable-use policy, AI register and approved-tools list; tier-based use-case risk assessment (GT AI Risk Assessment Framework). 3 High-risk and 7 Medium-risk items need documented assessments.</v>
      </c>
      <c r="D67" s="15" t="n"/>
      <c r="E67" s="15" t="n"/>
      <c r="F67" s="15" t="n"/>
      <c r="G67" s="15" t="n"/>
    </row>
    <row r="68" ht="32" customHeight="1">
      <c r="A68" s="6" t="inlineStr"/>
      <c r="B68" s="4" t="inlineStr">
        <is>
          <t>Data foundations</t>
        </is>
      </c>
      <c r="C68" s="24" t="str">
        <f>IF(COUNTIF('3. AI Fit Diagnostic'!$T$8:$T$57,"AI later - close data gap first")=0,"No processes are blocked by data gaps.",COUNTIF('3. AI Fit Diagnostic'!$T$8:$T$57,"AI later - close data gap first")&amp;" process(es) are blocked by data gaps: assign data owners, digitise inputs and start recording outcomes now so they can move to AI in H3.")</f>
        <v>2 process(es) are blocked by data gaps: assign data owners, digitise inputs and start recording outcomes now so they can move to AI in H3.</v>
      </c>
      <c r="D68" s="15" t="n"/>
      <c r="E68" s="15" t="n"/>
      <c r="F68" s="15" t="n"/>
      <c r="G68" s="15" t="n"/>
    </row>
    <row r="69" ht="32" customHeight="1">
      <c r="A69" s="6" t="inlineStr"/>
      <c r="B69" s="4" t="inlineStr">
        <is>
          <t>Process redesign</t>
        </is>
      </c>
      <c r="C69" s="24" t="str">
        <f>IF(COUNTIF('3. AI Fit Diagnostic'!$T$8:$T$57,"Redesign / standardise first")=0,"No processes need redesign before automation.",COUNTIF('3. AI Fit Diagnostic'!$T$8:$T$57,"Redesign / standardise first")&amp;" process(es) vary by person or team: standardise and document them first (Lean / process mapping), then re-diagnose.")</f>
        <v>1 process(es) vary by person or team: standardise and document them first (Lean / process mapping), then re-diagnose.</v>
      </c>
      <c r="D69" s="15" t="n"/>
      <c r="E69" s="15" t="n"/>
      <c r="F69" s="15" t="n"/>
      <c r="G69" s="15" t="n"/>
    </row>
    <row r="70" ht="32" customHeight="1">
      <c r="A70" s="6" t="inlineStr"/>
      <c r="B70" s="4" t="inlineStr">
        <is>
          <t>Automation platform</t>
        </is>
      </c>
      <c r="C70" s="24" t="str">
        <f>IF(COUNTIF('3. AI Fit Diagnostic'!$T$8:$T$57,"Automate - AI not needed")=0,"","Automation is enough for "&amp;COUNTIF('3. AI Fit Diagnostic'!$T$8:$T$57,"Automate - AI not needed")&amp;" process(es): select one workflow / RPA / BI platform and automate them as a programme rather than one-offs.")</f>
        <v>Automation is enough for 5 process(es): select one workflow / RPA / BI platform and automate them as a programme rather than one-offs.</v>
      </c>
      <c r="D70" s="15" t="n"/>
      <c r="E70" s="15" t="n"/>
      <c r="F70" s="15" t="n"/>
      <c r="G70" s="15" t="n"/>
    </row>
    <row r="71" ht="32" customHeight="1">
      <c r="A71" s="6" t="inlineStr"/>
      <c r="B71" s="4" t="inlineStr">
        <is>
          <t>Capability &amp; partners</t>
        </is>
      </c>
      <c r="C71" s="24" t="str">
        <f>IF(COUNTIF('3. AI Fit Diagnostic'!$T$8:$T$57,"Stretch - partner or later stage")=0,"All AI opportunities are within the current position.",COUNTIF('3. AI Fit Diagnostic'!$T$8:$T$57,"Stretch - partner or later stage")&amp;" opportunity(ies) exceed the current position: use vendor products or a delivery partner and build skills before scaling.")</f>
        <v>2 opportunity(ies) exceed the current position: use vendor products or a delivery partner and build skills before scaling.</v>
      </c>
      <c r="D71" s="15" t="n"/>
      <c r="E71" s="15" t="n"/>
      <c r="F71" s="15" t="n"/>
      <c r="G71" s="15" t="n"/>
    </row>
    <row r="72" ht="32" customHeight="1">
      <c r="A72" s="6" t="inlineStr"/>
      <c r="B72" s="4" t="inlineStr">
        <is>
          <t>People</t>
        </is>
      </c>
      <c r="C72" s="24" t="str">
        <f>"AI literacy for all users of AI tools and role-based training for process owners (EU AI Act Art. 4-aligned); change management for each roll-out."</f>
        <v>AI literacy for all users of AI tools and role-based training for process owners (EU AI Act Art. 4-aligned); change management for each roll-out.</v>
      </c>
      <c r="D72" s="15" t="n"/>
      <c r="E72" s="15" t="n"/>
      <c r="F72" s="15" t="n"/>
      <c r="G72" s="15" t="n"/>
    </row>
    <row r="73" ht="32" customHeight="1">
      <c r="A73" s="6" t="inlineStr"/>
      <c r="B73" s="4" t="inlineStr">
        <is>
          <t>Readiness check</t>
        </is>
      </c>
      <c r="C73" s="24" t="str">
        <f>"For governance and capability maturity, run the GT AI Readiness &amp; Risk Assessment (AI Ready7-based) alongside this roadmap."</f>
        <v>For governance and capability maturity, run the GT AI Readiness &amp; Risk Assessment (AI Ready7-based) alongside this roadmap.</v>
      </c>
      <c r="D73" s="15" t="n"/>
      <c r="E73" s="15" t="n"/>
      <c r="F73" s="15" t="n"/>
      <c r="G73" s="15" t="n"/>
    </row>
  </sheetData>
  <mergeCells count="14">
    <mergeCell ref="A66:G66"/>
    <mergeCell ref="C68:G68"/>
    <mergeCell ref="C73:G73"/>
    <mergeCell ref="A1:G1"/>
    <mergeCell ref="C67:G67"/>
    <mergeCell ref="A27:G27"/>
    <mergeCell ref="C72:G72"/>
    <mergeCell ref="A55:G55"/>
    <mergeCell ref="A4:G4"/>
    <mergeCell ref="C71:G71"/>
    <mergeCell ref="A2:G2"/>
    <mergeCell ref="C69:G69"/>
    <mergeCell ref="C70:G70"/>
    <mergeCell ref="A42:G42"/>
  </mergeCells>
  <conditionalFormatting sqref="E6:E25">
    <cfRule type="cellIs" priority="1" operator="equal" dxfId="1">
      <formula>"AI fit now"</formula>
    </cfRule>
    <cfRule type="cellIs" priority="2" operator="equal" dxfId="2">
      <formula>"Automate - AI not needed"</formula>
    </cfRule>
    <cfRule type="cellIs" priority="3" operator="equal" dxfId="3">
      <formula>"AI later - close data gap first"</formula>
    </cfRule>
    <cfRule type="cellIs" priority="4" operator="equal" dxfId="4">
      <formula>"Stretch - partner or later stage"</formula>
    </cfRule>
    <cfRule type="cellIs" priority="5" operator="equal" dxfId="5">
      <formula>"Redesign / standardise first"</formula>
    </cfRule>
  </conditionalFormatting>
  <conditionalFormatting sqref="F6:F25">
    <cfRule type="cellIs" priority="6" operator="equal" dxfId="6">
      <formula>"Low"</formula>
    </cfRule>
    <cfRule type="cellIs" priority="7" operator="equal" dxfId="3">
      <formula>"Medium"</formula>
    </cfRule>
    <cfRule type="cellIs" priority="8" operator="equal" dxfId="4">
      <formula>"High"</formula>
    </cfRule>
  </conditionalFormatting>
  <conditionalFormatting sqref="E29:E40">
    <cfRule type="cellIs" priority="9" operator="equal" dxfId="1">
      <formula>"AI fit now"</formula>
    </cfRule>
    <cfRule type="cellIs" priority="10" operator="equal" dxfId="2">
      <formula>"Automate - AI not needed"</formula>
    </cfRule>
    <cfRule type="cellIs" priority="11" operator="equal" dxfId="3">
      <formula>"AI later - close data gap first"</formula>
    </cfRule>
    <cfRule type="cellIs" priority="12" operator="equal" dxfId="4">
      <formula>"Stretch - partner or later stage"</formula>
    </cfRule>
    <cfRule type="cellIs" priority="13" operator="equal" dxfId="5">
      <formula>"Redesign / standardise first"</formula>
    </cfRule>
  </conditionalFormatting>
  <conditionalFormatting sqref="F29:F40">
    <cfRule type="cellIs" priority="14" operator="equal" dxfId="6">
      <formula>"Low"</formula>
    </cfRule>
    <cfRule type="cellIs" priority="15" operator="equal" dxfId="3">
      <formula>"Medium"</formula>
    </cfRule>
    <cfRule type="cellIs" priority="16" operator="equal" dxfId="4">
      <formula>"High"</formula>
    </cfRule>
  </conditionalFormatting>
  <conditionalFormatting sqref="E44:E53">
    <cfRule type="cellIs" priority="17" operator="equal" dxfId="1">
      <formula>"AI fit now"</formula>
    </cfRule>
    <cfRule type="cellIs" priority="18" operator="equal" dxfId="2">
      <formula>"Automate - AI not needed"</formula>
    </cfRule>
    <cfRule type="cellIs" priority="19" operator="equal" dxfId="3">
      <formula>"AI later - close data gap first"</formula>
    </cfRule>
    <cfRule type="cellIs" priority="20" operator="equal" dxfId="4">
      <formula>"Stretch - partner or later stage"</formula>
    </cfRule>
    <cfRule type="cellIs" priority="21" operator="equal" dxfId="5">
      <formula>"Redesign / standardise first"</formula>
    </cfRule>
  </conditionalFormatting>
  <conditionalFormatting sqref="F44:F53">
    <cfRule type="cellIs" priority="22" operator="equal" dxfId="6">
      <formula>"Low"</formula>
    </cfRule>
    <cfRule type="cellIs" priority="23" operator="equal" dxfId="3">
      <formula>"Medium"</formula>
    </cfRule>
    <cfRule type="cellIs" priority="24" operator="equal" dxfId="4">
      <formula>"High"</formula>
    </cfRule>
  </conditionalFormatting>
  <conditionalFormatting sqref="E57:E64">
    <cfRule type="cellIs" priority="25" operator="equal" dxfId="1">
      <formula>"AI fit now"</formula>
    </cfRule>
    <cfRule type="cellIs" priority="26" operator="equal" dxfId="2">
      <formula>"Automate - AI not needed"</formula>
    </cfRule>
    <cfRule type="cellIs" priority="27" operator="equal" dxfId="3">
      <formula>"AI later - close data gap first"</formula>
    </cfRule>
    <cfRule type="cellIs" priority="28" operator="equal" dxfId="4">
      <formula>"Stretch - partner or later stage"</formula>
    </cfRule>
    <cfRule type="cellIs" priority="29" operator="equal" dxfId="5">
      <formula>"Redesign / standardise first"</formula>
    </cfRule>
  </conditionalFormatting>
  <conditionalFormatting sqref="F57:F64">
    <cfRule type="cellIs" priority="30" operator="equal" dxfId="6">
      <formula>"Low"</formula>
    </cfRule>
    <cfRule type="cellIs" priority="31" operator="equal" dxfId="3">
      <formula>"Medium"</formula>
    </cfRule>
    <cfRule type="cellIs" priority="32" operator="equal" dxfId="4">
      <formula>"High"</formula>
    </cfRule>
  </conditionalFormatting>
  <printOptions gridLines="0"/>
  <pageMargins left="0.5" right="0.5" top="0.75" bottom="0.75" header="0.25" footer="0.25"/>
  <pageSetup orientation="portrait" paperSize="9" fitToHeight="0" fitToWidth="1"/>
  <headerFooter>
    <oddHeader/>
    <oddFooter>&amp;L&amp;8 GT AI Opportunity Discovery Toolkit&amp;R&amp;8 Page &amp;P of &amp;N</oddFooter>
    <evenHeader/>
    <evenFooter/>
    <firstHeader/>
    <firstFooter/>
  </headerFooter>
</worksheet>
</file>

<file path=xl/worksheets/sheet7.xml><?xml version="1.0" encoding="utf-8"?>
<worksheet xmlns="http://schemas.openxmlformats.org/spreadsheetml/2006/main">
  <sheetPr>
    <outlinePr summaryBelow="1" summaryRight="1"/>
    <pageSetUpPr fitToPage="1"/>
  </sheetPr>
  <dimension ref="A1:D27"/>
  <sheetViews>
    <sheetView showGridLines="0" workbookViewId="0">
      <selection activeCell="A1" sqref="A1"/>
    </sheetView>
  </sheetViews>
  <sheetFormatPr baseColWidth="8" defaultRowHeight="15"/>
  <cols>
    <col width="28" customWidth="1" min="1" max="1"/>
    <col width="44" customWidth="1" min="2" max="2"/>
    <col width="28" customWidth="1" min="3" max="3"/>
    <col width="44" customWidth="1" min="4" max="4"/>
  </cols>
  <sheetData>
    <row r="1" ht="32" customHeight="1">
      <c r="A1" s="1" t="inlineStr">
        <is>
          <t>6. AI Use-Case Canvas</t>
        </is>
      </c>
    </row>
    <row r="2" ht="32" customHeight="1">
      <c r="A2" s="2" t="inlineStr">
        <is>
          <t>Select an opportunity number from the AI Fit Diagnostic (yellow cell). Calculated fields fill automatically; complete the yellow fields with the owner.</t>
        </is>
      </c>
    </row>
    <row r="4">
      <c r="A4" s="4" t="inlineStr">
        <is>
          <t>Opportunity # (from sheet 3)</t>
        </is>
      </c>
      <c r="B4" s="63" t="n">
        <v>2</v>
      </c>
      <c r="C4" s="4" t="inlineStr">
        <is>
          <t>Priority rank</t>
        </is>
      </c>
      <c r="D4" s="64">
        <f>IFERROR(IF(INDEX('3. AI Fit Diagnostic'!$Z$8:$Z$57,MATCH($B$4,'3. AI Fit Diagnostic'!$A$8:$A$57,0))="","",INDEX('3. AI Fit Diagnostic'!$Z$8:$Z$57,MATCH($B$4,'3. AI Fit Diagnostic'!$A$8:$A$57,0))),"")</f>
        <v>4</v>
      </c>
    </row>
    <row r="6" ht="22" customHeight="1">
      <c r="A6" s="3" t="inlineStr">
        <is>
          <t>1. THE OPPORTUNITY</t>
        </is>
      </c>
    </row>
    <row r="7" ht="34" customHeight="1">
      <c r="A7" s="4" t="inlineStr">
        <is>
          <t>Process / activity</t>
        </is>
      </c>
      <c r="B7" s="65" t="str">
        <f>IFERROR(IF(INDEX('3. AI Fit Diagnostic'!$C$8:$C$57,MATCH($B$4,'3. AI Fit Diagnostic'!$A$8:$A$57,0))="","",INDEX('3. AI Fit Diagnostic'!$C$8:$C$57,MATCH($B$4,'3. AI Fit Diagnostic'!$A$8:$A$57,0))),"")</f>
        <v>Audit - working-paper and memo drafting</v>
      </c>
      <c r="C7" s="4" t="inlineStr">
        <is>
          <t>Function</t>
        </is>
      </c>
      <c r="D7" s="65" t="str">
        <f>IFERROR(IF(INDEX('3. AI Fit Diagnostic'!$B$8:$B$57,MATCH($B$4,'3. AI Fit Diagnostic'!$A$8:$A$57,0))="","",INDEX('3. AI Fit Diagnostic'!$B$8:$B$57,MATCH($B$4,'3. AI Fit Diagnostic'!$A$8:$A$57,0))),"")</f>
        <v>Core service delivery / operations</v>
      </c>
    </row>
    <row r="8" ht="34" customHeight="1">
      <c r="A8" s="4" t="inlineStr">
        <is>
          <t>Pain point / opportunity</t>
        </is>
      </c>
      <c r="B8" s="65" t="str">
        <f>IFERROR(IF(INDEX('3. AI Fit Diagnostic'!$D$8:$D$57,MATCH($B$4,'3. AI Fit Diagnostic'!$A$8:$A$57,0))="","",INDEX('3. AI Fit Diagnostic'!$D$8:$D$57,MATCH($B$4,'3. AI Fit Diagnostic'!$A$8:$A$57,0))),"")</f>
        <v>Senior time spent drafting standard documentation</v>
      </c>
      <c r="C8" s="4" t="inlineStr">
        <is>
          <t>Nature of the task</t>
        </is>
      </c>
      <c r="D8" s="65" t="str">
        <f>IFERROR(IF(INDEX('3. AI Fit Diagnostic'!$E$8:$E$57,MATCH($B$4,'3. AI Fit Diagnostic'!$A$8:$A$57,0))="","",INDEX('3. AI Fit Diagnostic'!$E$8:$E$57,MATCH($B$4,'3. AI Fit Diagnostic'!$A$8:$A$57,0))),"")</f>
        <v>Draft, summarise, translate or review text</v>
      </c>
    </row>
    <row r="9" ht="34" customHeight="1">
      <c r="A9" s="4" t="inlineStr">
        <is>
          <t>Volume</t>
        </is>
      </c>
      <c r="B9" s="65" t="str">
        <f>IFERROR(IF(INDEX('3. AI Fit Diagnostic'!$F$8:$F$57,MATCH($B$4,'3. AI Fit Diagnostic'!$A$8:$A$57,0))="","",INDEX('3. AI Fit Diagnostic'!$F$8:$F$57,MATCH($B$4,'3. AI Fit Diagnostic'!$A$8:$A$57,0))),"")</f>
        <v>Medium (100 - 1,000 a month)</v>
      </c>
      <c r="C9" s="4" t="inlineStr">
        <is>
          <t>Effort today (hrs / month)</t>
        </is>
      </c>
      <c r="D9" s="65">
        <f>IFERROR(IF(INDEX('3. AI Fit Diagnostic'!$G$8:$G$57,MATCH($B$4,'3. AI Fit Diagnostic'!$A$8:$A$57,0))="","",INDEX('3. AI Fit Diagnostic'!$G$8:$G$57,MATCH($B$4,'3. AI Fit Diagnostic'!$A$8:$A$57,0))),"")</f>
        <v>400</v>
      </c>
    </row>
    <row r="10" ht="22" customHeight="1">
      <c r="A10" s="3" t="inlineStr">
        <is>
          <t>2. THE FIT</t>
        </is>
      </c>
    </row>
    <row r="11" ht="34" customHeight="1">
      <c r="A11" s="4" t="inlineStr">
        <is>
          <t>VERDICT</t>
        </is>
      </c>
      <c r="B11" s="66" t="str">
        <f>IFERROR(IF(INDEX('3. AI Fit Diagnostic'!$T$8:$T$57,MATCH($B$4,'3. AI Fit Diagnostic'!$A$8:$A$57,0))="","",INDEX('3. AI Fit Diagnostic'!$T$8:$T$57,MATCH($B$4,'3. AI Fit Diagnostic'!$A$8:$A$57,0))),"")</f>
        <v>AI fit now</v>
      </c>
      <c r="C11" s="4" t="inlineStr">
        <is>
          <t>Solution family</t>
        </is>
      </c>
      <c r="D11" s="65" t="str">
        <f>IFERROR(IF(INDEX('3. AI Fit Diagnostic'!$O$8:$O$57,MATCH($B$4,'3. AI Fit Diagnostic'!$A$8:$A$57,0))="","",INDEX('3. AI Fit Diagnostic'!$O$8:$O$57,MATCH($B$4,'3. AI Fit Diagnostic'!$A$8:$A$57,0))),"")</f>
        <v>Generative AI assistant (off-the-shelf)</v>
      </c>
    </row>
    <row r="12" ht="34" customHeight="1">
      <c r="A12" s="4" t="inlineStr">
        <is>
          <t>Data gate</t>
        </is>
      </c>
      <c r="B12" s="65" t="str">
        <f>IFERROR(IF(INDEX('3. AI Fit Diagnostic'!$R$8:$R$57,MATCH($B$4,'3. AI Fit Diagnostic'!$A$8:$A$57,0))="","",INDEX('3. AI Fit Diagnostic'!$R$8:$R$57,MATCH($B$4,'3. AI Fit Diagnostic'!$A$8:$A$57,0))),"")</f>
        <v>Data ready</v>
      </c>
      <c r="C12" s="4" t="inlineStr">
        <is>
          <t>Organisational fit</t>
        </is>
      </c>
      <c r="D12" s="65" t="str">
        <f>IFERROR(IF(INDEX('3. AI Fit Diagnostic'!$S$8:$S$57,MATCH($B$4,'3. AI Fit Diagnostic'!$A$8:$A$57,0))="","",INDEX('3. AI Fit Diagnostic'!$S$8:$S$57,MATCH($B$4,'3. AI Fit Diagnostic'!$A$8:$A$57,0))),"")</f>
        <v>Within current position</v>
      </c>
    </row>
    <row r="13" ht="34" customHeight="1">
      <c r="A13" s="4" t="inlineStr">
        <is>
          <t>Value / Feasibility</t>
        </is>
      </c>
      <c r="B13" s="65" t="str">
        <f>IFERROR(TEXT(INDEX('3. AI Fit Diagnostic'!$U$8:$U$57,MATCH($B$4,'3. AI Fit Diagnostic'!$A$8:$A$57,0)),"0.00")&amp;" / "&amp;TEXT(INDEX('3. AI Fit Diagnostic'!$V$8:$V$57,MATCH($B$4,'3. AI Fit Diagnostic'!$A$8:$A$57,0)),"0.00")&amp;"  ("&amp;INDEX('3. AI Fit Diagnostic'!$X$8:$X$57,MATCH($B$4,'3. AI Fit Diagnostic'!$A$8:$A$57,0))&amp;")","")</f>
        <v>3.70 / 4.50  (Quick win)</v>
      </c>
      <c r="C13" s="4" t="inlineStr">
        <is>
          <t>Horizon</t>
        </is>
      </c>
      <c r="D13" s="65" t="str">
        <f>IFERROR(IF(INDEX('3. AI Fit Diagnostic'!$AA$8:$AA$57,MATCH($B$4,'3. AI Fit Diagnostic'!$A$8:$A$57,0))="","",INDEX('3. AI Fit Diagnostic'!$AA$8:$AA$57,MATCH($B$4,'3. AI Fit Diagnostic'!$A$8:$A$57,0))),"")</f>
        <v>H1 - Now (0-6 months)</v>
      </c>
    </row>
    <row r="14" ht="58" customHeight="1">
      <c r="A14" s="4" t="inlineStr">
        <is>
          <t>Typical solutions</t>
        </is>
      </c>
      <c r="B14" s="65" t="str">
        <f>IFERROR(INDEX(Lists!$G$2:$G$11,MATCH(INDEX('3. AI Fit Diagnostic'!$O$8:$O$57,MATCH($B$4,'3. AI Fit Diagnostic'!$A$8:$A$57,0)),Lists!$B$2:$B$11,0)),"")</f>
        <v>Microsoft 365 Copilot, ChatGPT Enterprise, Gemini for Workspace, Claude for Enterprise</v>
      </c>
      <c r="C14" s="4" t="inlineStr">
        <is>
          <t>Design notes</t>
        </is>
      </c>
      <c r="D14" s="65" t="str">
        <f>IFERROR(INDEX(Lists!$I$2:$I$11,MATCH(INDEX('3. AI Fit Diagnostic'!$O$8:$O$57,MATCH($B$4,'3. AI Fit Diagnostic'!$A$8:$A$57,0)),Lists!$B$2:$B$11,0)),"")</f>
        <v>No own data needed, but needs acceptable-use policy, approved enterprise tools and human review (accuracy, confidentiality).</v>
      </c>
    </row>
    <row r="15" ht="30" customHeight="1">
      <c r="A15" s="4" t="inlineStr">
        <is>
          <t>What this verdict means</t>
        </is>
      </c>
      <c r="B15" s="65" t="str">
        <f>IFERROR(INDEX(Lists!$AS$2:$AS$6,MATCH(B11,Lists!$AR$2:$AR$6,0)),"")</f>
        <v>AI is the right tool, the data exists and it is within the organisation's current position.</v>
      </c>
      <c r="C15" s="15" t="n"/>
      <c r="D15" s="15" t="n"/>
    </row>
    <row r="16" ht="22" customHeight="1">
      <c r="A16" s="3" t="inlineStr">
        <is>
          <t>3. RISK &amp; MINIMUM CONTROLS</t>
        </is>
      </c>
    </row>
    <row r="17">
      <c r="A17" s="4" t="inlineStr">
        <is>
          <t>Inherent risk tier</t>
        </is>
      </c>
      <c r="B17" s="54" t="str">
        <f>IFERROR(IF(INDEX('3. AI Fit Diagnostic'!$W$8:$W$57,MATCH($B$4,'3. AI Fit Diagnostic'!$A$8:$A$57,0))="","",INDEX('3. AI Fit Diagnostic'!$W$8:$W$57,MATCH($B$4,'3. AI Fit Diagnostic'!$A$8:$A$57,0))),"")</f>
        <v>Medium</v>
      </c>
      <c r="C17" s="4" t="inlineStr">
        <is>
          <t>Personal data / affects individuals</t>
        </is>
      </c>
      <c r="D17" s="65" t="str">
        <f>IFERROR(INDEX('3. AI Fit Diagnostic'!$M$8:$M$57,MATCH($B$4,'3. AI Fit Diagnostic'!$A$8:$A$57,0))&amp;" / "&amp;INDEX('3. AI Fit Diagnostic'!$L$8:$L$57,MATCH($B$4,'3. AI Fit Diagnostic'!$A$8:$A$57,0)),"")</f>
        <v>Yes / No</v>
      </c>
    </row>
    <row r="18" ht="66" customHeight="1">
      <c r="A18" s="4" t="inlineStr">
        <is>
          <t>Minimum controls before go-live</t>
        </is>
      </c>
      <c r="B18" s="65" t="str">
        <f>IFERROR(INDEX(Lists!$AP$2:$AP$4,MATCH(B17,Lists!$AO$2:$AO$4,0)),"")</f>
        <v>As Low, plus: documented use-case risk assessment (GT AI Risk Assessment Framework, NSW AIAF-aligned); named owner; human review of outputs; PDPL check where personal data is used; testing before go-live; monitoring KPIs / KRIs.</v>
      </c>
      <c r="C18" s="15" t="n"/>
      <c r="D18" s="15" t="n"/>
    </row>
    <row r="19" ht="44" customHeight="1">
      <c r="A19" s="4" t="inlineStr">
        <is>
          <t>Regulatory screen</t>
        </is>
      </c>
      <c r="B19" s="65" t="str">
        <f>IF(B17="","",IF(INDEX('3. AI Fit Diagnostic'!$L$8:$L$57,MATCH($B$4,'3. AI Fit Diagnostic'!$A$8:$A$57,0))="Yes","Decisions about individuals: check EU AI Act Annex III high-risk categories (e.g., credit, employment, essential services) and Art. 5 prohibitions; PDPL lawful basis and DPIA; CBB requirements if a licensee.",IF(INDEX('3. AI Fit Diagnostic'!$M$8:$M$57,MATCH($B$4,'3. AI Fit Diagnostic'!$A$8:$A$57,0))="Yes","Personal / confidential data: PDPL lawful basis, minimisation, cross-border transfer and vendor terms (no training on your data); client confidentiality.","No specific regulatory trigger identified - confirm with Compliance.")))</f>
        <v>Personal / confidential data: PDPL lawful basis, minimisation, cross-border transfer and vendor terms (no training on your data); client confidentiality.</v>
      </c>
      <c r="C19" s="15" t="n"/>
      <c r="D19" s="15" t="n"/>
    </row>
    <row r="20" ht="22" customHeight="1">
      <c r="A20" s="3" t="inlineStr">
        <is>
          <t>4. MEASURING SUCCESS</t>
        </is>
      </c>
    </row>
    <row r="21">
      <c r="A21" s="4" t="inlineStr">
        <is>
          <t>Suggested KPIs</t>
        </is>
      </c>
      <c r="B21" s="65" t="str">
        <f>IFERROR(INDEX(Lists!$H$2:$H$11,MATCH(INDEX('3. AI Fit Diagnostic'!$O$8:$O$57,MATCH($B$4,'3. AI Fit Diagnostic'!$A$8:$A$57,0)),Lists!$B$2:$B$11,0)),"")</f>
        <v>Drafting time; adoption; quality-review findings</v>
      </c>
      <c r="C21" s="15" t="n"/>
      <c r="D21" s="15" t="n"/>
    </row>
    <row r="22">
      <c r="A22" s="4" t="inlineStr">
        <is>
          <t>Indicative hours released / yr</t>
        </is>
      </c>
      <c r="B22" s="46">
        <f>IFERROR(IF(INDEX('3. AI Fit Diagnostic'!$AB$8:$AB$57,MATCH($B$4,'3. AI Fit Diagnostic'!$A$8:$A$57,0))="","",INDEX('3. AI Fit Diagnostic'!$AB$8:$AB$57,MATCH($B$4,'3. AI Fit Diagnostic'!$A$8:$A$57,0))),"")</f>
        <v>1440</v>
      </c>
      <c r="C22" s="4" t="inlineStr">
        <is>
          <t>Target / success criterion</t>
        </is>
      </c>
      <c r="D22" s="7" t="inlineStr"/>
    </row>
    <row r="23" ht="22" customHeight="1">
      <c r="A23" s="3" t="inlineStr">
        <is>
          <t>5. NEXT STEP &amp; OWNERSHIP</t>
        </is>
      </c>
    </row>
    <row r="24" ht="34" customHeight="1">
      <c r="A24" s="4" t="inlineStr">
        <is>
          <t>Recommended next step</t>
        </is>
      </c>
      <c r="B24" s="65" t="str">
        <f>IFERROR(INDEX(Lists!$AT$2:$AT$6,MATCH(B11,Lists!$AR$2:$AR$6,0)),"")</f>
        <v>Shape the use case (canvas), run the GT AI risk assessment for its tier, select a tool and pilot within 3 months with KPIs.</v>
      </c>
      <c r="C24" s="15" t="n"/>
      <c r="D24" s="15" t="n"/>
    </row>
    <row r="25">
      <c r="A25" s="4" t="inlineStr">
        <is>
          <t>Business owner</t>
        </is>
      </c>
      <c r="B25" s="7" t="inlineStr"/>
      <c r="C25" s="4" t="inlineStr">
        <is>
          <t>Executive sponsor</t>
        </is>
      </c>
      <c r="D25" s="7" t="inlineStr"/>
    </row>
    <row r="26">
      <c r="A26" s="4" t="inlineStr">
        <is>
          <t>Budget / effort estimate</t>
        </is>
      </c>
      <c r="B26" s="7" t="inlineStr"/>
      <c r="C26" s="4" t="inlineStr">
        <is>
          <t>Decision date</t>
        </is>
      </c>
      <c r="D26" s="7" t="inlineStr"/>
    </row>
    <row r="27">
      <c r="A27" s="4" t="inlineStr">
        <is>
          <t>Decision</t>
        </is>
      </c>
      <c r="B27" s="7" t="inlineStr"/>
      <c r="C27" s="8" t="n"/>
      <c r="D27" s="8" t="n"/>
    </row>
  </sheetData>
  <mergeCells count="13">
    <mergeCell ref="A1:D1"/>
    <mergeCell ref="A23:D23"/>
    <mergeCell ref="B19:D19"/>
    <mergeCell ref="A6:D6"/>
    <mergeCell ref="A20:D20"/>
    <mergeCell ref="B18:D18"/>
    <mergeCell ref="B27:D27"/>
    <mergeCell ref="B21:D21"/>
    <mergeCell ref="A2:D2"/>
    <mergeCell ref="A16:D16"/>
    <mergeCell ref="B15:D15"/>
    <mergeCell ref="A10:D10"/>
    <mergeCell ref="B24:D24"/>
  </mergeCells>
  <conditionalFormatting sqref="B11">
    <cfRule type="cellIs" priority="1" operator="equal" dxfId="1">
      <formula>"AI fit now"</formula>
    </cfRule>
    <cfRule type="cellIs" priority="2" operator="equal" dxfId="2">
      <formula>"Automate - AI not needed"</formula>
    </cfRule>
    <cfRule type="cellIs" priority="3" operator="equal" dxfId="3">
      <formula>"AI later - close data gap first"</formula>
    </cfRule>
    <cfRule type="cellIs" priority="4" operator="equal" dxfId="4">
      <formula>"Stretch - partner or later stage"</formula>
    </cfRule>
    <cfRule type="cellIs" priority="5" operator="equal" dxfId="5">
      <formula>"Redesign / standardise first"</formula>
    </cfRule>
  </conditionalFormatting>
  <conditionalFormatting sqref="B17">
    <cfRule type="cellIs" priority="6" operator="equal" dxfId="6">
      <formula>"Low"</formula>
    </cfRule>
    <cfRule type="cellIs" priority="7" operator="equal" dxfId="3">
      <formula>"Medium"</formula>
    </cfRule>
    <cfRule type="cellIs" priority="8" operator="equal" dxfId="4">
      <formula>"High"</formula>
    </cfRule>
  </conditionalFormatting>
  <dataValidations count="2">
    <dataValidation sqref="B4" showDropDown="0" showInputMessage="0" showErrorMessage="1" allowBlank="1" type="list">
      <formula1>=Lists!$AX$2:$AX$51</formula1>
    </dataValidation>
    <dataValidation sqref="B27" showDropDown="0" showInputMessage="0" showErrorMessage="1" allowBlank="1" type="list">
      <formula1>"Proceed to pilot,Proceed to automation,Fix foundations first,Defer,Reject"</formula1>
    </dataValidation>
  </dataValidations>
  <printOptions gridLines="0"/>
  <pageMargins left="0.5" right="0.5" top="0.75" bottom="0.75" header="0.25" footer="0.25"/>
  <pageSetup orientation="portrait" paperSize="9" fitToHeight="1" fitToWidth="1"/>
  <headerFooter>
    <oddHeader/>
    <oddFooter>&amp;L&amp;8 GT AI Opportunity Discovery Toolkit&amp;R&amp;8 Page &amp;P of &amp;N</oddFooter>
    <evenHeader/>
    <evenFooter/>
    <firstHeader/>
    <firstFooter/>
  </headerFooter>
</worksheet>
</file>

<file path=xl/worksheets/sheet8.xml><?xml version="1.0" encoding="utf-8"?>
<worksheet xmlns="http://schemas.openxmlformats.org/spreadsheetml/2006/main">
  <sheetPr>
    <outlinePr summaryBelow="1" summaryRight="1"/>
    <pageSetUpPr fitToPage="1"/>
  </sheetPr>
  <dimension ref="A1:F62"/>
  <sheetViews>
    <sheetView showGridLines="0" workbookViewId="0">
      <selection activeCell="A1" sqref="A1"/>
    </sheetView>
  </sheetViews>
  <sheetFormatPr baseColWidth="8" defaultRowHeight="15"/>
  <cols>
    <col width="40" customWidth="1" min="1" max="1"/>
    <col width="30" customWidth="1" min="2" max="2"/>
    <col width="8" customWidth="1" min="3" max="3"/>
    <col width="9" customWidth="1" min="4" max="4"/>
    <col width="14" customWidth="1" min="5" max="5"/>
    <col width="60" customWidth="1" min="6" max="6"/>
  </cols>
  <sheetData>
    <row r="1" ht="32" customHeight="1">
      <c r="A1" s="1" t="inlineStr">
        <is>
          <t>Reference - solution families, archetypes, verdicts and standards</t>
        </is>
      </c>
    </row>
    <row r="2" ht="32" customHeight="1">
      <c r="A2" s="2" t="inlineStr">
        <is>
          <t>The logic behind the toolkit, for facilitators and for the client's appendix.</t>
        </is>
      </c>
    </row>
    <row r="4" ht="22" customHeight="1">
      <c r="A4" s="3" t="inlineStr">
        <is>
          <t>SOLUTION FAMILIES (task nature -&gt; solution)</t>
        </is>
      </c>
    </row>
    <row r="5">
      <c r="A5" s="9" t="inlineStr">
        <is>
          <t>Nature of the task</t>
        </is>
      </c>
      <c r="B5" s="9" t="inlineStr">
        <is>
          <t>Solution family</t>
        </is>
      </c>
      <c r="C5" s="9" t="inlineStr">
        <is>
          <t>Level</t>
        </is>
      </c>
      <c r="D5" s="9" t="inlineStr">
        <is>
          <t>AI?</t>
        </is>
      </c>
      <c r="E5" s="9" t="inlineStr">
        <is>
          <t>Min. data</t>
        </is>
      </c>
      <c r="F5" s="9" t="inlineStr">
        <is>
          <t>Typical solutions / design notes</t>
        </is>
      </c>
    </row>
    <row r="6" ht="52" customHeight="1">
      <c r="A6" s="5" t="inlineStr">
        <is>
          <t>Move or re-key data between systems following fixed rules</t>
        </is>
      </c>
      <c r="B6" s="23" t="inlineStr">
        <is>
          <t>Workflow automation / RPA</t>
        </is>
      </c>
      <c r="C6" s="22" t="inlineStr">
        <is>
          <t>2</t>
        </is>
      </c>
      <c r="D6" s="22" t="inlineStr">
        <is>
          <t>No</t>
        </is>
      </c>
      <c r="E6" s="56" t="inlineStr">
        <is>
          <t>Partial or paper-based</t>
        </is>
      </c>
      <c r="F6" s="24" t="inlineStr">
        <is>
          <t>Power Automate, UiPath, Zapier / Make, ERP workflow.  Rules are stable and documented - AI adds little. Automate first.</t>
        </is>
      </c>
    </row>
    <row r="7" ht="52" customHeight="1">
      <c r="A7" s="5" t="inlineStr">
        <is>
          <t>Check or approve items against fixed criteria (rules, thresholds, checklists)</t>
        </is>
      </c>
      <c r="B7" s="23" t="inlineStr">
        <is>
          <t>Rules engine / workflow automation</t>
        </is>
      </c>
      <c r="C7" s="22" t="inlineStr">
        <is>
          <t>2</t>
        </is>
      </c>
      <c r="D7" s="22" t="inlineStr">
        <is>
          <t>No</t>
        </is>
      </c>
      <c r="E7" s="56" t="inlineStr">
        <is>
          <t>Partial or paper-based</t>
        </is>
      </c>
      <c r="F7" s="24" t="inlineStr">
        <is>
          <t>Business-rules engines, ERP / core-system workflow, low-code apps.  Encode the criteria; route exceptions to people. Use AI only for the unstructured part, if any.</t>
        </is>
      </c>
    </row>
    <row r="8" ht="52" customHeight="1">
      <c r="A8" s="5" t="inlineStr">
        <is>
          <t>Produce reports, dashboards or reconciliations from existing data</t>
        </is>
      </c>
      <c r="B8" s="23" t="inlineStr">
        <is>
          <t>BI, dashboards &amp; reconciliation automation</t>
        </is>
      </c>
      <c r="C8" s="22" t="inlineStr">
        <is>
          <t>2</t>
        </is>
      </c>
      <c r="D8" s="22" t="inlineStr">
        <is>
          <t>No</t>
        </is>
      </c>
      <c r="E8" s="56" t="inlineStr">
        <is>
          <t>Digital history available</t>
        </is>
      </c>
      <c r="F8" s="24" t="inlineStr">
        <is>
          <t>Power BI, Tableau, Excel automation, reconciliation tools.  Usually a data-modelling problem, not an AI problem. GenAI 'ask your data' can be layered on later.</t>
        </is>
      </c>
    </row>
    <row r="9" ht="52" customHeight="1">
      <c r="A9" s="5" t="inlineStr">
        <is>
          <t>Extract information from documents, forms or emails</t>
        </is>
      </c>
      <c r="B9" s="23" t="inlineStr">
        <is>
          <t>Intelligent document processing (IDP)</t>
        </is>
      </c>
      <c r="C9" s="22" t="inlineStr">
        <is>
          <t>3</t>
        </is>
      </c>
      <c r="D9" s="22" t="inlineStr">
        <is>
          <t>Light</t>
        </is>
      </c>
      <c r="E9" s="56" t="inlineStr">
        <is>
          <t>Partial or paper-based</t>
        </is>
      </c>
      <c r="F9" s="24" t="inlineStr">
        <is>
          <t>Azure AI Document Intelligence, AWS Textract, ABBYY, Rossum; OCR + validation rules.  Needs digital or scanned documents and a validation step. Arabic / bilingual accuracy to be tested.</t>
        </is>
      </c>
    </row>
    <row r="10" ht="52" customHeight="1">
      <c r="A10" s="5" t="inlineStr">
        <is>
          <t>Draft, summarise, translate or review text</t>
        </is>
      </c>
      <c r="B10" s="23" t="inlineStr">
        <is>
          <t>Generative AI assistant (off-the-shelf)</t>
        </is>
      </c>
      <c r="C10" s="22" t="inlineStr">
        <is>
          <t>3</t>
        </is>
      </c>
      <c r="D10" s="22" t="inlineStr">
        <is>
          <t>Yes</t>
        </is>
      </c>
      <c r="E10" s="56" t="inlineStr">
        <is>
          <t>None - not captured</t>
        </is>
      </c>
      <c r="F10" s="24" t="inlineStr">
        <is>
          <t>Microsoft 365 Copilot, ChatGPT Enterprise, Gemini for Workspace, Claude for Enterprise.  No own data needed, but needs acceptable-use policy, approved enterprise tools and human review (accuracy, confidentiality).</t>
        </is>
      </c>
    </row>
    <row r="11" ht="52" customHeight="1">
      <c r="A11" s="5" t="inlineStr">
        <is>
          <t>Answer questions from internal knowledge, policies or past work</t>
        </is>
      </c>
      <c r="B11" s="23" t="inlineStr">
        <is>
          <t>GenAI knowledge assistant (RAG on own content)</t>
        </is>
      </c>
      <c r="C11" s="22" t="inlineStr">
        <is>
          <t>4</t>
        </is>
      </c>
      <c r="D11" s="22" t="inlineStr">
        <is>
          <t>Yes</t>
        </is>
      </c>
      <c r="E11" s="56" t="inlineStr">
        <is>
          <t>Partial or paper-based</t>
        </is>
      </c>
      <c r="F11" s="24" t="inlineStr">
        <is>
          <t>Copilot Studio, Azure AI Search + LLM, Glean, vendor knowledge bots.  Quality depends on organised, current, access-controlled content (D4). Test for hallucination and data leakage.</t>
        </is>
      </c>
    </row>
    <row r="12" ht="52" customHeight="1">
      <c r="A12" s="5" t="inlineStr">
        <is>
          <t>Converse with customers, citizens or staff (chat, voice, WhatsApp)</t>
        </is>
      </c>
      <c r="B12" s="23" t="inlineStr">
        <is>
          <t>Conversational AI / virtual agent</t>
        </is>
      </c>
      <c r="C12" s="22" t="inlineStr">
        <is>
          <t>4</t>
        </is>
      </c>
      <c r="D12" s="22" t="inlineStr">
        <is>
          <t>Yes</t>
        </is>
      </c>
      <c r="E12" s="56" t="inlineStr">
        <is>
          <t>Partial or paper-based</t>
        </is>
      </c>
      <c r="F12" s="24" t="inlineStr">
        <is>
          <t>Copilot Studio, Dialogflow CX, Amazon Lex, contact-centre AI platforms.  Transparency to users (EU AI Act Art. 50); clear hand-off to humans; bilingual Arabic / English design.</t>
        </is>
      </c>
    </row>
    <row r="13" ht="52" customHeight="1">
      <c r="A13" s="5" t="inlineStr">
        <is>
          <t>Recognise or inspect images, video or speech</t>
        </is>
      </c>
      <c r="B13" s="23" t="inlineStr">
        <is>
          <t>Computer vision / speech AI</t>
        </is>
      </c>
      <c r="C13" s="22" t="inlineStr">
        <is>
          <t>4</t>
        </is>
      </c>
      <c r="D13" s="22" t="inlineStr">
        <is>
          <t>Yes</t>
        </is>
      </c>
      <c r="E13" s="56" t="inlineStr">
        <is>
          <t>Partial or paper-based</t>
        </is>
      </c>
      <c r="F13" s="24" t="inlineStr">
        <is>
          <t>Packaged vision / speech services, industry inspection products.  Biometric and surveillance uses can be prohibited or high-risk (EU AI Act Art. 5 / Annex III; PDPL sensitive data).</t>
        </is>
      </c>
    </row>
    <row r="14" ht="52" customHeight="1">
      <c r="A14" s="5" t="inlineStr">
        <is>
          <t>Forecast, score, classify or detect anomalies from historical data</t>
        </is>
      </c>
      <c r="B14" s="23" t="inlineStr">
        <is>
          <t>Predictive analytics / machine learning</t>
        </is>
      </c>
      <c r="C14" s="22" t="inlineStr">
        <is>
          <t>5</t>
        </is>
      </c>
      <c r="D14" s="22" t="inlineStr">
        <is>
          <t>Yes</t>
        </is>
      </c>
      <c r="E14" s="56" t="inlineStr">
        <is>
          <t>Digital history available</t>
        </is>
      </c>
      <c r="F14" s="24" t="inlineStr">
        <is>
          <t>Azure ML / Databricks / SageMaker, vendor ML modules (fraud, demand, churn), AutoML.  Needs history (D2) and ideally recorded outcomes (D6). Scoring of individuals (credit, hiring, insurance) is high-risk: impact assessment and bias testing.</t>
        </is>
      </c>
    </row>
    <row r="15" ht="52" customHeight="1">
      <c r="A15" s="5" t="inlineStr">
        <is>
          <t>Coordinate multi-step work across systems that needs judgement</t>
        </is>
      </c>
      <c r="B15" s="23" t="inlineStr">
        <is>
          <t>Agentic AI (supervised agents)</t>
        </is>
      </c>
      <c r="C15" s="22" t="inlineStr">
        <is>
          <t>5</t>
        </is>
      </c>
      <c r="D15" s="22" t="inlineStr">
        <is>
          <t>Yes</t>
        </is>
      </c>
      <c r="E15" s="56" t="inlineStr">
        <is>
          <t>Digital history available</t>
        </is>
      </c>
      <c r="F15" s="24" t="inlineStr">
        <is>
          <t>Copilot Studio agents, Azure AI Foundry Agent Service, Amazon Bedrock Agents, LangGraph.  Least agency and least privilege, human approval for high-impact actions, tool allow-lists, logging (ISACA Securing AI Agents 2026; OWASP LLM06 Excessive Agency).</t>
        </is>
      </c>
    </row>
    <row r="17" ht="22" customHeight="1">
      <c r="A17" s="3" t="inlineStr">
        <is>
          <t>SOLUTION LEVELS</t>
        </is>
      </c>
    </row>
    <row r="18">
      <c r="A18" s="4" t="inlineStr">
        <is>
          <t>Level 1</t>
        </is>
      </c>
      <c r="B18" s="65" t="inlineStr">
        <is>
          <t>Digitise / redesign</t>
        </is>
      </c>
      <c r="C18" s="15" t="n"/>
      <c r="D18" s="15" t="n"/>
      <c r="E18" s="15" t="n"/>
      <c r="F18" s="15" t="n"/>
    </row>
    <row r="19">
      <c r="A19" s="4" t="inlineStr">
        <is>
          <t>Level 2</t>
        </is>
      </c>
      <c r="B19" s="65" t="inlineStr">
        <is>
          <t>Automate (no AI)</t>
        </is>
      </c>
      <c r="C19" s="15" t="n"/>
      <c r="D19" s="15" t="n"/>
      <c r="E19" s="15" t="n"/>
      <c r="F19" s="15" t="n"/>
    </row>
    <row r="20">
      <c r="A20" s="4" t="inlineStr">
        <is>
          <t>Level 3</t>
        </is>
      </c>
      <c r="B20" s="65" t="inlineStr">
        <is>
          <t>Off-the-shelf / embedded AI</t>
        </is>
      </c>
      <c r="C20" s="15" t="n"/>
      <c r="D20" s="15" t="n"/>
      <c r="E20" s="15" t="n"/>
      <c r="F20" s="15" t="n"/>
    </row>
    <row r="21">
      <c r="A21" s="4" t="inlineStr">
        <is>
          <t>Level 4</t>
        </is>
      </c>
      <c r="B21" s="65" t="inlineStr">
        <is>
          <t>Configured AI on own data</t>
        </is>
      </c>
      <c r="C21" s="15" t="n"/>
      <c r="D21" s="15" t="n"/>
      <c r="E21" s="15" t="n"/>
      <c r="F21" s="15" t="n"/>
    </row>
    <row r="22">
      <c r="A22" s="4" t="inlineStr">
        <is>
          <t>Level 5</t>
        </is>
      </c>
      <c r="B22" s="65" t="inlineStr">
        <is>
          <t>Custom AI / agentic AI</t>
        </is>
      </c>
      <c r="C22" s="15" t="n"/>
      <c r="D22" s="15" t="n"/>
      <c r="E22" s="15" t="n"/>
      <c r="F22" s="15" t="n"/>
    </row>
    <row r="24" ht="22" customHeight="1">
      <c r="A24" s="3" t="inlineStr">
        <is>
          <t>AI POSITION ARCHETYPES</t>
        </is>
      </c>
    </row>
    <row r="25" ht="58" customHeight="1">
      <c r="A25" s="67" t="inlineStr">
        <is>
          <t>A. Automation is enough - for now</t>
        </is>
      </c>
      <c r="B25" s="22" t="inlineStr">
        <is>
          <t>Ceiling: level 3</t>
        </is>
      </c>
      <c r="C25" s="24" t="inlineStr">
        <is>
          <t>Digitise and automate first; use AI that is already built into everyday tools. Data and scale do not yet justify building AI. Most value comes from digitising paper steps, workflow / RPA automation, dashboards and safe use of off-the-shelf AI (e.g., AI features in Microsoft 365, accounting or CRM software) under an acceptable-use policy.</t>
        </is>
      </c>
      <c r="D25" s="15" t="n"/>
      <c r="E25" s="15" t="n"/>
      <c r="F25" s="15" t="n"/>
    </row>
    <row r="26" ht="58" customHeight="1">
      <c r="A26" s="67" t="inlineStr">
        <is>
          <t>B. Data foundations first</t>
        </is>
      </c>
      <c r="B26" s="22" t="inlineStr">
        <is>
          <t>Ceiling: level 3</t>
        </is>
      </c>
      <c r="C26" s="24" t="inlineStr">
        <is>
          <t>Scale is there but the data is not: fix data foundations while automating and adopting off-the-shelf AI. Volumes make AI attractive, but processes and data are not yet digital, joined-up or reliable enough. Prioritise data ownership, integration and capturing outcomes; automate high-volume steps; adopt packaged AI. Configured and custom AI become viable once the data gaps close.</t>
        </is>
      </c>
      <c r="D26" s="15" t="n"/>
      <c r="E26" s="15" t="n"/>
      <c r="F26" s="15" t="n"/>
    </row>
    <row r="27" ht="58" customHeight="1">
      <c r="A27" s="67" t="inlineStr">
        <is>
          <t>C. Buy and configure AI</t>
        </is>
      </c>
      <c r="B27" s="22" t="inlineStr">
        <is>
          <t>Ceiling: level 4</t>
        </is>
      </c>
      <c r="C27" s="24" t="inlineStr">
        <is>
          <t>Good data, limited scale / capacity: adopt and configure proven AI products rather than build. The data supports AI, but in-house capacity and scale favour buying. Configure AI products on your own data (knowledge assistants, intelligent document processing, conversational AI, vendor ML modules). Custom models and autonomous agents only through partners and pilots.</t>
        </is>
      </c>
      <c r="D27" s="15" t="n"/>
      <c r="E27" s="15" t="n"/>
      <c r="F27" s="15" t="n"/>
    </row>
    <row r="28" ht="58" customHeight="1">
      <c r="A28" s="67" t="inlineStr">
        <is>
          <t>D. Build and scale AI</t>
        </is>
      </c>
      <c r="B28" s="22" t="inlineStr">
        <is>
          <t>Ceiling: level 5</t>
        </is>
      </c>
      <c r="C28" s="24" t="inlineStr">
        <is>
          <t>Data and scale support custom AI: build a portfolio, including advanced analytics and governed agentic AI. The organisation can sustain a portfolio of AI use cases, including custom machine-learning models, retrieval-augmented assistants and agentic workflows - provided governance, MLOps and AI security scale with it.</t>
        </is>
      </c>
      <c r="D28" s="15" t="n"/>
      <c r="E28" s="15" t="n"/>
      <c r="F28" s="15" t="n"/>
    </row>
    <row r="30" ht="22" customHeight="1">
      <c r="A30" s="3" t="inlineStr">
        <is>
          <t>VERDICTS</t>
        </is>
      </c>
    </row>
    <row r="31" ht="40" customHeight="1">
      <c r="A31" s="44" t="inlineStr">
        <is>
          <t>AI fit now</t>
        </is>
      </c>
      <c r="B31" s="24" t="inlineStr">
        <is>
          <t>AI is the right tool, the data exists and it is within the organisation's current position.  Next step: Shape the use case (canvas), run the GT AI risk assessment for its tier, select a tool and pilot within 3 months with KPIs.</t>
        </is>
      </c>
      <c r="C31" s="15" t="n"/>
      <c r="D31" s="15" t="n"/>
      <c r="E31" s="15" t="n"/>
      <c r="F31" s="15" t="n"/>
    </row>
    <row r="32" ht="40" customHeight="1">
      <c r="A32" s="47" t="inlineStr">
        <is>
          <t>Automate - AI not needed</t>
        </is>
      </c>
      <c r="B32" s="24" t="inlineStr">
        <is>
          <t>The work follows fixed rules or is a data / reporting problem; automation or BI delivers the value with less risk and cost.  Next step: Map the process, automate with workflow / RPA / BI and measure cycle-time savings. Revisit AI later for the exceptions.</t>
        </is>
      </c>
      <c r="C32" s="15" t="n"/>
      <c r="D32" s="15" t="n"/>
      <c r="E32" s="15" t="n"/>
      <c r="F32" s="15" t="n"/>
    </row>
    <row r="33" ht="40" customHeight="1">
      <c r="A33" s="48" t="inlineStr">
        <is>
          <t>AI later - close data gap first</t>
        </is>
      </c>
      <c r="B33" s="24" t="inlineStr">
        <is>
          <t>AI would fit, but the data it needs is not captured, digital or labelled yet.  Next step: Start capturing digital history and outcomes, assign a data owner and fix quality; re-diagnose in 6-12 months.</t>
        </is>
      </c>
      <c r="C33" s="15" t="n"/>
      <c r="D33" s="15" t="n"/>
      <c r="E33" s="15" t="n"/>
      <c r="F33" s="15" t="n"/>
    </row>
    <row r="34" ht="40" customHeight="1">
      <c r="A34" s="49" t="inlineStr">
        <is>
          <t>Stretch - partner or later stage</t>
        </is>
      </c>
      <c r="B34" s="24" t="inlineStr">
        <is>
          <t>AI fits and the data exists, but the solution is more complex than the organisation can build or run today.  Next step: Use a vendor product or delivery partner, or run a time-boxed pilot; build capability before scaling.</t>
        </is>
      </c>
      <c r="C34" s="15" t="n"/>
      <c r="D34" s="15" t="n"/>
      <c r="E34" s="15" t="n"/>
      <c r="F34" s="15" t="n"/>
    </row>
    <row r="35" ht="40" customHeight="1">
      <c r="A35" s="50" t="inlineStr">
        <is>
          <t>Redesign / standardise first</t>
        </is>
      </c>
      <c r="B35" s="24" t="inlineStr">
        <is>
          <t>The process varies by person or team; automating or adding AI would scale inconsistency.  Next step: Standardise and document the process (and digitise steps); then re-diagnose - it often becomes an automation quick win.</t>
        </is>
      </c>
      <c r="C35" s="15" t="n"/>
      <c r="D35" s="15" t="n"/>
      <c r="E35" s="15" t="n"/>
      <c r="F35" s="15" t="n"/>
    </row>
    <row r="37" ht="22" customHeight="1">
      <c r="A37" s="3" t="inlineStr">
        <is>
          <t>MINIMUM CONTROLS BY RISK TIER</t>
        </is>
      </c>
    </row>
    <row r="38" ht="44" customHeight="1">
      <c r="A38" s="68" t="inlineStr">
        <is>
          <t>Low</t>
        </is>
      </c>
      <c r="B38" s="24" t="inlineStr">
        <is>
          <t>Approved tool on the AI register; acceptable-use policy; user guidance; spot-check outputs; vendor terms checked (no training on your data).</t>
        </is>
      </c>
      <c r="C38" s="15" t="n"/>
      <c r="D38" s="15" t="n"/>
      <c r="E38" s="15" t="n"/>
      <c r="F38" s="15" t="n"/>
    </row>
    <row r="39" ht="44" customHeight="1">
      <c r="A39" s="48" t="inlineStr">
        <is>
          <t>Medium</t>
        </is>
      </c>
      <c r="B39" s="24" t="inlineStr">
        <is>
          <t>As Low, plus: documented use-case risk assessment (GT AI Risk Assessment Framework, NSW AIAF-aligned); named owner; human review of outputs; PDPL check where personal data is used; testing before go-live; monitoring KPIs / KRIs.</t>
        </is>
      </c>
      <c r="C39" s="15" t="n"/>
      <c r="D39" s="15" t="n"/>
      <c r="E39" s="15" t="n"/>
      <c r="F39" s="15" t="n"/>
    </row>
    <row r="40" ht="44" customHeight="1">
      <c r="A40" s="49" t="inlineStr">
        <is>
          <t>High</t>
        </is>
      </c>
      <c r="B40" s="24" t="inlineStr">
        <is>
          <t>As Medium, plus: AI system impact assessment (ISO/IEC 42005) and DPIA; bias, robustness and security testing (incl. AI red teaming); human-in-the-loop for decisions about individuals; EU AI Act / CBB obligations checked; executive / AI committee approval; GT AI RCM v2.1 controls applied.</t>
        </is>
      </c>
      <c r="C40" s="15" t="n"/>
      <c r="D40" s="15" t="n"/>
      <c r="E40" s="15" t="n"/>
      <c r="F40" s="15" t="n"/>
    </row>
    <row r="42" ht="22" customHeight="1">
      <c r="A42" s="3" t="inlineStr">
        <is>
          <t>STANDARDS AND FRAMEWORKS BEHIND EACH STEP</t>
        </is>
      </c>
    </row>
    <row r="43">
      <c r="A43" s="9" t="inlineStr">
        <is>
          <t>Standard / framework</t>
        </is>
      </c>
      <c r="B43" s="43" t="n"/>
      <c r="C43" s="9" t="inlineStr">
        <is>
          <t>Step</t>
        </is>
      </c>
      <c r="D43" s="42" t="n"/>
      <c r="E43" s="43" t="n"/>
      <c r="F43" s="9" t="inlineStr">
        <is>
          <t>How it is used</t>
        </is>
      </c>
    </row>
    <row r="44" ht="40" customHeight="1">
      <c r="A44" s="55" t="inlineStr">
        <is>
          <t>OECD Framework for the Classification of AI Systems (2022)</t>
        </is>
      </c>
      <c r="B44" s="15" t="n"/>
      <c r="C44" s="37" t="inlineStr">
        <is>
          <t>1 Position</t>
        </is>
      </c>
      <c r="D44" s="15" t="n"/>
      <c r="E44" s="15" t="n"/>
      <c r="F44" s="24" t="inlineStr">
        <is>
          <t>Economic Context and Data &amp; Input dimensions shape the position screen: scale, sector, data provenance, structure and availability.</t>
        </is>
      </c>
    </row>
    <row r="45" ht="40" customHeight="1">
      <c r="A45" s="55" t="inlineStr">
        <is>
          <t>ISO/IEC 42001:2023 cl. 4.1 - 4.2</t>
        </is>
      </c>
      <c r="B45" s="15" t="n"/>
      <c r="C45" s="37" t="inlineStr">
        <is>
          <t>1 Position</t>
        </is>
      </c>
      <c r="D45" s="15" t="n"/>
      <c r="E45" s="15" t="n"/>
      <c r="F45" s="24" t="inlineStr">
        <is>
          <t>Understanding the organisation, its context and interested parties before deciding where AI is used.</t>
        </is>
      </c>
    </row>
    <row r="46" ht="40" customHeight="1">
      <c r="A46" s="55" t="inlineStr">
        <is>
          <t>NIST AI RMF 1.0 - MAP 1.3, 1.4, 1.6</t>
        </is>
      </c>
      <c r="B46" s="15" t="n"/>
      <c r="C46" s="37" t="inlineStr">
        <is>
          <t>1 Position</t>
        </is>
      </c>
      <c r="D46" s="15" t="n"/>
      <c r="E46" s="15" t="n"/>
      <c r="F46" s="24" t="inlineStr">
        <is>
          <t>Organisational mission, business value and system requirements established before AI is selected.</t>
        </is>
      </c>
    </row>
    <row r="47" ht="40" customHeight="1">
      <c r="A47" s="55" t="inlineStr">
        <is>
          <t>APQC Process Classification Framework (cross-industry)</t>
        </is>
      </c>
      <c r="B47" s="15" t="n"/>
      <c r="C47" s="37" t="inlineStr">
        <is>
          <t>2 Discover</t>
        </is>
      </c>
      <c r="D47" s="15" t="n"/>
      <c r="E47" s="15" t="n"/>
      <c r="F47" s="24" t="inlineStr">
        <is>
          <t>Function / process taxonomy behind the process library and inventory.</t>
        </is>
      </c>
    </row>
    <row r="48" ht="40" customHeight="1">
      <c r="A48" s="55" t="inlineStr">
        <is>
          <t>NIST AI RMF 1.0 - MAP 1.1</t>
        </is>
      </c>
      <c r="B48" s="15" t="n"/>
      <c r="C48" s="37" t="inlineStr">
        <is>
          <t>2 Discover</t>
        </is>
      </c>
      <c r="D48" s="15" t="n"/>
      <c r="E48" s="15" t="n"/>
      <c r="F48" s="24" t="inlineStr">
        <is>
          <t>Intended purpose, context of use and users documented for each candidate process.</t>
        </is>
      </c>
    </row>
    <row r="49" ht="40" customHeight="1">
      <c r="A49" s="55" t="inlineStr">
        <is>
          <t>ISO/IEC 22989:2022 and ISO/IEC 23053:2022</t>
        </is>
      </c>
      <c r="B49" s="15" t="n"/>
      <c r="C49" s="37" t="inlineStr">
        <is>
          <t>3 Diagnose</t>
        </is>
      </c>
      <c r="D49" s="15" t="n"/>
      <c r="E49" s="15" t="n"/>
      <c r="F49" s="24" t="inlineStr">
        <is>
          <t>AI concepts, tasks and ML system components - basis for the task-nature to solution-family mapping.</t>
        </is>
      </c>
    </row>
    <row r="50" ht="40" customHeight="1">
      <c r="A50" s="55" t="inlineStr">
        <is>
          <t>OECD AI classification - AI Model and Task &amp; Output dimensions</t>
        </is>
      </c>
      <c r="B50" s="15" t="n"/>
      <c r="C50" s="37" t="inlineStr">
        <is>
          <t>3 Diagnose</t>
        </is>
      </c>
      <c r="D50" s="15" t="n"/>
      <c r="E50" s="15" t="n"/>
      <c r="F50" s="24" t="inlineStr">
        <is>
          <t>Distinguishes recognition, detection, forecasting, personalisation, goal-driven optimisation and generation tasks.</t>
        </is>
      </c>
    </row>
    <row r="51" ht="40" customHeight="1">
      <c r="A51" s="55" t="inlineStr">
        <is>
          <t>ISO/IEC 5259 series (2024-2025) and ISO/IEC 8183:2023</t>
        </is>
      </c>
      <c r="B51" s="15" t="n"/>
      <c r="C51" s="37" t="inlineStr">
        <is>
          <t>3 Diagnose</t>
        </is>
      </c>
      <c r="D51" s="15" t="n"/>
      <c r="E51" s="15" t="n"/>
      <c r="F51" s="24" t="inlineStr">
        <is>
          <t>Data quality and data life cycle for analytics and ML - basis for the per-process data gate.</t>
        </is>
      </c>
    </row>
    <row r="52" ht="40" customHeight="1">
      <c r="A52" s="55" t="inlineStr">
        <is>
          <t>ISO/IEC 42001:2023 Annex A.7 (Data for AI systems)</t>
        </is>
      </c>
      <c r="B52" s="15" t="n"/>
      <c r="C52" s="37" t="inlineStr">
        <is>
          <t>3 Diagnose</t>
        </is>
      </c>
      <c r="D52" s="15" t="n"/>
      <c r="E52" s="15" t="n"/>
      <c r="F52" s="24" t="inlineStr">
        <is>
          <t>Data acquisition, quality, provenance and preparation expected before AI is deployed.</t>
        </is>
      </c>
    </row>
    <row r="53" ht="40" customHeight="1">
      <c r="A53" s="55" t="inlineStr">
        <is>
          <t>NSW AI Assessment Framework (AIAF)</t>
        </is>
      </c>
      <c r="B53" s="15" t="n"/>
      <c r="C53" s="37" t="inlineStr">
        <is>
          <t>3 Diagnose</t>
        </is>
      </c>
      <c r="D53" s="15" t="n"/>
      <c r="E53" s="15" t="n"/>
      <c r="F53" s="24" t="inlineStr">
        <is>
          <t>Inherent-risk questions (impact on people, autonomy, data sensitivity) behind the risk tier.</t>
        </is>
      </c>
    </row>
    <row r="54" ht="40" customHeight="1">
      <c r="A54" s="55" t="inlineStr">
        <is>
          <t>EU AI Act (Reg. 2024/1689) Art. 5, 6, 50 and Annex III</t>
        </is>
      </c>
      <c r="B54" s="15" t="n"/>
      <c r="C54" s="37" t="inlineStr">
        <is>
          <t>3 Diagnose</t>
        </is>
      </c>
      <c r="D54" s="15" t="n"/>
      <c r="E54" s="15" t="n"/>
      <c r="F54" s="24" t="inlineStr">
        <is>
          <t>Screens out prohibited practices and flags high-risk uses (credit, employment, essential services, biometrics) and transparency duties.</t>
        </is>
      </c>
    </row>
    <row r="55" ht="40" customHeight="1">
      <c r="A55" s="55" t="inlineStr">
        <is>
          <t>Bahrain PDPL (Law No. 30 of 2018)</t>
        </is>
      </c>
      <c r="B55" s="15" t="n"/>
      <c r="C55" s="37" t="inlineStr">
        <is>
          <t>3 Diagnose</t>
        </is>
      </c>
      <c r="D55" s="15" t="n"/>
      <c r="E55" s="15" t="n"/>
      <c r="F55" s="24" t="inlineStr">
        <is>
          <t>Personal and sensitive data flag; lawful basis and DPIA expectations for higher-risk processing.</t>
        </is>
      </c>
    </row>
    <row r="56" ht="40" customHeight="1">
      <c r="A56" s="55" t="inlineStr">
        <is>
          <t>ISACA - Cybersecurity Recommendations for Securing AI Agents (2026); OWASP Top 10 for LLM Applications (2025)</t>
        </is>
      </c>
      <c r="B56" s="15" t="n"/>
      <c r="C56" s="37" t="inlineStr">
        <is>
          <t>3 Diagnose</t>
        </is>
      </c>
      <c r="D56" s="15" t="n"/>
      <c r="E56" s="15" t="n"/>
      <c r="F56" s="24" t="inlineStr">
        <is>
          <t>Autonomy rating and agentic guardrails: least agency, human approval for high-impact actions, excessive-agency risk.</t>
        </is>
      </c>
    </row>
    <row r="57" ht="40" customHeight="1">
      <c r="A57" s="55" t="inlineStr">
        <is>
          <t>NIST AI RMF 1.0 - MAP 3.1, 3.2</t>
        </is>
      </c>
      <c r="B57" s="15" t="n"/>
      <c r="C57" s="37" t="inlineStr">
        <is>
          <t>4 Prioritise</t>
        </is>
      </c>
      <c r="D57" s="15" t="n"/>
      <c r="E57" s="15" t="n"/>
      <c r="F57" s="24" t="inlineStr">
        <is>
          <t>Expected benefits and costs (incl. of errors) weighed per use case.</t>
        </is>
      </c>
    </row>
    <row r="58" ht="40" customHeight="1">
      <c r="A58" s="55" t="inlineStr">
        <is>
          <t>ISO/IEC 42001:2023 cl. 6.2</t>
        </is>
      </c>
      <c r="B58" s="15" t="n"/>
      <c r="C58" s="37" t="inlineStr">
        <is>
          <t>4 Prioritise</t>
        </is>
      </c>
      <c r="D58" s="15" t="n"/>
      <c r="E58" s="15" t="n"/>
      <c r="F58" s="24" t="inlineStr">
        <is>
          <t>AI objectives that are measurable - feed the KPIs on each canvas.</t>
        </is>
      </c>
    </row>
    <row r="59" ht="40" customHeight="1">
      <c r="A59" s="55" t="inlineStr">
        <is>
          <t>ISO/IEC 42005:2025 and ISO/IEC 23894:2023</t>
        </is>
      </c>
      <c r="B59" s="15" t="n"/>
      <c r="C59" s="37" t="inlineStr">
        <is>
          <t>5 Plan</t>
        </is>
      </c>
      <c r="D59" s="15" t="n"/>
      <c r="E59" s="15" t="n"/>
      <c r="F59" s="24" t="inlineStr">
        <is>
          <t>AI system impact assessment and risk management for Medium / High-tier use cases before go-live.</t>
        </is>
      </c>
    </row>
    <row r="60" ht="40" customHeight="1">
      <c r="A60" s="55" t="inlineStr">
        <is>
          <t>ISO/IEC 5338:2023 and ISO/IEC 42001 Annex A.6</t>
        </is>
      </c>
      <c r="B60" s="15" t="n"/>
      <c r="C60" s="37" t="inlineStr">
        <is>
          <t>5 Plan</t>
        </is>
      </c>
      <c r="D60" s="15" t="n"/>
      <c r="E60" s="15" t="n"/>
      <c r="F60" s="24" t="inlineStr">
        <is>
          <t>AI system life cycle from design to retirement for each roadmap item.</t>
        </is>
      </c>
    </row>
    <row r="61" ht="40" customHeight="1">
      <c r="A61" s="55" t="inlineStr">
        <is>
          <t>GT AI Risk Assessment Framework v1.1 and GT AI RCM v2.1</t>
        </is>
      </c>
      <c r="B61" s="15" t="n"/>
      <c r="C61" s="37" t="inlineStr">
        <is>
          <t>5 Plan</t>
        </is>
      </c>
      <c r="D61" s="15" t="n"/>
      <c r="E61" s="15" t="n"/>
      <c r="F61" s="24" t="inlineStr">
        <is>
          <t>Tier-based minimum controls on each use-case canvas; control testing once in production.</t>
        </is>
      </c>
    </row>
    <row r="62" ht="40" customHeight="1">
      <c r="A62" s="55" t="inlineStr">
        <is>
          <t>GT AI Ready7 / GT AI Readiness &amp; Risk Assessment</t>
        </is>
      </c>
      <c r="B62" s="15" t="n"/>
      <c r="C62" s="37" t="inlineStr">
        <is>
          <t>Complementary</t>
        </is>
      </c>
      <c r="D62" s="15" t="n"/>
      <c r="E62" s="15" t="n"/>
      <c r="F62" s="24" t="inlineStr">
        <is>
          <t>Measures governance and capability maturity. Not repeated here - this toolkit asks WHERE AI fits, not HOW READY the organisation is.</t>
        </is>
      </c>
    </row>
  </sheetData>
  <mergeCells count="65">
    <mergeCell ref="C54:E54"/>
    <mergeCell ref="A48:B48"/>
    <mergeCell ref="C50:E50"/>
    <mergeCell ref="C44:E44"/>
    <mergeCell ref="A59:B59"/>
    <mergeCell ref="C55:E55"/>
    <mergeCell ref="A60:B60"/>
    <mergeCell ref="C47:E47"/>
    <mergeCell ref="A49:B49"/>
    <mergeCell ref="A37:F37"/>
    <mergeCell ref="A51:B51"/>
    <mergeCell ref="A45:B45"/>
    <mergeCell ref="B31:F31"/>
    <mergeCell ref="C56:E56"/>
    <mergeCell ref="B22:F22"/>
    <mergeCell ref="C59:E59"/>
    <mergeCell ref="C43:E43"/>
    <mergeCell ref="A61:B61"/>
    <mergeCell ref="B18:F18"/>
    <mergeCell ref="C28:F28"/>
    <mergeCell ref="C46:E46"/>
    <mergeCell ref="C51:E51"/>
    <mergeCell ref="B21:F21"/>
    <mergeCell ref="A2:F2"/>
    <mergeCell ref="C60:E60"/>
    <mergeCell ref="B39:F39"/>
    <mergeCell ref="A42:F42"/>
    <mergeCell ref="A54:B54"/>
    <mergeCell ref="C52:E52"/>
    <mergeCell ref="C61:E61"/>
    <mergeCell ref="A46:B46"/>
    <mergeCell ref="C48:E48"/>
    <mergeCell ref="A17:F17"/>
    <mergeCell ref="A4:F4"/>
    <mergeCell ref="A56:B56"/>
    <mergeCell ref="A55:B55"/>
    <mergeCell ref="A50:B50"/>
    <mergeCell ref="B38:F38"/>
    <mergeCell ref="C57:E57"/>
    <mergeCell ref="B34:F34"/>
    <mergeCell ref="C53:E53"/>
    <mergeCell ref="A57:B57"/>
    <mergeCell ref="C26:F26"/>
    <mergeCell ref="C27:F27"/>
    <mergeCell ref="A47:B47"/>
    <mergeCell ref="B19:F19"/>
    <mergeCell ref="C49:E49"/>
    <mergeCell ref="C25:F25"/>
    <mergeCell ref="A30:F30"/>
    <mergeCell ref="B40:F40"/>
    <mergeCell ref="A53:B53"/>
    <mergeCell ref="C62:E62"/>
    <mergeCell ref="A24:F24"/>
    <mergeCell ref="C58:E58"/>
    <mergeCell ref="A62:B62"/>
    <mergeCell ref="A52:B52"/>
    <mergeCell ref="B20:F20"/>
    <mergeCell ref="A43:B43"/>
    <mergeCell ref="B33:F33"/>
    <mergeCell ref="A1:F1"/>
    <mergeCell ref="C45:E45"/>
    <mergeCell ref="A44:B44"/>
    <mergeCell ref="B32:F32"/>
    <mergeCell ref="A58:B58"/>
    <mergeCell ref="B35:F35"/>
  </mergeCells>
  <printOptions gridLines="0"/>
  <pageMargins left="0.5" right="0.5" top="0.75" bottom="0.75" header="0.25" footer="0.25"/>
  <pageSetup orientation="portrait" paperSize="9" fitToHeight="0" fitToWidth="1"/>
  <headerFooter>
    <oddHeader/>
    <oddFooter>&amp;L&amp;8 GT AI Opportunity Discovery Toolkit&amp;R&amp;8 Page &amp;P of &amp;N</oddFooter>
    <evenHeader/>
    <evenFooter/>
    <firstHeader/>
    <firstFooter/>
  </headerFooter>
</worksheet>
</file>

<file path=xl/worksheets/sheet9.xml><?xml version="1.0" encoding="utf-8"?>
<worksheet xmlns="http://schemas.openxmlformats.org/spreadsheetml/2006/main">
  <sheetPr>
    <outlinePr summaryBelow="1" summaryRight="1"/>
    <pageSetUpPr/>
  </sheetPr>
  <dimension ref="A1:AX51"/>
  <sheetViews>
    <sheetView workbookViewId="0">
      <selection activeCell="A1" sqref="A1"/>
    </sheetView>
  </sheetViews>
  <sheetFormatPr baseColWidth="8" defaultRowHeight="15"/>
  <sheetData>
    <row r="1">
      <c r="A1" t="inlineStr">
        <is>
          <t>Task nature</t>
        </is>
      </c>
      <c r="B1" t="inlineStr">
        <is>
          <t>Solution family</t>
        </is>
      </c>
      <c r="C1" t="inlineStr">
        <is>
          <t>Level</t>
        </is>
      </c>
      <c r="D1" t="inlineStr">
        <is>
          <t>AI?</t>
        </is>
      </c>
      <c r="E1" t="inlineStr">
        <is>
          <t>Data req</t>
        </is>
      </c>
      <c r="F1" t="inlineStr">
        <is>
          <t>Potential</t>
        </is>
      </c>
      <c r="G1" t="inlineStr">
        <is>
          <t>Typical solutions</t>
        </is>
      </c>
      <c r="H1" t="inlineStr">
        <is>
          <t>KPIs</t>
        </is>
      </c>
      <c r="I1" t="inlineStr">
        <is>
          <t>Design notes</t>
        </is>
      </c>
      <c r="S1" t="inlineStr">
        <is>
          <t>D1</t>
        </is>
      </c>
      <c r="T1" t="inlineStr">
        <is>
          <t>D2</t>
        </is>
      </c>
      <c r="U1" t="inlineStr">
        <is>
          <t>D3</t>
        </is>
      </c>
      <c r="V1" t="inlineStr">
        <is>
          <t>D4</t>
        </is>
      </c>
      <c r="W1" t="inlineStr">
        <is>
          <t>D5</t>
        </is>
      </c>
      <c r="X1" t="inlineStr">
        <is>
          <t>D6</t>
        </is>
      </c>
      <c r="Y1" t="inlineStr">
        <is>
          <t>S1</t>
        </is>
      </c>
      <c r="Z1" t="inlineStr">
        <is>
          <t>S2</t>
        </is>
      </c>
      <c r="AA1" t="inlineStr">
        <is>
          <t>S3</t>
        </is>
      </c>
      <c r="AB1" t="inlineStr">
        <is>
          <t>S4</t>
        </is>
      </c>
      <c r="AC1" t="inlineStr">
        <is>
          <t>S5</t>
        </is>
      </c>
      <c r="AD1" t="inlineStr">
        <is>
          <t>S6</t>
        </is>
      </c>
    </row>
    <row r="2">
      <c r="A2" t="inlineStr">
        <is>
          <t>Move or re-key data between systems following fixed rules</t>
        </is>
      </c>
      <c r="B2" t="inlineStr">
        <is>
          <t>Workflow automation / RPA</t>
        </is>
      </c>
      <c r="C2" t="n">
        <v>2</v>
      </c>
      <c r="D2" t="inlineStr">
        <is>
          <t>No</t>
        </is>
      </c>
      <c r="E2" t="n">
        <v>1</v>
      </c>
      <c r="F2" t="n">
        <v>0.6</v>
      </c>
      <c r="G2" t="inlineStr">
        <is>
          <t>Power Automate, UiPath, Zapier / Make, ERP workflow</t>
        </is>
      </c>
      <c r="H2" t="inlineStr">
        <is>
          <t>Cycle time; manual touches per case; error rate</t>
        </is>
      </c>
      <c r="I2" t="inlineStr">
        <is>
          <t>Rules are stable and documented - AI adds little. Automate first.</t>
        </is>
      </c>
      <c r="M2" t="inlineStr">
        <is>
          <t>None - not captured</t>
        </is>
      </c>
      <c r="N2" t="n">
        <v>0</v>
      </c>
      <c r="P2" t="inlineStr">
        <is>
          <t>Core service delivery / operations</t>
        </is>
      </c>
      <c r="Q2" t="inlineStr">
        <is>
          <t>Banking &amp; financial services</t>
        </is>
      </c>
      <c r="S2" t="inlineStr">
        <is>
          <t>Mostly on paper or manually</t>
        </is>
      </c>
      <c r="T2" t="inlineStr">
        <is>
          <t>Less than 1 year, or scattered across files</t>
        </is>
      </c>
      <c r="U2" t="inlineStr">
        <is>
          <t>No defined owners; frequent errors and duplicates</t>
        </is>
      </c>
      <c r="V2" t="inlineStr">
        <is>
          <t>Paper or personal drives</t>
        </is>
      </c>
      <c r="W2" t="inlineStr">
        <is>
          <t>No - data is re-keyed manually</t>
        </is>
      </c>
      <c r="X2" t="inlineStr">
        <is>
          <t>No</t>
        </is>
      </c>
      <c r="Y2" t="inlineStr">
        <is>
          <t>Fewer than 50</t>
        </is>
      </c>
      <c r="Z2" t="inlineStr">
        <is>
          <t>Fewer than 500</t>
        </is>
      </c>
      <c r="AA2" t="inlineStr">
        <is>
          <t>No IT staff / basic outsourced support</t>
        </is>
      </c>
      <c r="AB2" t="inlineStr">
        <is>
          <t>Below BHD 10,000</t>
        </is>
      </c>
      <c r="AC2" t="inlineStr">
        <is>
          <t>Few - mostly in person</t>
        </is>
      </c>
      <c r="AD2" t="inlineStr">
        <is>
          <t>None at the moment</t>
        </is>
      </c>
      <c r="AG2" t="inlineStr">
        <is>
          <t>A</t>
        </is>
      </c>
      <c r="AH2" t="inlineStr">
        <is>
          <t>Automation is enough - for now</t>
        </is>
      </c>
      <c r="AI2" t="n">
        <v>3</v>
      </c>
      <c r="AJ2" t="inlineStr">
        <is>
          <t>Digitise and automate first; use AI that is already built into everyday tools.</t>
        </is>
      </c>
      <c r="AK2" t="inlineStr">
        <is>
          <t>Data and scale do not yet justify building AI. Most value comes from digitising paper steps, workflow / RPA automation, dashboards and safe use of off-the-shelf AI (e.g., AI features in Microsoft 365, accounting or CRM software) under an acceptable-use policy.</t>
        </is>
      </c>
      <c r="AL2" t="n">
        <v>1</v>
      </c>
      <c r="AM2" t="inlineStr">
        <is>
          <t>Digitise / redesign</t>
        </is>
      </c>
      <c r="AO2" t="inlineStr">
        <is>
          <t>Low</t>
        </is>
      </c>
      <c r="AP2" t="inlineStr">
        <is>
          <t>Approved tool on the AI register; acceptable-use policy; user guidance; spot-check outputs; vendor terms checked (no training on your data).</t>
        </is>
      </c>
      <c r="AR2" t="inlineStr">
        <is>
          <t>AI fit now</t>
        </is>
      </c>
      <c r="AS2" t="inlineStr">
        <is>
          <t>AI is the right tool, the data exists and it is within the organisation's current position.</t>
        </is>
      </c>
      <c r="AT2" t="inlineStr">
        <is>
          <t>Shape the use case (canvas), run the GT AI risk assessment for its tier, select a tool and pilot within 3 months with KPIs.</t>
        </is>
      </c>
      <c r="AV2" t="inlineStr">
        <is>
          <t>H1 - Now (0-6 months)</t>
        </is>
      </c>
      <c r="AX2" t="n">
        <v>1</v>
      </c>
    </row>
    <row r="3">
      <c r="A3" t="inlineStr">
        <is>
          <t>Check or approve items against fixed criteria (rules, thresholds, checklists)</t>
        </is>
      </c>
      <c r="B3" t="inlineStr">
        <is>
          <t>Rules engine / workflow automation</t>
        </is>
      </c>
      <c r="C3" t="n">
        <v>2</v>
      </c>
      <c r="D3" t="inlineStr">
        <is>
          <t>No</t>
        </is>
      </c>
      <c r="E3" t="n">
        <v>1</v>
      </c>
      <c r="F3" t="n">
        <v>0.5</v>
      </c>
      <c r="G3" t="inlineStr">
        <is>
          <t>Business-rules engines, ERP / core-system workflow, low-code apps</t>
        </is>
      </c>
      <c r="H3" t="inlineStr">
        <is>
          <t>Turnaround time; exceptions handled; compliance rate</t>
        </is>
      </c>
      <c r="I3" t="inlineStr">
        <is>
          <t>Encode the criteria; route exceptions to people. Use AI only for the unstructured part, if any.</t>
        </is>
      </c>
      <c r="M3" t="inlineStr">
        <is>
          <t>Partial or paper-based</t>
        </is>
      </c>
      <c r="N3" t="n">
        <v>1</v>
      </c>
      <c r="P3" t="inlineStr">
        <is>
          <t>Customer service &amp; sales</t>
        </is>
      </c>
      <c r="Q3" t="inlineStr">
        <is>
          <t>Insurance</t>
        </is>
      </c>
      <c r="S3" t="inlineStr">
        <is>
          <t>Mainly spreadsheets and email</t>
        </is>
      </c>
      <c r="T3" t="inlineStr">
        <is>
          <t>1-2 years, held in different places</t>
        </is>
      </c>
      <c r="U3" t="inlineStr">
        <is>
          <t>Some owners; known quality issues not tracked</t>
        </is>
      </c>
      <c r="V3" t="inlineStr">
        <is>
          <t>Shared drives / email, not organised</t>
        </is>
      </c>
      <c r="W3" t="inlineStr">
        <is>
          <t>Manual exports / imports (e.g., CSV)</t>
        </is>
      </c>
      <c r="X3" t="inlineStr">
        <is>
          <t>Occasionally / informally</t>
        </is>
      </c>
      <c r="Y3" t="inlineStr">
        <is>
          <t>50 - 249</t>
        </is>
      </c>
      <c r="Z3" t="inlineStr">
        <is>
          <t>500 - 5,000</t>
        </is>
      </c>
      <c r="AA3" t="inlineStr">
        <is>
          <t>Small IT team (support and vendor management)</t>
        </is>
      </c>
      <c r="AB3" t="inlineStr">
        <is>
          <t>BHD 10,000 - 50,000</t>
        </is>
      </c>
      <c r="AC3" t="inlineStr">
        <is>
          <t>Moderate</t>
        </is>
      </c>
      <c r="AD3" t="inlineStr">
        <is>
          <t>One project at a time</t>
        </is>
      </c>
      <c r="AG3" t="inlineStr">
        <is>
          <t>B</t>
        </is>
      </c>
      <c r="AH3" t="inlineStr">
        <is>
          <t>Data foundations first</t>
        </is>
      </c>
      <c r="AI3" t="n">
        <v>3</v>
      </c>
      <c r="AJ3" t="inlineStr">
        <is>
          <t>Scale is there but the data is not: fix data foundations while automating and adopting off-the-shelf AI.</t>
        </is>
      </c>
      <c r="AK3" t="inlineStr">
        <is>
          <t>Volumes make AI attractive, but processes and data are not yet digital, joined-up or reliable enough. Prioritise data ownership, integration and capturing outcomes; automate high-volume steps; adopt packaged AI. Configured and custom AI become viable once the data gaps close.</t>
        </is>
      </c>
      <c r="AL3" t="n">
        <v>2</v>
      </c>
      <c r="AM3" t="inlineStr">
        <is>
          <t>Automate (no AI)</t>
        </is>
      </c>
      <c r="AO3" t="inlineStr">
        <is>
          <t>Medium</t>
        </is>
      </c>
      <c r="AP3" t="inlineStr">
        <is>
          <t>As Low, plus: documented use-case risk assessment (GT AI Risk Assessment Framework, NSW AIAF-aligned); named owner; human review of outputs; PDPL check where personal data is used; testing before go-live; monitoring KPIs / KRIs.</t>
        </is>
      </c>
      <c r="AR3" t="inlineStr">
        <is>
          <t>Automate - AI not needed</t>
        </is>
      </c>
      <c r="AS3" t="inlineStr">
        <is>
          <t>The work follows fixed rules or is a data / reporting problem; automation or BI delivers the value with less risk and cost.</t>
        </is>
      </c>
      <c r="AT3" t="inlineStr">
        <is>
          <t>Map the process, automate with workflow / RPA / BI and measure cycle-time savings. Revisit AI later for the exceptions.</t>
        </is>
      </c>
      <c r="AV3" t="inlineStr">
        <is>
          <t>H2 - Next (6-12 months)</t>
        </is>
      </c>
      <c r="AX3" t="n">
        <v>2</v>
      </c>
    </row>
    <row r="4">
      <c r="A4" t="inlineStr">
        <is>
          <t>Produce reports, dashboards or reconciliations from existing data</t>
        </is>
      </c>
      <c r="B4" t="inlineStr">
        <is>
          <t>BI, dashboards &amp; reconciliation automation</t>
        </is>
      </c>
      <c r="C4" t="n">
        <v>2</v>
      </c>
      <c r="D4" t="inlineStr">
        <is>
          <t>No</t>
        </is>
      </c>
      <c r="E4" t="n">
        <v>2</v>
      </c>
      <c r="F4" t="n">
        <v>0.25</v>
      </c>
      <c r="G4" t="inlineStr">
        <is>
          <t>Power BI, Tableau, Excel automation, reconciliation tools</t>
        </is>
      </c>
      <c r="H4" t="inlineStr">
        <is>
          <t>Report preparation time; timeliness; reconciliation breaks</t>
        </is>
      </c>
      <c r="I4" t="inlineStr">
        <is>
          <t>Usually a data-modelling problem, not an AI problem. GenAI 'ask your data' can be layered on later.</t>
        </is>
      </c>
      <c r="M4" t="inlineStr">
        <is>
          <t>Digital history available</t>
        </is>
      </c>
      <c r="N4" t="n">
        <v>2</v>
      </c>
      <c r="P4" t="inlineStr">
        <is>
          <t>Marketing &amp; communications</t>
        </is>
      </c>
      <c r="Q4" t="inlineStr">
        <is>
          <t>Government &amp; public sector</t>
        </is>
      </c>
      <c r="S4" t="inlineStr">
        <is>
          <t>Core systems (e.g., ERP, CRM, core banking) for the main processes</t>
        </is>
      </c>
      <c r="T4" t="inlineStr">
        <is>
          <t>3+ years in core systems</t>
        </is>
      </c>
      <c r="U4" t="inlineStr">
        <is>
          <t>Owners for key data; quality checked periodically</t>
        </is>
      </c>
      <c r="V4" t="inlineStr">
        <is>
          <t>A document-management system or SharePoint with structure</t>
        </is>
      </c>
      <c r="W4" t="inlineStr">
        <is>
          <t>Some APIs or integrations between key systems</t>
        </is>
      </c>
      <c r="X4" t="inlineStr">
        <is>
          <t>For some key processes</t>
        </is>
      </c>
      <c r="Y4" t="inlineStr">
        <is>
          <t>250 - 999</t>
        </is>
      </c>
      <c r="Z4" t="inlineStr">
        <is>
          <t>5,000 - 50,000</t>
        </is>
      </c>
      <c r="AA4" t="inlineStr">
        <is>
          <t>IT team with integration / development skills</t>
        </is>
      </c>
      <c r="AB4" t="inlineStr">
        <is>
          <t>BHD 50,000 - 250,000</t>
        </is>
      </c>
      <c r="AC4" t="inlineStr">
        <is>
          <t>High - most interactions are digital</t>
        </is>
      </c>
      <c r="AD4" t="inlineStr">
        <is>
          <t>Several projects in parallel</t>
        </is>
      </c>
      <c r="AG4" t="inlineStr">
        <is>
          <t>C</t>
        </is>
      </c>
      <c r="AH4" t="inlineStr">
        <is>
          <t>Buy and configure AI</t>
        </is>
      </c>
      <c r="AI4" t="n">
        <v>4</v>
      </c>
      <c r="AJ4" t="inlineStr">
        <is>
          <t>Good data, limited scale / capacity: adopt and configure proven AI products rather than build.</t>
        </is>
      </c>
      <c r="AK4" t="inlineStr">
        <is>
          <t>The data supports AI, but in-house capacity and scale favour buying. Configure AI products on your own data (knowledge assistants, intelligent document processing, conversational AI, vendor ML modules). Custom models and autonomous agents only through partners and pilots.</t>
        </is>
      </c>
      <c r="AL4" t="n">
        <v>3</v>
      </c>
      <c r="AM4" t="inlineStr">
        <is>
          <t>Off-the-shelf / embedded AI</t>
        </is>
      </c>
      <c r="AO4" t="inlineStr">
        <is>
          <t>High</t>
        </is>
      </c>
      <c r="AP4" t="inlineStr">
        <is>
          <t>As Medium, plus: AI system impact assessment (ISO/IEC 42005) and DPIA; bias, robustness and security testing (incl. AI red teaming); human-in-the-loop for decisions about individuals; EU AI Act / CBB obligations checked; executive / AI committee approval; GT AI RCM v2.1 controls applied.</t>
        </is>
      </c>
      <c r="AR4" t="inlineStr">
        <is>
          <t>AI later - close data gap first</t>
        </is>
      </c>
      <c r="AS4" t="inlineStr">
        <is>
          <t>AI would fit, but the data it needs is not captured, digital or labelled yet.</t>
        </is>
      </c>
      <c r="AT4" t="inlineStr">
        <is>
          <t>Start capturing digital history and outcomes, assign a data owner and fix quality; re-diagnose in 6-12 months.</t>
        </is>
      </c>
      <c r="AV4" t="inlineStr">
        <is>
          <t>H3 - Later (12-24 months)</t>
        </is>
      </c>
      <c r="AX4" t="n">
        <v>3</v>
      </c>
    </row>
    <row r="5">
      <c r="A5" t="inlineStr">
        <is>
          <t>Extract information from documents, forms or emails</t>
        </is>
      </c>
      <c r="B5" t="inlineStr">
        <is>
          <t>Intelligent document processing (IDP)</t>
        </is>
      </c>
      <c r="C5" t="n">
        <v>3</v>
      </c>
      <c r="D5" t="inlineStr">
        <is>
          <t>Light</t>
        </is>
      </c>
      <c r="E5" t="n">
        <v>1</v>
      </c>
      <c r="F5" t="n">
        <v>0.5</v>
      </c>
      <c r="G5" t="inlineStr">
        <is>
          <t>Azure AI Document Intelligence, AWS Textract, ABBYY, Rossum; OCR + validation rules</t>
        </is>
      </c>
      <c r="H5" t="inlineStr">
        <is>
          <t>Straight-through processing rate; extraction accuracy; cost per document</t>
        </is>
      </c>
      <c r="I5" t="inlineStr">
        <is>
          <t>Needs digital or scanned documents and a validation step. Arabic / bilingual accuracy to be tested.</t>
        </is>
      </c>
      <c r="M5" t="inlineStr">
        <is>
          <t>Digital history with recorded outcomes</t>
        </is>
      </c>
      <c r="N5" t="n">
        <v>3</v>
      </c>
      <c r="P5" t="inlineStr">
        <is>
          <t>Finance &amp; accounting</t>
        </is>
      </c>
      <c r="Q5" t="inlineStr">
        <is>
          <t>Healthcare</t>
        </is>
      </c>
      <c r="S5" t="inlineStr">
        <is>
          <t>Integrated systems end-to-end with little manual re-keying</t>
        </is>
      </c>
      <c r="T5" t="inlineStr">
        <is>
          <t>3+ years consolidated in a data warehouse / data platform</t>
        </is>
      </c>
      <c r="U5" t="inlineStr">
        <is>
          <t>Governed data with owners, definitions and quality metrics</t>
        </is>
      </c>
      <c r="V5" t="inlineStr">
        <is>
          <t>Well-organised repository with metadata and access control</t>
        </is>
      </c>
      <c r="W5" t="inlineStr">
        <is>
          <t>Integration platform / APIs and a central data layer</t>
        </is>
      </c>
      <c r="X5" t="inlineStr">
        <is>
          <t>Systematically for most key processes</t>
        </is>
      </c>
      <c r="Y5" t="inlineStr">
        <is>
          <t>1,000 or more</t>
        </is>
      </c>
      <c r="Z5" t="inlineStr">
        <is>
          <t>More than 50,000</t>
        </is>
      </c>
      <c r="AA5" t="inlineStr">
        <is>
          <t>IT plus a data / analytics team</t>
        </is>
      </c>
      <c r="AB5" t="inlineStr">
        <is>
          <t>Above BHD 250,000</t>
        </is>
      </c>
      <c r="AC5" t="inlineStr">
        <is>
          <t>Very high - omnichannel at scale</t>
        </is>
      </c>
      <c r="AD5" t="inlineStr">
        <is>
          <t>Dedicated transformation / innovation team</t>
        </is>
      </c>
      <c r="AG5" t="inlineStr">
        <is>
          <t>D</t>
        </is>
      </c>
      <c r="AH5" t="inlineStr">
        <is>
          <t>Build and scale AI</t>
        </is>
      </c>
      <c r="AI5" t="n">
        <v>5</v>
      </c>
      <c r="AJ5" t="inlineStr">
        <is>
          <t>Data and scale support custom AI: build a portfolio, including advanced analytics and governed agentic AI.</t>
        </is>
      </c>
      <c r="AK5" t="inlineStr">
        <is>
          <t>The organisation can sustain a portfolio of AI use cases, including custom machine-learning models, retrieval-augmented assistants and agentic workflows - provided governance, MLOps and AI security scale with it.</t>
        </is>
      </c>
      <c r="AL5" t="n">
        <v>4</v>
      </c>
      <c r="AM5" t="inlineStr">
        <is>
          <t>Configured AI on own data</t>
        </is>
      </c>
      <c r="AR5" t="inlineStr">
        <is>
          <t>Stretch - partner or later stage</t>
        </is>
      </c>
      <c r="AS5" t="inlineStr">
        <is>
          <t>AI fits and the data exists, but the solution is more complex than the organisation can build or run today.</t>
        </is>
      </c>
      <c r="AT5" t="inlineStr">
        <is>
          <t>Use a vendor product or delivery partner, or run a time-boxed pilot; build capability before scaling.</t>
        </is>
      </c>
      <c r="AV5" t="inlineStr">
        <is>
          <t>Backlog / not prioritised</t>
        </is>
      </c>
      <c r="AX5" t="n">
        <v>4</v>
      </c>
    </row>
    <row r="6">
      <c r="A6" t="inlineStr">
        <is>
          <t>Draft, summarise, translate or review text</t>
        </is>
      </c>
      <c r="B6" t="inlineStr">
        <is>
          <t>Generative AI assistant (off-the-shelf)</t>
        </is>
      </c>
      <c r="C6" t="n">
        <v>3</v>
      </c>
      <c r="D6" t="inlineStr">
        <is>
          <t>Yes</t>
        </is>
      </c>
      <c r="E6" t="n">
        <v>0</v>
      </c>
      <c r="F6" t="n">
        <v>0.3</v>
      </c>
      <c r="G6" t="inlineStr">
        <is>
          <t>Microsoft 365 Copilot, ChatGPT Enterprise, Gemini for Workspace, Claude for Enterprise</t>
        </is>
      </c>
      <c r="H6" t="inlineStr">
        <is>
          <t>Drafting time; adoption; quality-review findings</t>
        </is>
      </c>
      <c r="I6" t="inlineStr">
        <is>
          <t>No own data needed, but needs acceptable-use policy, approved enterprise tools and human review (accuracy, confidentiality).</t>
        </is>
      </c>
      <c r="P6" t="inlineStr">
        <is>
          <t>HR &amp; people</t>
        </is>
      </c>
      <c r="Q6" t="inlineStr">
        <is>
          <t>Hospitality &amp; tourism</t>
        </is>
      </c>
      <c r="AL6" t="n">
        <v>5</v>
      </c>
      <c r="AM6" t="inlineStr">
        <is>
          <t>Custom AI / agentic AI</t>
        </is>
      </c>
      <c r="AR6" t="inlineStr">
        <is>
          <t>Redesign / standardise first</t>
        </is>
      </c>
      <c r="AS6" t="inlineStr">
        <is>
          <t>The process varies by person or team; automating or adding AI would scale inconsistency.</t>
        </is>
      </c>
      <c r="AT6" t="inlineStr">
        <is>
          <t>Standardise and document the process (and digitise steps); then re-diagnose - it often becomes an automation quick win.</t>
        </is>
      </c>
      <c r="AX6" t="n">
        <v>5</v>
      </c>
    </row>
    <row r="7">
      <c r="A7" t="inlineStr">
        <is>
          <t>Answer questions from internal knowledge, policies or past work</t>
        </is>
      </c>
      <c r="B7" t="inlineStr">
        <is>
          <t>GenAI knowledge assistant (RAG on own content)</t>
        </is>
      </c>
      <c r="C7" t="n">
        <v>4</v>
      </c>
      <c r="D7" t="inlineStr">
        <is>
          <t>Yes</t>
        </is>
      </c>
      <c r="E7" t="n">
        <v>1</v>
      </c>
      <c r="F7" t="n">
        <v>0.25</v>
      </c>
      <c r="G7" t="inlineStr">
        <is>
          <t>Copilot Studio, Azure AI Search + LLM, Glean, vendor knowledge bots</t>
        </is>
      </c>
      <c r="H7" t="inlineStr">
        <is>
          <t>Time to answer; deflected queries; answer accuracy</t>
        </is>
      </c>
      <c r="I7" t="inlineStr">
        <is>
          <t>Quality depends on organised, current, access-controlled content (D4). Test for hallucination and data leakage.</t>
        </is>
      </c>
      <c r="P7" t="inlineStr">
        <is>
          <t>Procurement &amp; supply chain</t>
        </is>
      </c>
      <c r="Q7" t="inlineStr">
        <is>
          <t>Retail &amp; consumer</t>
        </is>
      </c>
      <c r="AX7" t="n">
        <v>6</v>
      </c>
    </row>
    <row r="8">
      <c r="A8" t="inlineStr">
        <is>
          <t>Converse with customers, citizens or staff (chat, voice, WhatsApp)</t>
        </is>
      </c>
      <c r="B8" t="inlineStr">
        <is>
          <t>Conversational AI / virtual agent</t>
        </is>
      </c>
      <c r="C8" t="n">
        <v>4</v>
      </c>
      <c r="D8" t="inlineStr">
        <is>
          <t>Yes</t>
        </is>
      </c>
      <c r="E8" t="n">
        <v>1</v>
      </c>
      <c r="F8" t="n">
        <v>0.3</v>
      </c>
      <c r="G8" t="inlineStr">
        <is>
          <t>Copilot Studio, Dialogflow CX, Amazon Lex, contact-centre AI platforms</t>
        </is>
      </c>
      <c r="H8" t="inlineStr">
        <is>
          <t>Containment rate; CSAT; average handling time</t>
        </is>
      </c>
      <c r="I8" t="inlineStr">
        <is>
          <t>Transparency to users (EU AI Act Art. 50); clear hand-off to humans; bilingual Arabic / English design.</t>
        </is>
      </c>
      <c r="M8" t="inlineStr">
        <is>
          <t>Low (fewer than 100 a month)</t>
        </is>
      </c>
      <c r="N8" t="n">
        <v>1</v>
      </c>
      <c r="P8" t="inlineStr">
        <is>
          <t>Risk, compliance &amp; legal</t>
        </is>
      </c>
      <c r="Q8" t="inlineStr">
        <is>
          <t>Manufacturing &amp; industrial</t>
        </is>
      </c>
      <c r="AX8" t="n">
        <v>7</v>
      </c>
    </row>
    <row r="9">
      <c r="A9" t="inlineStr">
        <is>
          <t>Recognise or inspect images, video or speech</t>
        </is>
      </c>
      <c r="B9" t="inlineStr">
        <is>
          <t>Computer vision / speech AI</t>
        </is>
      </c>
      <c r="C9" t="n">
        <v>4</v>
      </c>
      <c r="D9" t="inlineStr">
        <is>
          <t>Yes</t>
        </is>
      </c>
      <c r="E9" t="n">
        <v>1</v>
      </c>
      <c r="F9" t="n">
        <v>0.4</v>
      </c>
      <c r="G9" t="inlineStr">
        <is>
          <t>Packaged vision / speech services, industry inspection products</t>
        </is>
      </c>
      <c r="H9" t="inlineStr">
        <is>
          <t>Inspection throughput; detection accuracy; false alarms</t>
        </is>
      </c>
      <c r="I9" t="inlineStr">
        <is>
          <t>Biometric and surveillance uses can be prohibited or high-risk (EU AI Act Art. 5 / Annex III; PDPL sensitive data).</t>
        </is>
      </c>
      <c r="M9" t="inlineStr">
        <is>
          <t>Medium (100 - 1,000 a month)</t>
        </is>
      </c>
      <c r="N9" t="n">
        <v>3</v>
      </c>
      <c r="P9" t="inlineStr">
        <is>
          <t>IT &amp; security</t>
        </is>
      </c>
      <c r="Q9" t="inlineStr">
        <is>
          <t>Logistics &amp; transport</t>
        </is>
      </c>
      <c r="AX9" t="n">
        <v>8</v>
      </c>
    </row>
    <row r="10">
      <c r="A10" t="inlineStr">
        <is>
          <t>Forecast, score, classify or detect anomalies from historical data</t>
        </is>
      </c>
      <c r="B10" t="inlineStr">
        <is>
          <t>Predictive analytics / machine learning</t>
        </is>
      </c>
      <c r="C10" t="n">
        <v>5</v>
      </c>
      <c r="D10" t="inlineStr">
        <is>
          <t>Yes</t>
        </is>
      </c>
      <c r="E10" t="n">
        <v>2</v>
      </c>
      <c r="F10" t="n">
        <v>0.2</v>
      </c>
      <c r="G10" t="inlineStr">
        <is>
          <t>Azure ML / Databricks / SageMaker, vendor ML modules (fraud, demand, churn), AutoML</t>
        </is>
      </c>
      <c r="H10" t="inlineStr">
        <is>
          <t>Forecast accuracy; detection rate; losses avoided</t>
        </is>
      </c>
      <c r="I10" t="inlineStr">
        <is>
          <t>Needs history (D2) and ideally recorded outcomes (D6). Scoring of individuals (credit, hiring, insurance) is high-risk: impact assessment and bias testing.</t>
        </is>
      </c>
      <c r="M10" t="inlineStr">
        <is>
          <t>High (more than 1,000 a month)</t>
        </is>
      </c>
      <c r="N10" t="n">
        <v>5</v>
      </c>
      <c r="P10" t="inlineStr">
        <is>
          <t>Management &amp; reporting</t>
        </is>
      </c>
      <c r="Q10" t="inlineStr">
        <is>
          <t>Telecom &amp; technology</t>
        </is>
      </c>
      <c r="AX10" t="n">
        <v>9</v>
      </c>
    </row>
    <row r="11">
      <c r="A11" t="inlineStr">
        <is>
          <t>Coordinate multi-step work across systems that needs judgement</t>
        </is>
      </c>
      <c r="B11" t="inlineStr">
        <is>
          <t>Agentic AI (supervised agents)</t>
        </is>
      </c>
      <c r="C11" t="n">
        <v>5</v>
      </c>
      <c r="D11" t="inlineStr">
        <is>
          <t>Yes</t>
        </is>
      </c>
      <c r="E11" t="n">
        <v>2</v>
      </c>
      <c r="F11" t="n">
        <v>0.4</v>
      </c>
      <c r="G11" t="inlineStr">
        <is>
          <t>Copilot Studio agents, Azure AI Foundry Agent Service, Amazon Bedrock Agents, LangGraph</t>
        </is>
      </c>
      <c r="H11" t="inlineStr">
        <is>
          <t>Cases completed end-to-end; human interventions; error / rollback rate</t>
        </is>
      </c>
      <c r="I11" t="inlineStr">
        <is>
          <t>Least agency and least privilege, human approval for high-impact actions, tool allow-lists, logging (ISACA Securing AI Agents 2026; OWASP LLM06 Excessive Agency).</t>
        </is>
      </c>
      <c r="P11" t="inlineStr">
        <is>
          <t>Knowledge &amp; collaboration</t>
        </is>
      </c>
      <c r="Q11" t="inlineStr">
        <is>
          <t>Real estate &amp; construction</t>
        </is>
      </c>
      <c r="AX11" t="n">
        <v>10</v>
      </c>
    </row>
    <row r="12">
      <c r="Q12" t="inlineStr">
        <is>
          <t>Professional services</t>
        </is>
      </c>
      <c r="AX12" t="n">
        <v>11</v>
      </c>
    </row>
    <row r="13">
      <c r="M13" t="inlineStr">
        <is>
          <t>Yes - documented and consistent</t>
        </is>
      </c>
      <c r="N13" t="n">
        <v>5</v>
      </c>
      <c r="Q13" t="inlineStr">
        <is>
          <t>Education</t>
        </is>
      </c>
      <c r="AX13" t="n">
        <v>12</v>
      </c>
    </row>
    <row r="14">
      <c r="M14" t="inlineStr">
        <is>
          <t>Partly - common steps, some variation</t>
        </is>
      </c>
      <c r="N14" t="n">
        <v>3</v>
      </c>
      <c r="Q14" t="inlineStr">
        <is>
          <t>Oil, gas &amp; energy</t>
        </is>
      </c>
      <c r="AX14" t="n">
        <v>13</v>
      </c>
    </row>
    <row r="15">
      <c r="M15" t="inlineStr">
        <is>
          <t>No - varies by person / team</t>
        </is>
      </c>
      <c r="N15" t="n">
        <v>1</v>
      </c>
      <c r="Q15" t="inlineStr">
        <is>
          <t>Other</t>
        </is>
      </c>
      <c r="AX15" t="n">
        <v>14</v>
      </c>
    </row>
    <row r="16">
      <c r="AX16" t="n">
        <v>15</v>
      </c>
    </row>
    <row r="17">
      <c r="AX17" t="n">
        <v>16</v>
      </c>
    </row>
    <row r="18">
      <c r="M18" t="inlineStr">
        <is>
          <t>Assist - AI suggests, a person does the work</t>
        </is>
      </c>
      <c r="N18" t="n">
        <v>0</v>
      </c>
      <c r="AX18" t="n">
        <v>17</v>
      </c>
    </row>
    <row r="19">
      <c r="M19" t="inlineStr">
        <is>
          <t>Human approves each AI output</t>
        </is>
      </c>
      <c r="N19" t="n">
        <v>1</v>
      </c>
      <c r="AX19" t="n">
        <v>18</v>
      </c>
    </row>
    <row r="20">
      <c r="M20" t="inlineStr">
        <is>
          <t>Fully automated - no human review</t>
        </is>
      </c>
      <c r="N20" t="n">
        <v>2</v>
      </c>
      <c r="AX20" t="n">
        <v>19</v>
      </c>
    </row>
    <row r="21">
      <c r="AX21" t="n">
        <v>20</v>
      </c>
    </row>
    <row r="22">
      <c r="AX22" t="n">
        <v>21</v>
      </c>
    </row>
    <row r="23">
      <c r="M23" t="inlineStr">
        <is>
          <t>Yes</t>
        </is>
      </c>
      <c r="AX23" t="n">
        <v>22</v>
      </c>
    </row>
    <row r="24">
      <c r="M24" t="inlineStr">
        <is>
          <t>No</t>
        </is>
      </c>
      <c r="AX24" t="n">
        <v>23</v>
      </c>
    </row>
    <row r="25">
      <c r="AX25" t="n">
        <v>24</v>
      </c>
    </row>
    <row r="26">
      <c r="AX26" t="n">
        <v>25</v>
      </c>
    </row>
    <row r="27">
      <c r="AX27" t="n">
        <v>26</v>
      </c>
    </row>
    <row r="28">
      <c r="AX28" t="n">
        <v>27</v>
      </c>
    </row>
    <row r="29">
      <c r="AX29" t="n">
        <v>28</v>
      </c>
    </row>
    <row r="30">
      <c r="AX30" t="n">
        <v>29</v>
      </c>
    </row>
    <row r="31">
      <c r="AX31" t="n">
        <v>30</v>
      </c>
    </row>
    <row r="32">
      <c r="AX32" t="n">
        <v>31</v>
      </c>
    </row>
    <row r="33">
      <c r="AX33" t="n">
        <v>32</v>
      </c>
    </row>
    <row r="34">
      <c r="AX34" t="n">
        <v>33</v>
      </c>
    </row>
    <row r="35">
      <c r="AX35" t="n">
        <v>34</v>
      </c>
    </row>
    <row r="36">
      <c r="AX36" t="n">
        <v>35</v>
      </c>
    </row>
    <row r="37">
      <c r="AX37" t="n">
        <v>36</v>
      </c>
    </row>
    <row r="38">
      <c r="AX38" t="n">
        <v>37</v>
      </c>
    </row>
    <row r="39">
      <c r="AX39" t="n">
        <v>38</v>
      </c>
    </row>
    <row r="40">
      <c r="AX40" t="n">
        <v>39</v>
      </c>
    </row>
    <row r="41">
      <c r="AX41" t="n">
        <v>40</v>
      </c>
    </row>
    <row r="42">
      <c r="AX42" t="n">
        <v>41</v>
      </c>
    </row>
    <row r="43">
      <c r="AX43" t="n">
        <v>42</v>
      </c>
    </row>
    <row r="44">
      <c r="AX44" t="n">
        <v>43</v>
      </c>
    </row>
    <row r="45">
      <c r="AX45" t="n">
        <v>44</v>
      </c>
    </row>
    <row r="46">
      <c r="AX46" t="n">
        <v>45</v>
      </c>
    </row>
    <row r="47">
      <c r="AX47" t="n">
        <v>46</v>
      </c>
    </row>
    <row r="48">
      <c r="AX48" t="n">
        <v>47</v>
      </c>
    </row>
    <row r="49">
      <c r="AX49" t="n">
        <v>48</v>
      </c>
    </row>
    <row r="50">
      <c r="AX50" t="n">
        <v>49</v>
      </c>
    </row>
    <row r="51">
      <c r="AX51" t="n">
        <v>50</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2026-10-03T09:08:22Z</dcterms:created>
  <dcterms:modified xmlns:dcterms="http://purl.org/dc/terms/" xmlns:xsi="http://www.w3.org/2001/XMLSchema-instance" xsi:type="dcterms:W3CDTF">2026-10-03T09:08:22Z</dcterms:modified>
</cp:coreProperties>
</file>