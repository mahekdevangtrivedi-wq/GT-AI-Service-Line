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c r="D4" s="8" t="n"/>
    </row>
    <row r="5">
      <c r="A5" s="6" t="inlineStr"/>
      <c r="B5" s="4" t="inlineStr">
        <is>
          <t>Sector (filters the use-case library)</t>
        </is>
      </c>
      <c r="C5" s="7" t="inlineStr"/>
      <c r="D5" s="8" t="n"/>
    </row>
    <row r="6">
      <c r="A6" s="6" t="inlineStr"/>
      <c r="B6" s="4" t="inlineStr">
        <is>
          <t>Scope of discovery</t>
        </is>
      </c>
      <c r="C6" s="7" t="inlineStr"/>
      <c r="D6" s="8" t="n"/>
    </row>
    <row r="7">
      <c r="A7" s="6" t="inlineStr"/>
      <c r="B7" s="4" t="inlineStr">
        <is>
          <t>Assessment date</t>
        </is>
      </c>
      <c r="C7" s="7" t="inlineStr"/>
      <c r="D7" s="8" t="n"/>
    </row>
    <row r="8">
      <c r="A8" s="6" t="inlineStr"/>
      <c r="B8" s="4" t="inlineStr">
        <is>
          <t>Facilitated by</t>
        </is>
      </c>
      <c r="C8" s="7" t="inlineStr"/>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c r="D12" s="13" t="inlineStr">
        <is>
          <t>Think of the 3-5 processes that generate most of your revenue or workload.</t>
        </is>
      </c>
      <c r="E12" s="14" t="str">
        <f>IFERROR(MATCH(C12,Lists!$S$2:$S$5,0),"")</f>
        <v/>
      </c>
    </row>
    <row r="13" ht="42" customHeight="1">
      <c r="A13" s="11" t="inlineStr">
        <is>
          <t>D2</t>
        </is>
      </c>
      <c r="B13" s="5" t="inlineStr">
        <is>
          <t>How much digital history do you keep for your core activities (transactions, customers, cases, operations)?</t>
        </is>
      </c>
      <c r="C13" s="12" t="inlineStr"/>
      <c r="D13" s="13" t="inlineStr">
        <is>
          <t>AI that predicts, scores or detects patterns learns from history.</t>
        </is>
      </c>
      <c r="E13" s="14" t="str">
        <f>IFERROR(MATCH(C13,Lists!$T$2:$T$5,0),"")</f>
        <v/>
      </c>
    </row>
    <row r="14" ht="42" customHeight="1">
      <c r="A14" s="11" t="inlineStr">
        <is>
          <t>D3</t>
        </is>
      </c>
      <c r="B14" s="5" t="inlineStr">
        <is>
          <t>How reliable is that data, and does it have owners?</t>
        </is>
      </c>
      <c r="C14" s="12" t="inlineStr"/>
      <c r="D14" s="13" t="inlineStr">
        <is>
          <t>Data quality and ownership - ISO/IEC 5259 / ISO/IEC 42001 Annex A.7.</t>
        </is>
      </c>
      <c r="E14" s="14" t="str">
        <f>IFERROR(MATCH(C14,Lists!$U$2:$U$5,0),"")</f>
        <v/>
      </c>
    </row>
    <row r="15" ht="42" customHeight="1">
      <c r="A15" s="11" t="inlineStr">
        <is>
          <t>D4</t>
        </is>
      </c>
      <c r="B15" s="5" t="inlineStr">
        <is>
          <t>Where do your documents and knowledge live (contracts, policies, reports, emails, manuals)?</t>
        </is>
      </c>
      <c r="C15" s="12" t="inlineStr"/>
      <c r="D15" s="13" t="inlineStr">
        <is>
          <t>Generative AI and knowledge assistants work on documents rather than tables.</t>
        </is>
      </c>
      <c r="E15" s="14" t="str">
        <f>IFERROR(MATCH(C15,Lists!$V$2:$V$5,0),"")</f>
        <v/>
      </c>
    </row>
    <row r="16" ht="42" customHeight="1">
      <c r="A16" s="11" t="inlineStr">
        <is>
          <t>D5</t>
        </is>
      </c>
      <c r="B16" s="5" t="inlineStr">
        <is>
          <t>Can data move between your systems?</t>
        </is>
      </c>
      <c r="C16" s="12" t="inlineStr"/>
      <c r="D16" s="13" t="inlineStr">
        <is>
          <t>Integration determines whether AI outputs can be used inside the workflow.</t>
        </is>
      </c>
      <c r="E16" s="14" t="str">
        <f>IFERROR(MATCH(C16,Lists!$W$2:$W$5,0),"")</f>
        <v/>
      </c>
    </row>
    <row r="17" ht="42" customHeight="1">
      <c r="A17" s="11" t="inlineStr">
        <is>
          <t>D6</t>
        </is>
      </c>
      <c r="B17" s="5" t="inlineStr">
        <is>
          <t>Do you record outcomes against your data (e.g., fraud confirmed, claim paid, customer churned, invoice disputed)?</t>
        </is>
      </c>
      <c r="C17" s="12" t="inlineStr"/>
      <c r="D17" s="13" t="inlineStr">
        <is>
          <t>Recorded outcomes ('labels') are what supervised machine learning needs.</t>
        </is>
      </c>
      <c r="E17" s="14" t="str">
        <f>IFERROR(MATCH(C17,Lists!$X$2:$X$5,0),"")</f>
        <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c r="D19" s="13" t="inlineStr">
        <is>
          <t>Scale drives the size of the prize and what can be sustained.</t>
        </is>
      </c>
      <c r="E19" s="14" t="str">
        <f>IFERROR(MATCH(C19,Lists!$Y$2:$Y$5,0),"")</f>
        <v/>
      </c>
    </row>
    <row r="20" ht="42" customHeight="1">
      <c r="A20" s="11" t="inlineStr">
        <is>
          <t>S2</t>
        </is>
      </c>
      <c r="B20" s="5" t="inlineStr">
        <is>
          <t>How many repetitive transactions / cases does your largest process handle per month?</t>
        </is>
      </c>
      <c r="C20" s="12" t="inlineStr"/>
      <c r="D20" s="13" t="inlineStr">
        <is>
          <t>e.g., invoices, applications, claims, customer requests, bookings.</t>
        </is>
      </c>
      <c r="E20" s="14" t="str">
        <f>IFERROR(MATCH(C20,Lists!$Z$2:$Z$5,0),"")</f>
        <v/>
      </c>
    </row>
    <row r="21" ht="42" customHeight="1">
      <c r="A21" s="11" t="inlineStr">
        <is>
          <t>S3</t>
        </is>
      </c>
      <c r="B21" s="5" t="inlineStr">
        <is>
          <t>What technology capability do you have in-house?</t>
        </is>
      </c>
      <c r="C21" s="12" t="inlineStr"/>
      <c r="D21" s="13" t="inlineStr">
        <is>
          <t>Who would configure, integrate and run a solution?</t>
        </is>
      </c>
      <c r="E21" s="14" t="str">
        <f>IFERROR(MATCH(C21,Lists!$AA$2:$AA$5,0),"")</f>
        <v/>
      </c>
    </row>
    <row r="22" ht="42" customHeight="1">
      <c r="A22" s="11" t="inlineStr">
        <is>
          <t>S4</t>
        </is>
      </c>
      <c r="B22" s="5" t="inlineStr">
        <is>
          <t>What budget could be made available for digital / AI initiatives in the next 12 months?</t>
        </is>
      </c>
      <c r="C22" s="12" t="inlineStr"/>
      <c r="D22" s="13" t="inlineStr">
        <is>
          <t>Indicative only - used to size the type of solution that is realistic.</t>
        </is>
      </c>
      <c r="E22" s="14" t="str">
        <f>IFERROR(MATCH(C22,Lists!$AB$2:$AB$5,0),"")</f>
        <v/>
      </c>
    </row>
    <row r="23" ht="42" customHeight="1">
      <c r="A23" s="11" t="inlineStr">
        <is>
          <t>S5</t>
        </is>
      </c>
      <c r="B23" s="5" t="inlineStr">
        <is>
          <t>How many customer / citizen interactions do you handle through digital channels?</t>
        </is>
      </c>
      <c r="C23" s="12" t="inlineStr"/>
      <c r="D23" s="13" t="inlineStr">
        <is>
          <t>Web, app, email, WhatsApp, call centre.</t>
        </is>
      </c>
      <c r="E23" s="14" t="str">
        <f>IFERROR(MATCH(C23,Lists!$AC$2:$AC$5,0),"")</f>
        <v/>
      </c>
    </row>
    <row r="24" ht="42" customHeight="1">
      <c r="A24" s="11" t="inlineStr">
        <is>
          <t>S6</t>
        </is>
      </c>
      <c r="B24" s="5" t="inlineStr">
        <is>
          <t>What capacity do you have to run change projects alongside day-to-day work?</t>
        </is>
      </c>
      <c r="C24" s="12" t="inlineStr"/>
      <c r="D24" s="13" t="inlineStr">
        <is>
          <t>Leadership bandwidth, project management, change management.</t>
        </is>
      </c>
      <c r="E24" s="14" t="str">
        <f>IFERROR(MATCH(C24,Lists!$AD$2:$AD$5,0),"")</f>
        <v/>
      </c>
    </row>
    <row r="26" ht="22" customHeight="1">
      <c r="A26" s="3" t="inlineStr">
        <is>
          <t>RESULT - AI POSITION</t>
        </is>
      </c>
    </row>
    <row r="27" ht="20" customHeight="1">
      <c r="B27" s="4" t="inlineStr">
        <is>
          <t>Answered</t>
        </is>
      </c>
      <c r="C27" s="5" t="str">
        <f>COUNT(E12,E13,E14,E15,E16,E17)+COUNT(E19,E20,E21,E22,E23,E24)&amp;" of 12"</f>
        <v>0 of 12</v>
      </c>
      <c r="D27" s="15" t="n"/>
      <c r="E27" s="15" t="n"/>
    </row>
    <row r="28" ht="20" customHeight="1">
      <c r="B28" s="4" t="inlineStr">
        <is>
          <t>Data Position score</t>
        </is>
      </c>
      <c r="C28" s="16" t="str">
        <f>IF(COUNT(E12,E13,E14,E15,E16,E17)=6,(N(E12)+N(E13)+N(E14)+N(E15)+N(E16)+N(E17)-6)/18,"")</f>
        <v/>
      </c>
      <c r="D28" s="15" t="n"/>
      <c r="E28" s="15" t="n"/>
    </row>
    <row r="29" ht="20" customHeight="1">
      <c r="B29" s="4" t="inlineStr">
        <is>
          <t>Scale &amp; Capacity score</t>
        </is>
      </c>
      <c r="C29" s="16" t="str">
        <f>IF(COUNT(E19,E20,E21,E22,E23,E24)=6,(N(E19)+N(E20)+N(E21)+N(E22)+N(E23)+N(E24)-6)/18,"")</f>
        <v/>
      </c>
      <c r="D29" s="15" t="n"/>
      <c r="E29" s="15" t="n"/>
    </row>
    <row r="30" ht="20" customHeight="1">
      <c r="B30" s="4" t="inlineStr">
        <is>
          <t>Archetype</t>
        </is>
      </c>
      <c r="C30" s="5" t="str">
        <f>IF(OR(C28="",C29=""),"",IF(C28&lt;0.5,IF(C29&lt;0.5,1,2),IF(C29&lt;0.5,3,4)))</f>
        <v/>
      </c>
      <c r="D30" s="15" t="n"/>
      <c r="E30" s="15" t="n"/>
    </row>
    <row r="31" ht="20" customHeight="1">
      <c r="B31" s="4" t="inlineStr">
        <is>
          <t>AI position</t>
        </is>
      </c>
      <c r="C31" s="17" t="str">
        <f>IF(C30="","Complete all 12 questions",INDEX(Lists!$AH$2:$AH$5,C30))</f>
        <v>Complete all 12 questions</v>
      </c>
      <c r="D31" s="18" t="n"/>
      <c r="E31" s="18" t="n"/>
    </row>
    <row r="32" ht="20" customHeight="1">
      <c r="B32" s="4" t="inlineStr">
        <is>
          <t>Solution ceiling today</t>
        </is>
      </c>
      <c r="C32" s="19" t="str">
        <f>IF(C30="","",INDEX(Lists!$AI$2:$AI$5,C30)&amp;" - "&amp;INDEX(Lists!$AM$2:$AM$6,INDEX(Lists!$AI$2:$AI$5,C30)))</f>
        <v/>
      </c>
      <c r="D32" s="18" t="n"/>
      <c r="E32" s="18" t="n"/>
    </row>
    <row r="33" ht="44" customHeight="1">
      <c r="B33" s="4" t="inlineStr">
        <is>
          <t>What it means</t>
        </is>
      </c>
      <c r="C33" s="5" t="str">
        <f>IF(C30="","",INDEX(Lists!$AJ$2:$AJ$5,C30))</f>
        <v/>
      </c>
      <c r="D33" s="15" t="n"/>
      <c r="E33" s="15" t="n"/>
    </row>
    <row r="34" ht="58" customHeight="1">
      <c r="B34" s="4" t="inlineStr">
        <is>
          <t>Detail</t>
        </is>
      </c>
      <c r="C34" s="5" t="str">
        <f>IF(C30="","",INDEX(Lists!$AK$2:$AK$5,C30))</f>
        <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1</v>
      </c>
      <c r="O65">
        <f>IF(N65,COUNTIF($N$5:N65,TRUE),"")</f>
        <v>61</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1</v>
      </c>
      <c r="O66">
        <f>IF(N66,COUNTIF($N$5:N66,TRUE),"")</f>
        <v>62</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1</v>
      </c>
      <c r="O67">
        <f>IF(N67,COUNTIF($N$5:N67,TRUE),"")</f>
        <v>63</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1</v>
      </c>
      <c r="O68">
        <f>IF(N68,COUNTIF($N$5:N68,TRUE),"")</f>
        <v>64</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1</v>
      </c>
      <c r="O69">
        <f>IF(N69,COUNTIF($N$5:N69,TRUE),"")</f>
        <v>65</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1</v>
      </c>
      <c r="O70">
        <f>IF(N70,COUNTIF($N$5:N70,TRUE),"")</f>
        <v>66</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1</v>
      </c>
      <c r="O71">
        <f>IF(N71,COUNTIF($N$5:N71,TRUE),"")</f>
        <v>67</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1</v>
      </c>
      <c r="O72">
        <f>IF(N72,COUNTIF($N$5:N72,TRUE),"")</f>
        <v>68</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1</v>
      </c>
      <c r="O73">
        <f>IF(N73,COUNTIF($N$5:N73,TRUE),"")</f>
        <v>69</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1</v>
      </c>
      <c r="O74">
        <f>IF(N74,COUNTIF($N$5:N74,TRUE),"")</f>
        <v>70</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1</v>
      </c>
      <c r="O75">
        <f>IF(N75,COUNTIF($N$5:N75,TRUE),"")</f>
        <v>71</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1</v>
      </c>
      <c r="O76">
        <f>IF(N76,COUNTIF($N$5:N76,TRUE),"")</f>
        <v>72</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1</v>
      </c>
      <c r="O77">
        <f>IF(N77,COUNTIF($N$5:N77,TRUE),"")</f>
        <v>73</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1</v>
      </c>
      <c r="O78">
        <f>IF(N78,COUNTIF($N$5:N78,TRUE),"")</f>
        <v>74</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1</v>
      </c>
      <c r="O79">
        <f>IF(N79,COUNTIF($N$5:N79,TRUE),"")</f>
        <v>75</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1</v>
      </c>
      <c r="O80">
        <f>IF(N80,COUNTIF($N$5:N80,TRUE),"")</f>
        <v>76</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1</v>
      </c>
      <c r="O81">
        <f>IF(N81,COUNTIF($N$5:N81,TRUE),"")</f>
        <v>77</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1</v>
      </c>
      <c r="O82">
        <f>IF(N82,COUNTIF($N$5:N82,TRUE),"")</f>
        <v>78</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1</v>
      </c>
      <c r="O83">
        <f>IF(N83,COUNTIF($N$5:N83,TRUE),"")</f>
        <v>79</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1</v>
      </c>
      <c r="O84">
        <f>IF(N84,COUNTIF($N$5:N84,TRUE),"")</f>
        <v>80</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1</v>
      </c>
      <c r="O85">
        <f>IF(N85,COUNTIF($N$5:N85,TRUE),"")</f>
        <v>81</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1</v>
      </c>
      <c r="O86">
        <f>IF(N86,COUNTIF($N$5:N86,TRUE),"")</f>
        <v>82</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1</v>
      </c>
      <c r="O87">
        <f>IF(N87,COUNTIF($N$5:N87,TRUE),"")</f>
        <v>83</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1</v>
      </c>
      <c r="O88">
        <f>IF(N88,COUNTIF($N$5:N88,TRUE),"")</f>
        <v>84</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1</v>
      </c>
      <c r="O89">
        <f>IF(N89,COUNTIF($N$5:N89,TRUE),"")</f>
        <v>85</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1</v>
      </c>
      <c r="O90">
        <f>IF(N90,COUNTIF($N$5:N90,TRUE),"")</f>
        <v>86</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1</v>
      </c>
      <c r="O91">
        <f>IF(N91,COUNTIF($N$5:N91,TRUE),"")</f>
        <v>87</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1</v>
      </c>
      <c r="O92">
        <f>IF(N92,COUNTIF($N$5:N92,TRUE),"")</f>
        <v>88</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1</v>
      </c>
      <c r="O93">
        <f>IF(N93,COUNTIF($N$5:N93,TRUE),"")</f>
        <v>89</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1</v>
      </c>
      <c r="O94">
        <f>IF(N94,COUNTIF($N$5:N94,TRUE),"")</f>
        <v>90</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1</v>
      </c>
      <c r="O95">
        <f>IF(N95,COUNTIF($N$5:N95,TRUE),"")</f>
        <v>91</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1</v>
      </c>
      <c r="O96">
        <f>IF(N96,COUNTIF($N$5:N96,TRUE),"")</f>
        <v>92</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1</v>
      </c>
      <c r="O97">
        <f>IF(N97,COUNTIF($N$5:N97,TRUE),"")</f>
        <v>93</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1</v>
      </c>
      <c r="O98">
        <f>IF(N98,COUNTIF($N$5:N98,TRUE),"")</f>
        <v>94</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1</v>
      </c>
      <c r="O99">
        <f>IF(N99,COUNTIF($N$5:N99,TRUE),"")</f>
        <v>95</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1</v>
      </c>
      <c r="O100">
        <f>IF(N100,COUNTIF($N$5:N100,TRUE),"")</f>
        <v>96</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1</v>
      </c>
      <c r="O101">
        <f>IF(N101,COUNTIF($N$5:N101,TRUE),"")</f>
        <v>97</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1</v>
      </c>
      <c r="O102">
        <f>IF(N102,COUNTIF($N$5:N102,TRUE),"")</f>
        <v>98</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1</v>
      </c>
      <c r="O103">
        <f>IF(N103,COUNTIF($N$5:N103,TRUE),"")</f>
        <v>99</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1</v>
      </c>
      <c r="O104">
        <f>IF(N104,COUNTIF($N$5:N104,TRUE),"")</f>
        <v>100</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1</v>
      </c>
      <c r="O105">
        <f>IF(N105,COUNTIF($N$5:N105,TRUE),"")</f>
        <v>101</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1</v>
      </c>
      <c r="O106">
        <f>IF(N106,COUNTIF($N$5:N106,TRUE),"")</f>
        <v>102</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1</v>
      </c>
      <c r="O107">
        <f>IF(N107,COUNTIF($N$5:N107,TRUE),"")</f>
        <v>103</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1</v>
      </c>
      <c r="O108">
        <f>IF(N108,COUNTIF($N$5:N108,TRUE),"")</f>
        <v>104</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1</v>
      </c>
      <c r="O109">
        <f>IF(N109,COUNTIF($N$5:N109,TRUE),"")</f>
        <v>105</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1</v>
      </c>
      <c r="O110">
        <f>IF(N110,COUNTIF($N$5:N110,TRUE),"")</f>
        <v>106</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1</v>
      </c>
      <c r="O111">
        <f>IF(N111,COUNTIF($N$5:N111,TRUE),"")</f>
        <v>107</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1</v>
      </c>
      <c r="O112">
        <f>IF(N112,COUNTIF($N$5:N112,TRUE),"")</f>
        <v>108</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1</v>
      </c>
      <c r="O113">
        <f>IF(N113,COUNTIF($N$5:N113,TRUE),"")</f>
        <v>109</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1</v>
      </c>
      <c r="O114">
        <f>IF(N114,COUNTIF($N$5:N114,TRUE),"")</f>
        <v>110</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1</v>
      </c>
      <c r="O115">
        <f>IF(N115,COUNTIF($N$5:N115,TRUE),"")</f>
        <v>111</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1</v>
      </c>
      <c r="O116">
        <f>IF(N116,COUNTIF($N$5:N116,TRUE),"")</f>
        <v>112</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1</v>
      </c>
      <c r="O117">
        <f>IF(N117,COUNTIF($N$5:N117,TRUE),"")</f>
        <v>113</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1</v>
      </c>
      <c r="O118">
        <f>IF(N118,COUNTIF($N$5:N118,TRUE),"")</f>
        <v>114</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1</v>
      </c>
      <c r="O119">
        <f>IF(N119,COUNTIF($N$5:N119,TRUE),"")</f>
        <v>115</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1</v>
      </c>
      <c r="O120">
        <f>IF(N120,COUNTIF($N$5:N120,TRUE),"")</f>
        <v>116</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1</v>
      </c>
      <c r="O121">
        <f>IF(N121,COUNTIF($N$5:N121,TRUE),"")</f>
        <v>117</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1</v>
      </c>
      <c r="O122">
        <f>IF(N122,COUNTIF($N$5:N122,TRUE),"")</f>
        <v>118</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1</v>
      </c>
      <c r="O123">
        <f>IF(N123,COUNTIF($N$5:N123,TRUE),"")</f>
        <v>119</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1</v>
      </c>
      <c r="O124">
        <f>IF(N124,COUNTIF($N$5:N124,TRUE),"")</f>
        <v>120</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1</v>
      </c>
      <c r="O125">
        <f>IF(N125,COUNTIF($N$5:N125,TRUE),"")</f>
        <v>121</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1</v>
      </c>
      <c r="O126">
        <f>IF(N126,COUNTIF($N$5:N126,TRUE),"")</f>
        <v>122</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1</v>
      </c>
      <c r="O127">
        <f>IF(N127,COUNTIF($N$5:N127,TRUE),"")</f>
        <v>123</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1</v>
      </c>
      <c r="O128">
        <f>IF(N128,COUNTIF($N$5:N128,TRUE),"")</f>
        <v>124</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1</v>
      </c>
      <c r="O129">
        <f>IF(N129,COUNTIF($N$5:N129,TRUE),"")</f>
        <v>125</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1</v>
      </c>
      <c r="O130">
        <f>IF(N130,COUNTIF($N$5:N130,TRUE),"")</f>
        <v>126</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1</v>
      </c>
      <c r="O131">
        <f>IF(N131,COUNTIF($N$5:N131,TRUE),"")</f>
        <v>127</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1</v>
      </c>
      <c r="O132">
        <f>IF(N132,COUNTIF($N$5:N132,TRUE),"")</f>
        <v>128</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1</v>
      </c>
      <c r="O133">
        <f>IF(N133,COUNTIF($N$5:N133,TRUE),"")</f>
        <v>129</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1</v>
      </c>
      <c r="O134">
        <f>IF(N134,COUNTIF($N$5:N134,TRUE),"")</f>
        <v>130</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1</v>
      </c>
      <c r="O135">
        <f>IF(N135,COUNTIF($N$5:N135,TRUE),"")</f>
        <v>131</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1</v>
      </c>
      <c r="O136">
        <f>IF(N136,COUNTIF($N$5:N136,TRUE),"")</f>
        <v>132</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1</v>
      </c>
      <c r="O137">
        <f>IF(N137,COUNTIF($N$5:N137,TRUE),"")</f>
        <v>133</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1</v>
      </c>
      <c r="O138">
        <f>IF(N138,COUNTIF($N$5:N138,TRUE),"")</f>
        <v>134</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1</v>
      </c>
      <c r="O139">
        <f>IF(N139,COUNTIF($N$5:N139,TRUE),"")</f>
        <v>135</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1</v>
      </c>
      <c r="O140">
        <f>IF(N140,COUNTIF($N$5:N140,TRUE),"")</f>
        <v>136</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1</v>
      </c>
      <c r="O141">
        <f>IF(N141,COUNTIF($N$5:N141,TRUE),"")</f>
        <v>137</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1</v>
      </c>
      <c r="O142">
        <f>IF(N142,COUNTIF($N$5:N142,TRUE),"")</f>
        <v>138</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1</v>
      </c>
      <c r="O143">
        <f>IF(N143,COUNTIF($N$5:N143,TRUE),"")</f>
        <v>139</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1</v>
      </c>
      <c r="O144">
        <f>IF(N144,COUNTIF($N$5:N144,TRUE),"")</f>
        <v>140</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1</v>
      </c>
      <c r="O145">
        <f>IF(N145,COUNTIF($N$5:N145,TRUE),"")</f>
        <v>141</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1</v>
      </c>
      <c r="O146">
        <f>IF(N146,COUNTIF($N$5:N146,TRUE),"")</f>
        <v>142</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1</v>
      </c>
      <c r="O147">
        <f>IF(N147,COUNTIF($N$5:N147,TRUE),"")</f>
        <v>143</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1</v>
      </c>
      <c r="O148">
        <f>IF(N148,COUNTIF($N$5:N148,TRUE),"")</f>
        <v>144</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1</v>
      </c>
      <c r="O149">
        <f>IF(N149,COUNTIF($N$5:N149,TRUE),"")</f>
        <v>145</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1</v>
      </c>
      <c r="O150">
        <f>IF(N150,COUNTIF($N$5:N150,TRUE),"")</f>
        <v>146</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1</v>
      </c>
      <c r="O151">
        <f>IF(N151,COUNTIF($N$5:N151,TRUE),"")</f>
        <v>147</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1</v>
      </c>
      <c r="O152">
        <f>IF(N152,COUNTIF($N$5:N152,TRUE),"")</f>
        <v>148</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1</v>
      </c>
      <c r="O153">
        <f>IF(N153,COUNTIF($N$5:N153,TRUE),"")</f>
        <v>149</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1</v>
      </c>
      <c r="O154">
        <f>IF(N154,COUNTIF($N$5:N154,TRUE),"")</f>
        <v>150</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1</v>
      </c>
      <c r="O155">
        <f>IF(N155,COUNTIF($N$5:N155,TRUE),"")</f>
        <v>151</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1</v>
      </c>
      <c r="O156">
        <f>IF(N156,COUNTIF($N$5:N156,TRUE),"")</f>
        <v>152</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1</v>
      </c>
      <c r="O157">
        <f>IF(N157,COUNTIF($N$5:N157,TRUE),"")</f>
        <v>153</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1</v>
      </c>
      <c r="O158">
        <f>IF(N158,COUNTIF($N$5:N158,TRUE),"")</f>
        <v>154</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1</v>
      </c>
      <c r="O159">
        <f>IF(N159,COUNTIF($N$5:N159,TRUE),"")</f>
        <v>155</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1</v>
      </c>
      <c r="O160">
        <f>IF(N160,COUNTIF($N$5:N160,TRUE),"")</f>
        <v>156</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1</v>
      </c>
      <c r="O161">
        <f>IF(N161,COUNTIF($N$5:N161,TRUE),"")</f>
        <v>157</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1</v>
      </c>
      <c r="O162">
        <f>IF(N162,COUNTIF($N$5:N162,TRUE),"")</f>
        <v>158</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1</v>
      </c>
      <c r="O163">
        <f>IF(N163,COUNTIF($N$5:N163,TRUE),"")</f>
        <v>159</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1</v>
      </c>
      <c r="O164">
        <f>IF(N164,COUNTIF($N$5:N164,TRUE),"")</f>
        <v>160</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1</v>
      </c>
      <c r="O165">
        <f>IF(N165,COUNTIF($N$5:N165,TRUE),"")</f>
        <v>161</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1</v>
      </c>
      <c r="O166">
        <f>IF(N166,COUNTIF($N$5:N166,TRUE),"")</f>
        <v>162</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1</v>
      </c>
      <c r="O167">
        <f>IF(N167,COUNTIF($N$5:N167,TRUE),"")</f>
        <v>163</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1</v>
      </c>
      <c r="O168">
        <f>IF(N168,COUNTIF($N$5:N168,TRUE),"")</f>
        <v>164</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1</v>
      </c>
      <c r="O169">
        <f>IF(N169,COUNTIF($N$5:N169,TRUE),"")</f>
        <v>165</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1</v>
      </c>
      <c r="O170">
        <f>IF(N170,COUNTIF($N$5:N170,TRUE),"")</f>
        <v>166</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1</v>
      </c>
      <c r="O171">
        <f>IF(N171,COUNTIF($N$5:N171,TRUE),"")</f>
        <v>167</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1</v>
      </c>
      <c r="O172">
        <f>IF(N172,COUNTIF($N$5:N172,TRUE),"")</f>
        <v>168</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1</v>
      </c>
      <c r="O173">
        <f>IF(N173,COUNTIF($N$5:N173,TRUE),"")</f>
        <v>169</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1</v>
      </c>
      <c r="O174">
        <f>IF(N174,COUNTIF($N$5:N174,TRUE),"")</f>
        <v>170</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1</v>
      </c>
      <c r="O175">
        <f>IF(N175,COUNTIF($N$5:N175,TRUE),"")</f>
        <v>171</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1</v>
      </c>
      <c r="O176">
        <f>IF(N176,COUNTIF($N$5:N176,TRUE),"")</f>
        <v>172</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1</v>
      </c>
      <c r="O177">
        <f>IF(N177,COUNTIF($N$5:N177,TRUE),"")</f>
        <v>173</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1</v>
      </c>
      <c r="O178">
        <f>IF(N178,COUNTIF($N$5:N178,TRUE),"")</f>
        <v>174</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1</v>
      </c>
      <c r="O179">
        <f>IF(N179,COUNTIF($N$5:N179,TRUE),"")</f>
        <v>175</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1</v>
      </c>
      <c r="O180">
        <f>IF(N180,COUNTIF($N$5:N180,TRUE),"")</f>
        <v>176</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1</v>
      </c>
      <c r="O181">
        <f>IF(N181,COUNTIF($N$5:N181,TRUE),"")</f>
        <v>177</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1</v>
      </c>
      <c r="O182">
        <f>IF(N182,COUNTIF($N$5:N182,TRUE),"")</f>
        <v>178</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1</v>
      </c>
      <c r="O183">
        <f>IF(N183,COUNTIF($N$5:N183,TRUE),"")</f>
        <v>179</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1</v>
      </c>
      <c r="O184">
        <f>IF(N184,COUNTIF($N$5:N184,TRUE),"")</f>
        <v>180</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1</v>
      </c>
      <c r="O185">
        <f>IF(N185,COUNTIF($N$5:N185,TRUE),"")</f>
        <v>181</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1</v>
      </c>
      <c r="O186">
        <f>IF(N186,COUNTIF($N$5:N186,TRUE),"")</f>
        <v>182</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1</v>
      </c>
      <c r="O187">
        <f>IF(N187,COUNTIF($N$5:N187,TRUE),"")</f>
        <v>183</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1</v>
      </c>
      <c r="O188">
        <f>IF(N188,COUNTIF($N$5:N188,TRUE),"")</f>
        <v>184</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1</v>
      </c>
      <c r="O189">
        <f>IF(N189,COUNTIF($N$5:N189,TRUE),"")</f>
        <v>185</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1</v>
      </c>
      <c r="O190">
        <f>IF(N190,COUNTIF($N$5:N190,TRUE),"")</f>
        <v>186</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1</v>
      </c>
      <c r="O191">
        <f>IF(N191,COUNTIF($N$5:N191,TRUE),"")</f>
        <v>187</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1</v>
      </c>
      <c r="O192">
        <f>IF(N192,COUNTIF($N$5:N192,TRUE),"")</f>
        <v>188</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1</v>
      </c>
      <c r="O193">
        <f>IF(N193,COUNTIF($N$5:N193,TRUE),"")</f>
        <v>189</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1</v>
      </c>
      <c r="O194">
        <f>IF(N194,COUNTIF($N$5:N194,TRUE),"")</f>
        <v>190</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1</v>
      </c>
      <c r="O195">
        <f>IF(N195,COUNTIF($N$5:N195,TRUE),"")</f>
        <v>191</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1</v>
      </c>
      <c r="O196">
        <f>IF(N196,COUNTIF($N$5:N196,TRUE),"")</f>
        <v>192</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1</v>
      </c>
      <c r="O197">
        <f>IF(N197,COUNTIF($N$5:N197,TRUE),"")</f>
        <v>193</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1</v>
      </c>
      <c r="O198">
        <f>IF(N198,COUNTIF($N$5:N198,TRUE),"")</f>
        <v>194</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1</v>
      </c>
      <c r="O199">
        <f>IF(N199,COUNTIF($N$5:N199,TRUE),"")</f>
        <v>195</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1</v>
      </c>
      <c r="O200">
        <f>IF(N200,COUNTIF($N$5:N200,TRUE),"")</f>
        <v>196</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1</v>
      </c>
      <c r="O201">
        <f>IF(N201,COUNTIF($N$5:N201,TRUE),"")</f>
        <v>197</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1</v>
      </c>
      <c r="O202">
        <f>IF(N202,COUNTIF($N$5:N202,TRUE),"")</f>
        <v>198</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1</v>
      </c>
      <c r="O203">
        <f>IF(N203,COUNTIF($N$5:N203,TRUE),"")</f>
        <v>199</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1</v>
      </c>
      <c r="O204">
        <f>IF(N204,COUNTIF($N$5:N204,TRUE),"")</f>
        <v>200</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1</v>
      </c>
      <c r="O205">
        <f>IF(N205,COUNTIF($N$5:N205,TRUE),"")</f>
        <v>201</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1</v>
      </c>
      <c r="O206">
        <f>IF(N206,COUNTIF($N$5:N206,TRUE),"")</f>
        <v>202</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1</v>
      </c>
      <c r="O207">
        <f>IF(N207,COUNTIF($N$5:N207,TRUE),"")</f>
        <v>203</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1</v>
      </c>
      <c r="O208">
        <f>IF(N208,COUNTIF($N$5:N208,TRUE),"")</f>
        <v>204</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1</v>
      </c>
      <c r="O209">
        <f>IF(N209,COUNTIF($N$5:N209,TRUE),"")</f>
        <v>205</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1</v>
      </c>
      <c r="O210">
        <f>IF(N210,COUNTIF($N$5:N210,TRUE),"")</f>
        <v>206</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1</v>
      </c>
      <c r="O211">
        <f>IF(N211,COUNTIF($N$5:N211,TRUE),"")</f>
        <v>207</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1</v>
      </c>
      <c r="O212">
        <f>IF(N212,COUNTIF($N$5:N212,TRUE),"")</f>
        <v>208</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1</v>
      </c>
      <c r="O213">
        <f>IF(N213,COUNTIF($N$5:N213,TRUE),"")</f>
        <v>209</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1</v>
      </c>
      <c r="O214">
        <f>IF(N214,COUNTIF($N$5:N214,TRUE),"")</f>
        <v>210</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1</v>
      </c>
      <c r="O215">
        <f>IF(N215,COUNTIF($N$5:N215,TRUE),"")</f>
        <v>211</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1</v>
      </c>
      <c r="O216">
        <f>IF(N216,COUNTIF($N$5:N216,TRUE),"")</f>
        <v>212</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1</v>
      </c>
      <c r="O217">
        <f>IF(N217,COUNTIF($N$5:N217,TRUE),"")</f>
        <v>213</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1</v>
      </c>
      <c r="O218">
        <f>IF(N218,COUNTIF($N$5:N218,TRUE),"")</f>
        <v>214</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1</v>
      </c>
      <c r="O219">
        <f>IF(N219,COUNTIF($N$5:N219,TRUE),"")</f>
        <v>215</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1</v>
      </c>
      <c r="O220">
        <f>IF(N220,COUNTIF($N$5:N220,TRUE),"")</f>
        <v>216</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1</v>
      </c>
      <c r="O221">
        <f>IF(N221,COUNTIF($N$5:N221,TRUE),"")</f>
        <v>217</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1</v>
      </c>
      <c r="O222">
        <f>IF(N222,COUNTIF($N$5:N222,TRUE),"")</f>
        <v>218</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1</v>
      </c>
      <c r="O223">
        <f>IF(N223,COUNTIF($N$5:N223,TRUE),"")</f>
        <v>219</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1</v>
      </c>
      <c r="O224">
        <f>IF(N224,COUNTIF($N$5:N224,TRUE),"")</f>
        <v>220</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1</v>
      </c>
      <c r="O225">
        <f>IF(N225,COUNTIF($N$5:N225,TRUE),"")</f>
        <v>221</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1</v>
      </c>
      <c r="O226">
        <f>IF(N226,COUNTIF($N$5:N226,TRUE),"")</f>
        <v>222</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1</v>
      </c>
      <c r="O227">
        <f>IF(N227,COUNTIF($N$5:N227,TRUE),"")</f>
        <v>223</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1</v>
      </c>
      <c r="O228">
        <f>IF(N228,COUNTIF($N$5:N228,TRUE),"")</f>
        <v>224</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1</v>
      </c>
      <c r="O229">
        <f>IF(N229,COUNTIF($N$5:N229,TRUE),"")</f>
        <v>225</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1</v>
      </c>
      <c r="O230">
        <f>IF(N230,COUNTIF($N$5:N230,TRUE),"")</f>
        <v>226</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1</v>
      </c>
      <c r="O231">
        <f>IF(N231,COUNTIF($N$5:N231,TRUE),"")</f>
        <v>227</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1</v>
      </c>
      <c r="O232">
        <f>IF(N232,COUNTIF($N$5:N232,TRUE),"")</f>
        <v>228</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1</v>
      </c>
      <c r="O233">
        <f>IF(N233,COUNTIF($N$5:N233,TRUE),"")</f>
        <v>229</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1</v>
      </c>
      <c r="O234">
        <f>IF(N234,COUNTIF($N$5:N234,TRUE),"")</f>
        <v>230</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1</v>
      </c>
      <c r="O235">
        <f>IF(N235,COUNTIF($N$5:N235,TRUE),"")</f>
        <v>231</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1</v>
      </c>
      <c r="O236">
        <f>IF(N236,COUNTIF($N$5:N236,TRUE),"")</f>
        <v>232</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1</v>
      </c>
      <c r="O237">
        <f>IF(N237,COUNTIF($N$5:N237,TRUE),"")</f>
        <v>233</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1</v>
      </c>
      <c r="O238">
        <f>IF(N238,COUNTIF($N$5:N238,TRUE),"")</f>
        <v>234</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1</v>
      </c>
      <c r="O239">
        <f>IF(N239,COUNTIF($N$5:N239,TRUE),"")</f>
        <v>235</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1</v>
      </c>
      <c r="O240">
        <f>IF(N240,COUNTIF($N$5:N240,TRUE),"")</f>
        <v>236</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1</v>
      </c>
      <c r="O241">
        <f>IF(N241,COUNTIF($N$5:N241,TRUE),"")</f>
        <v>237</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1</v>
      </c>
      <c r="O242">
        <f>IF(N242,COUNTIF($N$5:N242,TRUE),"")</f>
        <v>238</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1</v>
      </c>
      <c r="O243">
        <f>IF(N243,COUNTIF($N$5:N243,TRUE),"")</f>
        <v>239</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1</v>
      </c>
      <c r="O244">
        <f>IF(N244,COUNTIF($N$5:N244,TRUE),"")</f>
        <v>240</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Complete all 12 questions</v>
      </c>
      <c r="D3" s="18" t="n"/>
      <c r="E3" s="18" t="n"/>
      <c r="F3" s="4" t="inlineStr">
        <is>
          <t>Solution ceiling level:</t>
        </is>
      </c>
      <c r="G3" s="28" t="n"/>
      <c r="H3" s="28" t="n"/>
      <c r="I3" s="29">
        <f>IF('1. AI Position'!$C$30="",5,INDEX(Lists!$AI$2:$AI$5,'1. AI Position'!$C$30))</f>
        <v>5</v>
      </c>
    </row>
    <row r="4">
      <c r="B4" s="4" t="inlineStr">
        <is>
          <t>Quadrant threshold (value and feasibility, 1-5):</t>
        </is>
      </c>
      <c r="C4" s="30" t="n">
        <v>3.25</v>
      </c>
      <c r="D4" s="31" t="str">
        <f>"Library entries offered: "&amp;COUNTIF(Lists!$BA$2:$BA$241,"?*")</f>
        <v>Library entries offered: 240</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n"/>
      <c r="C8" s="37" t="n"/>
      <c r="D8" s="37" t="n"/>
      <c r="E8" s="37" t="n"/>
      <c r="F8" s="37" t="n"/>
      <c r="G8" s="37" t="n"/>
      <c r="H8" s="37" t="n"/>
      <c r="I8" s="37" t="n"/>
      <c r="J8" s="37" t="n"/>
      <c r="K8" s="37" t="n"/>
      <c r="L8" s="37" t="n"/>
      <c r="M8" s="37" t="n"/>
      <c r="N8" s="37" t="n"/>
      <c r="O8" s="38" t="str">
        <f>IF(B8="","",IFERROR(INDEX('2. Use-Case Library'!$A$5:$A$244,MATCH(B8,'2. Use-Case Library'!$M$5:$M$244,0)),"Custom"))</f>
        <v/>
      </c>
      <c r="P8" s="39" t="str">
        <f>IF(B8="","",IF(O8="Custom",IF(E8="","(select function in E)",E8),INDEX('2. Use-Case Library'!$C$5:$C$244,MATCH($O8,'2. Use-Case Library'!$A$5:$A$244,0))))</f>
        <v/>
      </c>
      <c r="Q8" s="39" t="str">
        <f>IF(B8="","",IF(D8&lt;&gt;"",D8,IF(O8="Custom","",INDEX('2. Use-Case Library'!$F$5:$F$244,MATCH($O8,'2. Use-Case Library'!$A$5:$A$244,0)))))</f>
        <v/>
      </c>
      <c r="R8" s="39" t="str">
        <f>IF(Q8="","",INDEX(Lists!$B$2:$B$11,MATCH(Q8,Lists!$A$2:$A$11,0)))</f>
        <v/>
      </c>
      <c r="S8" s="38" t="str">
        <f>IF(R8="","",INDEX(Lists!$C$2:$C$11,MATCH(R8,Lists!$B$2:$B$11,0)))</f>
        <v/>
      </c>
      <c r="T8" s="38" t="str">
        <f>IF(R8="","",INDEX(Lists!$D$2:$D$11,MATCH(R8,Lists!$B$2:$B$11,0)))</f>
        <v/>
      </c>
      <c r="U8" s="38" t="str">
        <f>IF(OR(R8="",I8=""),"",IF(INDEX(Lists!$N$2:$N$5,MATCH(I8,Lists!$M$2:$M$5,0))&gt;=INDEX(Lists!$E$2:$E$11,MATCH(R8,Lists!$B$2:$B$11,0)),"Data ready","Data gap"))</f>
        <v/>
      </c>
      <c r="V8" s="39" t="str">
        <f>IF(R8="","",IF(S8&lt;=IF('1. AI Position'!$C$30="",5,INDEX(Lists!$AI$2:$AI$5,'1. AI Position'!$C$30)),"Within current position","Beyond current position"))</f>
        <v/>
      </c>
      <c r="W8" s="40" t="str">
        <f>IF(B8="","",IF(OR(COUNTA(F8:N8)&lt;9,Q8=""),"Complete inputs",IF(H8="No - varies by person / team","Redesign / standardise first",IF(T8="No","Automate - AI not needed",IF(U8="Data gap","AI later - close data gap first",IF(V8="Beyond current position","Stretch - partner or later stage","AI fit now"))))))</f>
        <v/>
      </c>
      <c r="X8" s="41" t="str">
        <f>IF(OR(W8="",W8="Complete inputs"),"",ROUND(0.3*INDEX(Lists!$N$8:$N$10,MATCH(F8,Lists!$M$8:$M$10,0))+0.25*IF(G8&lt;20,1,IF(G8&lt;80,2,IF(G8&lt;160,3,IF(G8&lt;480,4,5))))+0.25*J8+0.2*K8,2))</f>
        <v/>
      </c>
      <c r="Y8" s="41" t="str">
        <f>IF(X8="","",ROUND(0.3*IF(U8="Data ready",5,IF(INDEX(Lists!$N$2:$N$5,MATCH(I8,Lists!$M$2:$M$5,0))=INDEX(Lists!$E$2:$E$11,MATCH(R8,Lists!$B$2:$B$11,0))-1,3,1))+0.25*INDEX(Lists!$N$13:$N$15,MATCH(H8,Lists!$M$13:$M$15,0))+0.25*(6-S8)+0.2*IF(V8="Within current position",5,2),2))</f>
        <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
      </c>
      <c r="AA8" s="38" t="str">
        <f>IF(X8="","",IF(AND(X8&gt;=$C$4,Y8&gt;=$C$4),"Quick win",IF(X8&gt;=$C$4,"Strategic bet",IF(Y8&gt;=$C$4,"Fill-in","Deprioritise"))))</f>
        <v/>
      </c>
      <c r="AB8" s="41" t="str">
        <f>IF(X8="","",ROUND(X8*Y8*IF(Z8="High",0.85,1)*IF(W8="Redesign / standardise first",0.8,1),2))</f>
        <v/>
      </c>
      <c r="AC8" s="42" t="str">
        <f>IF(AB8="","",RANK(AB8,$AB$8:$AB$57)+COUNTIF($AB$7:AB7,AB8))</f>
        <v/>
      </c>
      <c r="AD8" s="39" t="str">
        <f>IF(AH8="","",INDEX(Lists!$AV$2:$AV$5,AH8))</f>
        <v/>
      </c>
      <c r="AE8" s="43" t="str">
        <f>IF(AB8="","",ROUND(G8*12*INDEX(Lists!$F$2:$F$11,MATCH(R8,Lists!$B$2:$B$11,0)),0))</f>
        <v/>
      </c>
      <c r="AF8" s="44" t="str">
        <f>IF(OR(B8="",R8=""),"",IF(O8="Custom",INDEX(Lists!$I$2:$I$11,MATCH(R8,Lists!$B$2:$B$11,0)),INDEX('2. Use-Case Library'!$H$5:$H$244,MATCH($O8,'2. Use-Case Library'!$A$5:$A$244,0))))</f>
        <v/>
      </c>
      <c r="AG8" s="44" t="str">
        <f>IF(OR(B8="",O8="Custom"),"",INDEX('2. Use-Case Library'!$K$5:$K$244,MATCH($O8,'2. Use-Case Library'!$A$5:$A$244,0)))</f>
        <v/>
      </c>
      <c r="AH8" s="38" t="str">
        <f>IF(AB8="","",IF(AA8="Deprioritise",4,IF(W8="AI later - close data gap first",3,IF(OR(W8="Redesign / standardise first",W8="Stretch - partner or later stage",AA8="Strategic bet",Z8="High",S8=5),2,1))))</f>
        <v/>
      </c>
      <c r="AI8" s="38" t="str">
        <f>IF(AC8="","",AH8*100+AC8)</f>
        <v/>
      </c>
      <c r="AJ8" s="38" t="str">
        <f>IF(B8="","",IF(O8="Custom",B8,INDEX('2. Use-Case Library'!$D$5:$D$244,MATCH($O8,'2. Use-Case Library'!$A$5:$A$244,0))))</f>
        <v/>
      </c>
    </row>
    <row r="9" ht="52" customHeight="1">
      <c r="A9" s="14" t="n">
        <v>2</v>
      </c>
      <c r="B9" s="37" t="n"/>
      <c r="C9" s="37" t="n"/>
      <c r="D9" s="37" t="n"/>
      <c r="E9" s="37" t="n"/>
      <c r="F9" s="37" t="n"/>
      <c r="G9" s="37" t="n"/>
      <c r="H9" s="37" t="n"/>
      <c r="I9" s="37" t="n"/>
      <c r="J9" s="37" t="n"/>
      <c r="K9" s="37" t="n"/>
      <c r="L9" s="37" t="n"/>
      <c r="M9" s="37" t="n"/>
      <c r="N9" s="37" t="n"/>
      <c r="O9" s="38" t="str">
        <f>IF(B9="","",IFERROR(INDEX('2. Use-Case Library'!$A$5:$A$244,MATCH(B9,'2. Use-Case Library'!$M$5:$M$244,0)),"Custom"))</f>
        <v/>
      </c>
      <c r="P9" s="39" t="str">
        <f>IF(B9="","",IF(O9="Custom",IF(E9="","(select function in E)",E9),INDEX('2. Use-Case Library'!$C$5:$C$244,MATCH($O9,'2. Use-Case Library'!$A$5:$A$244,0))))</f>
        <v/>
      </c>
      <c r="Q9" s="39" t="str">
        <f>IF(B9="","",IF(D9&lt;&gt;"",D9,IF(O9="Custom","",INDEX('2. Use-Case Library'!$F$5:$F$244,MATCH($O9,'2. Use-Case Library'!$A$5:$A$244,0)))))</f>
        <v/>
      </c>
      <c r="R9" s="39" t="str">
        <f>IF(Q9="","",INDEX(Lists!$B$2:$B$11,MATCH(Q9,Lists!$A$2:$A$11,0)))</f>
        <v/>
      </c>
      <c r="S9" s="38" t="str">
        <f>IF(R9="","",INDEX(Lists!$C$2:$C$11,MATCH(R9,Lists!$B$2:$B$11,0)))</f>
        <v/>
      </c>
      <c r="T9" s="38" t="str">
        <f>IF(R9="","",INDEX(Lists!$D$2:$D$11,MATCH(R9,Lists!$B$2:$B$11,0)))</f>
        <v/>
      </c>
      <c r="U9" s="38" t="str">
        <f>IF(OR(R9="",I9=""),"",IF(INDEX(Lists!$N$2:$N$5,MATCH(I9,Lists!$M$2:$M$5,0))&gt;=INDEX(Lists!$E$2:$E$11,MATCH(R9,Lists!$B$2:$B$11,0)),"Data ready","Data gap"))</f>
        <v/>
      </c>
      <c r="V9" s="39" t="str">
        <f>IF(R9="","",IF(S9&lt;=IF('1. AI Position'!$C$30="",5,INDEX(Lists!$AI$2:$AI$5,'1. AI Position'!$C$30)),"Within current position","Beyond current position"))</f>
        <v/>
      </c>
      <c r="W9" s="40" t="str">
        <f>IF(B9="","",IF(OR(COUNTA(F9:N9)&lt;9,Q9=""),"Complete inputs",IF(H9="No - varies by person / team","Redesign / standardise first",IF(T9="No","Automate - AI not needed",IF(U9="Data gap","AI later - close data gap first",IF(V9="Beyond current position","Stretch - partner or later stage","AI fit now"))))))</f>
        <v/>
      </c>
      <c r="X9" s="41" t="str">
        <f>IF(OR(W9="",W9="Complete inputs"),"",ROUND(0.3*INDEX(Lists!$N$8:$N$10,MATCH(F9,Lists!$M$8:$M$10,0))+0.25*IF(G9&lt;20,1,IF(G9&lt;80,2,IF(G9&lt;160,3,IF(G9&lt;480,4,5))))+0.25*J9+0.2*K9,2))</f>
        <v/>
      </c>
      <c r="Y9" s="41" t="str">
        <f>IF(X9="","",ROUND(0.3*IF(U9="Data ready",5,IF(INDEX(Lists!$N$2:$N$5,MATCH(I9,Lists!$M$2:$M$5,0))=INDEX(Lists!$E$2:$E$11,MATCH(R9,Lists!$B$2:$B$11,0))-1,3,1))+0.25*INDEX(Lists!$N$13:$N$15,MATCH(H9,Lists!$M$13:$M$15,0))+0.25*(6-S9)+0.2*IF(V9="Within current position",5,2),2))</f>
        <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
      </c>
      <c r="AA9" s="38" t="str">
        <f>IF(X9="","",IF(AND(X9&gt;=$C$4,Y9&gt;=$C$4),"Quick win",IF(X9&gt;=$C$4,"Strategic bet",IF(Y9&gt;=$C$4,"Fill-in","Deprioritise"))))</f>
        <v/>
      </c>
      <c r="AB9" s="41" t="str">
        <f>IF(X9="","",ROUND(X9*Y9*IF(Z9="High",0.85,1)*IF(W9="Redesign / standardise first",0.8,1),2))</f>
        <v/>
      </c>
      <c r="AC9" s="42" t="str">
        <f>IF(AB9="","",RANK(AB9,$AB$8:$AB$57)+COUNTIF($AB$7:AB8,AB9))</f>
        <v/>
      </c>
      <c r="AD9" s="39" t="str">
        <f>IF(AH9="","",INDEX(Lists!$AV$2:$AV$5,AH9))</f>
        <v/>
      </c>
      <c r="AE9" s="43" t="str">
        <f>IF(AB9="","",ROUND(G9*12*INDEX(Lists!$F$2:$F$11,MATCH(R9,Lists!$B$2:$B$11,0)),0))</f>
        <v/>
      </c>
      <c r="AF9" s="44" t="str">
        <f>IF(OR(B9="",R9=""),"",IF(O9="Custom",INDEX(Lists!$I$2:$I$11,MATCH(R9,Lists!$B$2:$B$11,0)),INDEX('2. Use-Case Library'!$H$5:$H$244,MATCH($O9,'2. Use-Case Library'!$A$5:$A$244,0))))</f>
        <v/>
      </c>
      <c r="AG9" s="44" t="str">
        <f>IF(OR(B9="",O9="Custom"),"",INDEX('2. Use-Case Library'!$K$5:$K$244,MATCH($O9,'2. Use-Case Library'!$A$5:$A$244,0)))</f>
        <v/>
      </c>
      <c r="AH9" s="38" t="str">
        <f>IF(AB9="","",IF(AA9="Deprioritise",4,IF(W9="AI later - close data gap first",3,IF(OR(W9="Redesign / standardise first",W9="Stretch - partner or later stage",AA9="Strategic bet",Z9="High",S9=5),2,1))))</f>
        <v/>
      </c>
      <c r="AI9" s="38" t="str">
        <f>IF(AC9="","",AH9*100+AC9)</f>
        <v/>
      </c>
      <c r="AJ9" s="38" t="str">
        <f>IF(B9="","",IF(O9="Custom",B9,INDEX('2. Use-Case Library'!$D$5:$D$244,MATCH($O9,'2. Use-Case Library'!$A$5:$A$244,0))))</f>
        <v/>
      </c>
    </row>
    <row r="10" ht="52" customHeight="1">
      <c r="A10" s="14" t="n">
        <v>3</v>
      </c>
      <c r="B10" s="37" t="n"/>
      <c r="C10" s="37" t="n"/>
      <c r="D10" s="37" t="n"/>
      <c r="E10" s="37" t="n"/>
      <c r="F10" s="37" t="n"/>
      <c r="G10" s="37" t="n"/>
      <c r="H10" s="37" t="n"/>
      <c r="I10" s="37" t="n"/>
      <c r="J10" s="37" t="n"/>
      <c r="K10" s="37" t="n"/>
      <c r="L10" s="37" t="n"/>
      <c r="M10" s="37" t="n"/>
      <c r="N10" s="37" t="n"/>
      <c r="O10" s="38" t="str">
        <f>IF(B10="","",IFERROR(INDEX('2. Use-Case Library'!$A$5:$A$244,MATCH(B10,'2. Use-Case Library'!$M$5:$M$244,0)),"Custom"))</f>
        <v/>
      </c>
      <c r="P10" s="39" t="str">
        <f>IF(B10="","",IF(O10="Custom",IF(E10="","(select function in E)",E10),INDEX('2. Use-Case Library'!$C$5:$C$244,MATCH($O10,'2. Use-Case Library'!$A$5:$A$244,0))))</f>
        <v/>
      </c>
      <c r="Q10" s="39" t="str">
        <f>IF(B10="","",IF(D10&lt;&gt;"",D10,IF(O10="Custom","",INDEX('2. Use-Case Library'!$F$5:$F$244,MATCH($O10,'2. Use-Case Library'!$A$5:$A$244,0)))))</f>
        <v/>
      </c>
      <c r="R10" s="39" t="str">
        <f>IF(Q10="","",INDEX(Lists!$B$2:$B$11,MATCH(Q10,Lists!$A$2:$A$11,0)))</f>
        <v/>
      </c>
      <c r="S10" s="38" t="str">
        <f>IF(R10="","",INDEX(Lists!$C$2:$C$11,MATCH(R10,Lists!$B$2:$B$11,0)))</f>
        <v/>
      </c>
      <c r="T10" s="38" t="str">
        <f>IF(R10="","",INDEX(Lists!$D$2:$D$11,MATCH(R10,Lists!$B$2:$B$11,0)))</f>
        <v/>
      </c>
      <c r="U10" s="38" t="str">
        <f>IF(OR(R10="",I10=""),"",IF(INDEX(Lists!$N$2:$N$5,MATCH(I10,Lists!$M$2:$M$5,0))&gt;=INDEX(Lists!$E$2:$E$11,MATCH(R10,Lists!$B$2:$B$11,0)),"Data ready","Data gap"))</f>
        <v/>
      </c>
      <c r="V10" s="39" t="str">
        <f>IF(R10="","",IF(S10&lt;=IF('1. AI Position'!$C$30="",5,INDEX(Lists!$AI$2:$AI$5,'1. AI Position'!$C$30)),"Within current position","Beyond current position"))</f>
        <v/>
      </c>
      <c r="W10" s="40" t="str">
        <f>IF(B10="","",IF(OR(COUNTA(F10:N10)&lt;9,Q10=""),"Complete inputs",IF(H10="No - varies by person / team","Redesign / standardise first",IF(T10="No","Automate - AI not needed",IF(U10="Data gap","AI later - close data gap first",IF(V10="Beyond current position","Stretch - partner or later stage","AI fit now"))))))</f>
        <v/>
      </c>
      <c r="X10" s="41" t="str">
        <f>IF(OR(W10="",W10="Complete inputs"),"",ROUND(0.3*INDEX(Lists!$N$8:$N$10,MATCH(F10,Lists!$M$8:$M$10,0))+0.25*IF(G10&lt;20,1,IF(G10&lt;80,2,IF(G10&lt;160,3,IF(G10&lt;480,4,5))))+0.25*J10+0.2*K10,2))</f>
        <v/>
      </c>
      <c r="Y10" s="41" t="str">
        <f>IF(X10="","",ROUND(0.3*IF(U10="Data ready",5,IF(INDEX(Lists!$N$2:$N$5,MATCH(I10,Lists!$M$2:$M$5,0))=INDEX(Lists!$E$2:$E$11,MATCH(R10,Lists!$B$2:$B$11,0))-1,3,1))+0.25*INDEX(Lists!$N$13:$N$15,MATCH(H10,Lists!$M$13:$M$15,0))+0.25*(6-S10)+0.2*IF(V10="Within current position",5,2),2))</f>
        <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
      </c>
      <c r="AA10" s="38" t="str">
        <f>IF(X10="","",IF(AND(X10&gt;=$C$4,Y10&gt;=$C$4),"Quick win",IF(X10&gt;=$C$4,"Strategic bet",IF(Y10&gt;=$C$4,"Fill-in","Deprioritise"))))</f>
        <v/>
      </c>
      <c r="AB10" s="41" t="str">
        <f>IF(X10="","",ROUND(X10*Y10*IF(Z10="High",0.85,1)*IF(W10="Redesign / standardise first",0.8,1),2))</f>
        <v/>
      </c>
      <c r="AC10" s="42" t="str">
        <f>IF(AB10="","",RANK(AB10,$AB$8:$AB$57)+COUNTIF($AB$7:AB9,AB10))</f>
        <v/>
      </c>
      <c r="AD10" s="39" t="str">
        <f>IF(AH10="","",INDEX(Lists!$AV$2:$AV$5,AH10))</f>
        <v/>
      </c>
      <c r="AE10" s="43" t="str">
        <f>IF(AB10="","",ROUND(G10*12*INDEX(Lists!$F$2:$F$11,MATCH(R10,Lists!$B$2:$B$11,0)),0))</f>
        <v/>
      </c>
      <c r="AF10" s="44" t="str">
        <f>IF(OR(B10="",R10=""),"",IF(O10="Custom",INDEX(Lists!$I$2:$I$11,MATCH(R10,Lists!$B$2:$B$11,0)),INDEX('2. Use-Case Library'!$H$5:$H$244,MATCH($O10,'2. Use-Case Library'!$A$5:$A$244,0))))</f>
        <v/>
      </c>
      <c r="AG10" s="44" t="str">
        <f>IF(OR(B10="",O10="Custom"),"",INDEX('2. Use-Case Library'!$K$5:$K$244,MATCH($O10,'2. Use-Case Library'!$A$5:$A$244,0)))</f>
        <v/>
      </c>
      <c r="AH10" s="38" t="str">
        <f>IF(AB10="","",IF(AA10="Deprioritise",4,IF(W10="AI later - close data gap first",3,IF(OR(W10="Redesign / standardise first",W10="Stretch - partner or later stage",AA10="Strategic bet",Z10="High",S10=5),2,1))))</f>
        <v/>
      </c>
      <c r="AI10" s="38" t="str">
        <f>IF(AC10="","",AH10*100+AC10)</f>
        <v/>
      </c>
      <c r="AJ10" s="38" t="str">
        <f>IF(B10="","",IF(O10="Custom",B10,INDEX('2. Use-Case Library'!$D$5:$D$244,MATCH($O10,'2. Use-Case Library'!$A$5:$A$244,0))))</f>
        <v/>
      </c>
    </row>
    <row r="11" ht="52" customHeight="1">
      <c r="A11" s="14" t="n">
        <v>4</v>
      </c>
      <c r="B11" s="37" t="n"/>
      <c r="C11" s="37" t="n"/>
      <c r="D11" s="37" t="n"/>
      <c r="E11" s="37" t="n"/>
      <c r="F11" s="37" t="n"/>
      <c r="G11" s="37" t="n"/>
      <c r="H11" s="37" t="n"/>
      <c r="I11" s="37" t="n"/>
      <c r="J11" s="37" t="n"/>
      <c r="K11" s="37" t="n"/>
      <c r="L11" s="37" t="n"/>
      <c r="M11" s="37" t="n"/>
      <c r="N11" s="37" t="n"/>
      <c r="O11" s="38" t="str">
        <f>IF(B11="","",IFERROR(INDEX('2. Use-Case Library'!$A$5:$A$244,MATCH(B11,'2. Use-Case Library'!$M$5:$M$244,0)),"Custom"))</f>
        <v/>
      </c>
      <c r="P11" s="39" t="str">
        <f>IF(B11="","",IF(O11="Custom",IF(E11="","(select function in E)",E11),INDEX('2. Use-Case Library'!$C$5:$C$244,MATCH($O11,'2. Use-Case Library'!$A$5:$A$244,0))))</f>
        <v/>
      </c>
      <c r="Q11" s="39" t="str">
        <f>IF(B11="","",IF(D11&lt;&gt;"",D11,IF(O11="Custom","",INDEX('2. Use-Case Library'!$F$5:$F$244,MATCH($O11,'2. Use-Case Library'!$A$5:$A$244,0)))))</f>
        <v/>
      </c>
      <c r="R11" s="39" t="str">
        <f>IF(Q11="","",INDEX(Lists!$B$2:$B$11,MATCH(Q11,Lists!$A$2:$A$11,0)))</f>
        <v/>
      </c>
      <c r="S11" s="38" t="str">
        <f>IF(R11="","",INDEX(Lists!$C$2:$C$11,MATCH(R11,Lists!$B$2:$B$11,0)))</f>
        <v/>
      </c>
      <c r="T11" s="38" t="str">
        <f>IF(R11="","",INDEX(Lists!$D$2:$D$11,MATCH(R11,Lists!$B$2:$B$11,0)))</f>
        <v/>
      </c>
      <c r="U11" s="38" t="str">
        <f>IF(OR(R11="",I11=""),"",IF(INDEX(Lists!$N$2:$N$5,MATCH(I11,Lists!$M$2:$M$5,0))&gt;=INDEX(Lists!$E$2:$E$11,MATCH(R11,Lists!$B$2:$B$11,0)),"Data ready","Data gap"))</f>
        <v/>
      </c>
      <c r="V11" s="39" t="str">
        <f>IF(R11="","",IF(S11&lt;=IF('1. AI Position'!$C$30="",5,INDEX(Lists!$AI$2:$AI$5,'1. AI Position'!$C$30)),"Within current position","Beyond current position"))</f>
        <v/>
      </c>
      <c r="W11" s="40" t="str">
        <f>IF(B11="","",IF(OR(COUNTA(F11:N11)&lt;9,Q11=""),"Complete inputs",IF(H11="No - varies by person / team","Redesign / standardise first",IF(T11="No","Automate - AI not needed",IF(U11="Data gap","AI later - close data gap first",IF(V11="Beyond current position","Stretch - partner or later stage","AI fit now"))))))</f>
        <v/>
      </c>
      <c r="X11" s="41" t="str">
        <f>IF(OR(W11="",W11="Complete inputs"),"",ROUND(0.3*INDEX(Lists!$N$8:$N$10,MATCH(F11,Lists!$M$8:$M$10,0))+0.25*IF(G11&lt;20,1,IF(G11&lt;80,2,IF(G11&lt;160,3,IF(G11&lt;480,4,5))))+0.25*J11+0.2*K11,2))</f>
        <v/>
      </c>
      <c r="Y11" s="41" t="str">
        <f>IF(X11="","",ROUND(0.3*IF(U11="Data ready",5,IF(INDEX(Lists!$N$2:$N$5,MATCH(I11,Lists!$M$2:$M$5,0))=INDEX(Lists!$E$2:$E$11,MATCH(R11,Lists!$B$2:$B$11,0))-1,3,1))+0.25*INDEX(Lists!$N$13:$N$15,MATCH(H11,Lists!$M$13:$M$15,0))+0.25*(6-S11)+0.2*IF(V11="Within current position",5,2),2))</f>
        <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
      </c>
      <c r="AA11" s="38" t="str">
        <f>IF(X11="","",IF(AND(X11&gt;=$C$4,Y11&gt;=$C$4),"Quick win",IF(X11&gt;=$C$4,"Strategic bet",IF(Y11&gt;=$C$4,"Fill-in","Deprioritise"))))</f>
        <v/>
      </c>
      <c r="AB11" s="41" t="str">
        <f>IF(X11="","",ROUND(X11*Y11*IF(Z11="High",0.85,1)*IF(W11="Redesign / standardise first",0.8,1),2))</f>
        <v/>
      </c>
      <c r="AC11" s="42" t="str">
        <f>IF(AB11="","",RANK(AB11,$AB$8:$AB$57)+COUNTIF($AB$7:AB10,AB11))</f>
        <v/>
      </c>
      <c r="AD11" s="39" t="str">
        <f>IF(AH11="","",INDEX(Lists!$AV$2:$AV$5,AH11))</f>
        <v/>
      </c>
      <c r="AE11" s="43" t="str">
        <f>IF(AB11="","",ROUND(G11*12*INDEX(Lists!$F$2:$F$11,MATCH(R11,Lists!$B$2:$B$11,0)),0))</f>
        <v/>
      </c>
      <c r="AF11" s="44" t="str">
        <f>IF(OR(B11="",R11=""),"",IF(O11="Custom",INDEX(Lists!$I$2:$I$11,MATCH(R11,Lists!$B$2:$B$11,0)),INDEX('2. Use-Case Library'!$H$5:$H$244,MATCH($O11,'2. Use-Case Library'!$A$5:$A$244,0))))</f>
        <v/>
      </c>
      <c r="AG11" s="44" t="str">
        <f>IF(OR(B11="",O11="Custom"),"",INDEX('2. Use-Case Library'!$K$5:$K$244,MATCH($O11,'2. Use-Case Library'!$A$5:$A$244,0)))</f>
        <v/>
      </c>
      <c r="AH11" s="38" t="str">
        <f>IF(AB11="","",IF(AA11="Deprioritise",4,IF(W11="AI later - close data gap first",3,IF(OR(W11="Redesign / standardise first",W11="Stretch - partner or later stage",AA11="Strategic bet",Z11="High",S11=5),2,1))))</f>
        <v/>
      </c>
      <c r="AI11" s="38" t="str">
        <f>IF(AC11="","",AH11*100+AC11)</f>
        <v/>
      </c>
      <c r="AJ11" s="38" t="str">
        <f>IF(B11="","",IF(O11="Custom",B11,INDEX('2. Use-Case Library'!$D$5:$D$244,MATCH($O11,'2. Use-Case Library'!$A$5:$A$244,0))))</f>
        <v/>
      </c>
    </row>
    <row r="12" ht="52" customHeight="1">
      <c r="A12" s="14" t="n">
        <v>5</v>
      </c>
      <c r="B12" s="37" t="n"/>
      <c r="C12" s="37" t="n"/>
      <c r="D12" s="37" t="n"/>
      <c r="E12" s="37" t="n"/>
      <c r="F12" s="37" t="n"/>
      <c r="G12" s="37" t="n"/>
      <c r="H12" s="37" t="n"/>
      <c r="I12" s="37" t="n"/>
      <c r="J12" s="37" t="n"/>
      <c r="K12" s="37" t="n"/>
      <c r="L12" s="37" t="n"/>
      <c r="M12" s="37" t="n"/>
      <c r="N12" s="37" t="n"/>
      <c r="O12" s="38" t="str">
        <f>IF(B12="","",IFERROR(INDEX('2. Use-Case Library'!$A$5:$A$244,MATCH(B12,'2. Use-Case Library'!$M$5:$M$244,0)),"Custom"))</f>
        <v/>
      </c>
      <c r="P12" s="39" t="str">
        <f>IF(B12="","",IF(O12="Custom",IF(E12="","(select function in E)",E12),INDEX('2. Use-Case Library'!$C$5:$C$244,MATCH($O12,'2. Use-Case Library'!$A$5:$A$244,0))))</f>
        <v/>
      </c>
      <c r="Q12" s="39" t="str">
        <f>IF(B12="","",IF(D12&lt;&gt;"",D12,IF(O12="Custom","",INDEX('2. Use-Case Library'!$F$5:$F$244,MATCH($O12,'2. Use-Case Library'!$A$5:$A$244,0)))))</f>
        <v/>
      </c>
      <c r="R12" s="39" t="str">
        <f>IF(Q12="","",INDEX(Lists!$B$2:$B$11,MATCH(Q12,Lists!$A$2:$A$11,0)))</f>
        <v/>
      </c>
      <c r="S12" s="38" t="str">
        <f>IF(R12="","",INDEX(Lists!$C$2:$C$11,MATCH(R12,Lists!$B$2:$B$11,0)))</f>
        <v/>
      </c>
      <c r="T12" s="38" t="str">
        <f>IF(R12="","",INDEX(Lists!$D$2:$D$11,MATCH(R12,Lists!$B$2:$B$11,0)))</f>
        <v/>
      </c>
      <c r="U12" s="38" t="str">
        <f>IF(OR(R12="",I12=""),"",IF(INDEX(Lists!$N$2:$N$5,MATCH(I12,Lists!$M$2:$M$5,0))&gt;=INDEX(Lists!$E$2:$E$11,MATCH(R12,Lists!$B$2:$B$11,0)),"Data ready","Data gap"))</f>
        <v/>
      </c>
      <c r="V12" s="39" t="str">
        <f>IF(R12="","",IF(S12&lt;=IF('1. AI Position'!$C$30="",5,INDEX(Lists!$AI$2:$AI$5,'1. AI Position'!$C$30)),"Within current position","Beyond current position"))</f>
        <v/>
      </c>
      <c r="W12" s="40" t="str">
        <f>IF(B12="","",IF(OR(COUNTA(F12:N12)&lt;9,Q12=""),"Complete inputs",IF(H12="No - varies by person / team","Redesign / standardise first",IF(T12="No","Automate - AI not needed",IF(U12="Data gap","AI later - close data gap first",IF(V12="Beyond current position","Stretch - partner or later stage","AI fit now"))))))</f>
        <v/>
      </c>
      <c r="X12" s="41" t="str">
        <f>IF(OR(W12="",W12="Complete inputs"),"",ROUND(0.3*INDEX(Lists!$N$8:$N$10,MATCH(F12,Lists!$M$8:$M$10,0))+0.25*IF(G12&lt;20,1,IF(G12&lt;80,2,IF(G12&lt;160,3,IF(G12&lt;480,4,5))))+0.25*J12+0.2*K12,2))</f>
        <v/>
      </c>
      <c r="Y12" s="41" t="str">
        <f>IF(X12="","",ROUND(0.3*IF(U12="Data ready",5,IF(INDEX(Lists!$N$2:$N$5,MATCH(I12,Lists!$M$2:$M$5,0))=INDEX(Lists!$E$2:$E$11,MATCH(R12,Lists!$B$2:$B$11,0))-1,3,1))+0.25*INDEX(Lists!$N$13:$N$15,MATCH(H12,Lists!$M$13:$M$15,0))+0.25*(6-S12)+0.2*IF(V12="Within current position",5,2),2))</f>
        <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
      </c>
      <c r="AA12" s="38" t="str">
        <f>IF(X12="","",IF(AND(X12&gt;=$C$4,Y12&gt;=$C$4),"Quick win",IF(X12&gt;=$C$4,"Strategic bet",IF(Y12&gt;=$C$4,"Fill-in","Deprioritise"))))</f>
        <v/>
      </c>
      <c r="AB12" s="41" t="str">
        <f>IF(X12="","",ROUND(X12*Y12*IF(Z12="High",0.85,1)*IF(W12="Redesign / standardise first",0.8,1),2))</f>
        <v/>
      </c>
      <c r="AC12" s="42" t="str">
        <f>IF(AB12="","",RANK(AB12,$AB$8:$AB$57)+COUNTIF($AB$7:AB11,AB12))</f>
        <v/>
      </c>
      <c r="AD12" s="39" t="str">
        <f>IF(AH12="","",INDEX(Lists!$AV$2:$AV$5,AH12))</f>
        <v/>
      </c>
      <c r="AE12" s="43" t="str">
        <f>IF(AB12="","",ROUND(G12*12*INDEX(Lists!$F$2:$F$11,MATCH(R12,Lists!$B$2:$B$11,0)),0))</f>
        <v/>
      </c>
      <c r="AF12" s="44" t="str">
        <f>IF(OR(B12="",R12=""),"",IF(O12="Custom",INDEX(Lists!$I$2:$I$11,MATCH(R12,Lists!$B$2:$B$11,0)),INDEX('2. Use-Case Library'!$H$5:$H$244,MATCH($O12,'2. Use-Case Library'!$A$5:$A$244,0))))</f>
        <v/>
      </c>
      <c r="AG12" s="44" t="str">
        <f>IF(OR(B12="",O12="Custom"),"",INDEX('2. Use-Case Library'!$K$5:$K$244,MATCH($O12,'2. Use-Case Library'!$A$5:$A$244,0)))</f>
        <v/>
      </c>
      <c r="AH12" s="38" t="str">
        <f>IF(AB12="","",IF(AA12="Deprioritise",4,IF(W12="AI later - close data gap first",3,IF(OR(W12="Redesign / standardise first",W12="Stretch - partner or later stage",AA12="Strategic bet",Z12="High",S12=5),2,1))))</f>
        <v/>
      </c>
      <c r="AI12" s="38" t="str">
        <f>IF(AC12="","",AH12*100+AC12)</f>
        <v/>
      </c>
      <c r="AJ12" s="38" t="str">
        <f>IF(B12="","",IF(O12="Custom",B12,INDEX('2. Use-Case Library'!$D$5:$D$244,MATCH($O12,'2. Use-Case Library'!$A$5:$A$244,0))))</f>
        <v/>
      </c>
    </row>
    <row r="13" ht="52" customHeight="1">
      <c r="A13" s="14" t="n">
        <v>6</v>
      </c>
      <c r="B13" s="37" t="n"/>
      <c r="C13" s="37" t="n"/>
      <c r="D13" s="37" t="n"/>
      <c r="E13" s="37" t="n"/>
      <c r="F13" s="37" t="n"/>
      <c r="G13" s="37" t="n"/>
      <c r="H13" s="37" t="n"/>
      <c r="I13" s="37" t="n"/>
      <c r="J13" s="37" t="n"/>
      <c r="K13" s="37" t="n"/>
      <c r="L13" s="37" t="n"/>
      <c r="M13" s="37" t="n"/>
      <c r="N13" s="37" t="n"/>
      <c r="O13" s="38" t="str">
        <f>IF(B13="","",IFERROR(INDEX('2. Use-Case Library'!$A$5:$A$244,MATCH(B13,'2. Use-Case Library'!$M$5:$M$244,0)),"Custom"))</f>
        <v/>
      </c>
      <c r="P13" s="39" t="str">
        <f>IF(B13="","",IF(O13="Custom",IF(E13="","(select function in E)",E13),INDEX('2. Use-Case Library'!$C$5:$C$244,MATCH($O13,'2. Use-Case Library'!$A$5:$A$244,0))))</f>
        <v/>
      </c>
      <c r="Q13" s="39" t="str">
        <f>IF(B13="","",IF(D13&lt;&gt;"",D13,IF(O13="Custom","",INDEX('2. Use-Case Library'!$F$5:$F$244,MATCH($O13,'2. Use-Case Library'!$A$5:$A$244,0)))))</f>
        <v/>
      </c>
      <c r="R13" s="39" t="str">
        <f>IF(Q13="","",INDEX(Lists!$B$2:$B$11,MATCH(Q13,Lists!$A$2:$A$11,0)))</f>
        <v/>
      </c>
      <c r="S13" s="38" t="str">
        <f>IF(R13="","",INDEX(Lists!$C$2:$C$11,MATCH(R13,Lists!$B$2:$B$11,0)))</f>
        <v/>
      </c>
      <c r="T13" s="38" t="str">
        <f>IF(R13="","",INDEX(Lists!$D$2:$D$11,MATCH(R13,Lists!$B$2:$B$11,0)))</f>
        <v/>
      </c>
      <c r="U13" s="38" t="str">
        <f>IF(OR(R13="",I13=""),"",IF(INDEX(Lists!$N$2:$N$5,MATCH(I13,Lists!$M$2:$M$5,0))&gt;=INDEX(Lists!$E$2:$E$11,MATCH(R13,Lists!$B$2:$B$11,0)),"Data ready","Data gap"))</f>
        <v/>
      </c>
      <c r="V13" s="39" t="str">
        <f>IF(R13="","",IF(S13&lt;=IF('1. AI Position'!$C$30="",5,INDEX(Lists!$AI$2:$AI$5,'1. AI Position'!$C$30)),"Within current position","Beyond current position"))</f>
        <v/>
      </c>
      <c r="W13" s="40" t="str">
        <f>IF(B13="","",IF(OR(COUNTA(F13:N13)&lt;9,Q13=""),"Complete inputs",IF(H13="No - varies by person / team","Redesign / standardise first",IF(T13="No","Automate - AI not needed",IF(U13="Data gap","AI later - close data gap first",IF(V13="Beyond current position","Stretch - partner or later stage","AI fit now"))))))</f>
        <v/>
      </c>
      <c r="X13" s="41" t="str">
        <f>IF(OR(W13="",W13="Complete inputs"),"",ROUND(0.3*INDEX(Lists!$N$8:$N$10,MATCH(F13,Lists!$M$8:$M$10,0))+0.25*IF(G13&lt;20,1,IF(G13&lt;80,2,IF(G13&lt;160,3,IF(G13&lt;480,4,5))))+0.25*J13+0.2*K13,2))</f>
        <v/>
      </c>
      <c r="Y13" s="41" t="str">
        <f>IF(X13="","",ROUND(0.3*IF(U13="Data ready",5,IF(INDEX(Lists!$N$2:$N$5,MATCH(I13,Lists!$M$2:$M$5,0))=INDEX(Lists!$E$2:$E$11,MATCH(R13,Lists!$B$2:$B$11,0))-1,3,1))+0.25*INDEX(Lists!$N$13:$N$15,MATCH(H13,Lists!$M$13:$M$15,0))+0.25*(6-S13)+0.2*IF(V13="Within current position",5,2),2))</f>
        <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
      </c>
      <c r="AA13" s="38" t="str">
        <f>IF(X13="","",IF(AND(X13&gt;=$C$4,Y13&gt;=$C$4),"Quick win",IF(X13&gt;=$C$4,"Strategic bet",IF(Y13&gt;=$C$4,"Fill-in","Deprioritise"))))</f>
        <v/>
      </c>
      <c r="AB13" s="41" t="str">
        <f>IF(X13="","",ROUND(X13*Y13*IF(Z13="High",0.85,1)*IF(W13="Redesign / standardise first",0.8,1),2))</f>
        <v/>
      </c>
      <c r="AC13" s="42" t="str">
        <f>IF(AB13="","",RANK(AB13,$AB$8:$AB$57)+COUNTIF($AB$7:AB12,AB13))</f>
        <v/>
      </c>
      <c r="AD13" s="39" t="str">
        <f>IF(AH13="","",INDEX(Lists!$AV$2:$AV$5,AH13))</f>
        <v/>
      </c>
      <c r="AE13" s="43" t="str">
        <f>IF(AB13="","",ROUND(G13*12*INDEX(Lists!$F$2:$F$11,MATCH(R13,Lists!$B$2:$B$11,0)),0))</f>
        <v/>
      </c>
      <c r="AF13" s="44" t="str">
        <f>IF(OR(B13="",R13=""),"",IF(O13="Custom",INDEX(Lists!$I$2:$I$11,MATCH(R13,Lists!$B$2:$B$11,0)),INDEX('2. Use-Case Library'!$H$5:$H$244,MATCH($O13,'2. Use-Case Library'!$A$5:$A$244,0))))</f>
        <v/>
      </c>
      <c r="AG13" s="44" t="str">
        <f>IF(OR(B13="",O13="Custom"),"",INDEX('2. Use-Case Library'!$K$5:$K$244,MATCH($O13,'2. Use-Case Library'!$A$5:$A$244,0)))</f>
        <v/>
      </c>
      <c r="AH13" s="38" t="str">
        <f>IF(AB13="","",IF(AA13="Deprioritise",4,IF(W13="AI later - close data gap first",3,IF(OR(W13="Redesign / standardise first",W13="Stretch - partner or later stage",AA13="Strategic bet",Z13="High",S13=5),2,1))))</f>
        <v/>
      </c>
      <c r="AI13" s="38" t="str">
        <f>IF(AC13="","",AH13*100+AC13)</f>
        <v/>
      </c>
      <c r="AJ13" s="38" t="str">
        <f>IF(B13="","",IF(O13="Custom",B13,INDEX('2. Use-Case Library'!$D$5:$D$244,MATCH($O13,'2. Use-Case Library'!$A$5:$A$244,0))))</f>
        <v/>
      </c>
    </row>
    <row r="14" ht="52" customHeight="1">
      <c r="A14" s="14" t="n">
        <v>7</v>
      </c>
      <c r="B14" s="37" t="n"/>
      <c r="C14" s="37" t="n"/>
      <c r="D14" s="37" t="n"/>
      <c r="E14" s="37" t="n"/>
      <c r="F14" s="37" t="n"/>
      <c r="G14" s="37" t="n"/>
      <c r="H14" s="37" t="n"/>
      <c r="I14" s="37" t="n"/>
      <c r="J14" s="37" t="n"/>
      <c r="K14" s="37" t="n"/>
      <c r="L14" s="37" t="n"/>
      <c r="M14" s="37" t="n"/>
      <c r="N14" s="37" t="n"/>
      <c r="O14" s="38" t="str">
        <f>IF(B14="","",IFERROR(INDEX('2. Use-Case Library'!$A$5:$A$244,MATCH(B14,'2. Use-Case Library'!$M$5:$M$244,0)),"Custom"))</f>
        <v/>
      </c>
      <c r="P14" s="39" t="str">
        <f>IF(B14="","",IF(O14="Custom",IF(E14="","(select function in E)",E14),INDEX('2. Use-Case Library'!$C$5:$C$244,MATCH($O14,'2. Use-Case Library'!$A$5:$A$244,0))))</f>
        <v/>
      </c>
      <c r="Q14" s="39" t="str">
        <f>IF(B14="","",IF(D14&lt;&gt;"",D14,IF(O14="Custom","",INDEX('2. Use-Case Library'!$F$5:$F$244,MATCH($O14,'2. Use-Case Library'!$A$5:$A$244,0)))))</f>
        <v/>
      </c>
      <c r="R14" s="39" t="str">
        <f>IF(Q14="","",INDEX(Lists!$B$2:$B$11,MATCH(Q14,Lists!$A$2:$A$11,0)))</f>
        <v/>
      </c>
      <c r="S14" s="38" t="str">
        <f>IF(R14="","",INDEX(Lists!$C$2:$C$11,MATCH(R14,Lists!$B$2:$B$11,0)))</f>
        <v/>
      </c>
      <c r="T14" s="38" t="str">
        <f>IF(R14="","",INDEX(Lists!$D$2:$D$11,MATCH(R14,Lists!$B$2:$B$11,0)))</f>
        <v/>
      </c>
      <c r="U14" s="38" t="str">
        <f>IF(OR(R14="",I14=""),"",IF(INDEX(Lists!$N$2:$N$5,MATCH(I14,Lists!$M$2:$M$5,0))&gt;=INDEX(Lists!$E$2:$E$11,MATCH(R14,Lists!$B$2:$B$11,0)),"Data ready","Data gap"))</f>
        <v/>
      </c>
      <c r="V14" s="39" t="str">
        <f>IF(R14="","",IF(S14&lt;=IF('1. AI Position'!$C$30="",5,INDEX(Lists!$AI$2:$AI$5,'1. AI Position'!$C$30)),"Within current position","Beyond current position"))</f>
        <v/>
      </c>
      <c r="W14" s="40" t="str">
        <f>IF(B14="","",IF(OR(COUNTA(F14:N14)&lt;9,Q14=""),"Complete inputs",IF(H14="No - varies by person / team","Redesign / standardise first",IF(T14="No","Automate - AI not needed",IF(U14="Data gap","AI later - close data gap first",IF(V14="Beyond current position","Stretch - partner or later stage","AI fit now"))))))</f>
        <v/>
      </c>
      <c r="X14" s="41" t="str">
        <f>IF(OR(W14="",W14="Complete inputs"),"",ROUND(0.3*INDEX(Lists!$N$8:$N$10,MATCH(F14,Lists!$M$8:$M$10,0))+0.25*IF(G14&lt;20,1,IF(G14&lt;80,2,IF(G14&lt;160,3,IF(G14&lt;480,4,5))))+0.25*J14+0.2*K14,2))</f>
        <v/>
      </c>
      <c r="Y14" s="41" t="str">
        <f>IF(X14="","",ROUND(0.3*IF(U14="Data ready",5,IF(INDEX(Lists!$N$2:$N$5,MATCH(I14,Lists!$M$2:$M$5,0))=INDEX(Lists!$E$2:$E$11,MATCH(R14,Lists!$B$2:$B$11,0))-1,3,1))+0.25*INDEX(Lists!$N$13:$N$15,MATCH(H14,Lists!$M$13:$M$15,0))+0.25*(6-S14)+0.2*IF(V14="Within current position",5,2),2))</f>
        <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
      </c>
      <c r="AA14" s="38" t="str">
        <f>IF(X14="","",IF(AND(X14&gt;=$C$4,Y14&gt;=$C$4),"Quick win",IF(X14&gt;=$C$4,"Strategic bet",IF(Y14&gt;=$C$4,"Fill-in","Deprioritise"))))</f>
        <v/>
      </c>
      <c r="AB14" s="41" t="str">
        <f>IF(X14="","",ROUND(X14*Y14*IF(Z14="High",0.85,1)*IF(W14="Redesign / standardise first",0.8,1),2))</f>
        <v/>
      </c>
      <c r="AC14" s="42" t="str">
        <f>IF(AB14="","",RANK(AB14,$AB$8:$AB$57)+COUNTIF($AB$7:AB13,AB14))</f>
        <v/>
      </c>
      <c r="AD14" s="39" t="str">
        <f>IF(AH14="","",INDEX(Lists!$AV$2:$AV$5,AH14))</f>
        <v/>
      </c>
      <c r="AE14" s="43" t="str">
        <f>IF(AB14="","",ROUND(G14*12*INDEX(Lists!$F$2:$F$11,MATCH(R14,Lists!$B$2:$B$11,0)),0))</f>
        <v/>
      </c>
      <c r="AF14" s="44" t="str">
        <f>IF(OR(B14="",R14=""),"",IF(O14="Custom",INDEX(Lists!$I$2:$I$11,MATCH(R14,Lists!$B$2:$B$11,0)),INDEX('2. Use-Case Library'!$H$5:$H$244,MATCH($O14,'2. Use-Case Library'!$A$5:$A$244,0))))</f>
        <v/>
      </c>
      <c r="AG14" s="44" t="str">
        <f>IF(OR(B14="",O14="Custom"),"",INDEX('2. Use-Case Library'!$K$5:$K$244,MATCH($O14,'2. Use-Case Library'!$A$5:$A$244,0)))</f>
        <v/>
      </c>
      <c r="AH14" s="38" t="str">
        <f>IF(AB14="","",IF(AA14="Deprioritise",4,IF(W14="AI later - close data gap first",3,IF(OR(W14="Redesign / standardise first",W14="Stretch - partner or later stage",AA14="Strategic bet",Z14="High",S14=5),2,1))))</f>
        <v/>
      </c>
      <c r="AI14" s="38" t="str">
        <f>IF(AC14="","",AH14*100+AC14)</f>
        <v/>
      </c>
      <c r="AJ14" s="38" t="str">
        <f>IF(B14="","",IF(O14="Custom",B14,INDEX('2. Use-Case Library'!$D$5:$D$244,MATCH($O14,'2. Use-Case Library'!$A$5:$A$244,0))))</f>
        <v/>
      </c>
    </row>
    <row r="15" ht="52" customHeight="1">
      <c r="A15" s="14" t="n">
        <v>8</v>
      </c>
      <c r="B15" s="37" t="n"/>
      <c r="C15" s="37" t="n"/>
      <c r="D15" s="37" t="n"/>
      <c r="E15" s="37" t="n"/>
      <c r="F15" s="37" t="n"/>
      <c r="G15" s="37" t="n"/>
      <c r="H15" s="37" t="n"/>
      <c r="I15" s="37" t="n"/>
      <c r="J15" s="37" t="n"/>
      <c r="K15" s="37" t="n"/>
      <c r="L15" s="37" t="n"/>
      <c r="M15" s="37" t="n"/>
      <c r="N15" s="37" t="n"/>
      <c r="O15" s="38" t="str">
        <f>IF(B15="","",IFERROR(INDEX('2. Use-Case Library'!$A$5:$A$244,MATCH(B15,'2. Use-Case Library'!$M$5:$M$244,0)),"Custom"))</f>
        <v/>
      </c>
      <c r="P15" s="39" t="str">
        <f>IF(B15="","",IF(O15="Custom",IF(E15="","(select function in E)",E15),INDEX('2. Use-Case Library'!$C$5:$C$244,MATCH($O15,'2. Use-Case Library'!$A$5:$A$244,0))))</f>
        <v/>
      </c>
      <c r="Q15" s="39" t="str">
        <f>IF(B15="","",IF(D15&lt;&gt;"",D15,IF(O15="Custom","",INDEX('2. Use-Case Library'!$F$5:$F$244,MATCH($O15,'2. Use-Case Library'!$A$5:$A$244,0)))))</f>
        <v/>
      </c>
      <c r="R15" s="39" t="str">
        <f>IF(Q15="","",INDEX(Lists!$B$2:$B$11,MATCH(Q15,Lists!$A$2:$A$11,0)))</f>
        <v/>
      </c>
      <c r="S15" s="38" t="str">
        <f>IF(R15="","",INDEX(Lists!$C$2:$C$11,MATCH(R15,Lists!$B$2:$B$11,0)))</f>
        <v/>
      </c>
      <c r="T15" s="38" t="str">
        <f>IF(R15="","",INDEX(Lists!$D$2:$D$11,MATCH(R15,Lists!$B$2:$B$11,0)))</f>
        <v/>
      </c>
      <c r="U15" s="38" t="str">
        <f>IF(OR(R15="",I15=""),"",IF(INDEX(Lists!$N$2:$N$5,MATCH(I15,Lists!$M$2:$M$5,0))&gt;=INDEX(Lists!$E$2:$E$11,MATCH(R15,Lists!$B$2:$B$11,0)),"Data ready","Data gap"))</f>
        <v/>
      </c>
      <c r="V15" s="39" t="str">
        <f>IF(R15="","",IF(S15&lt;=IF('1. AI Position'!$C$30="",5,INDEX(Lists!$AI$2:$AI$5,'1. AI Position'!$C$30)),"Within current position","Beyond current position"))</f>
        <v/>
      </c>
      <c r="W15" s="40" t="str">
        <f>IF(B15="","",IF(OR(COUNTA(F15:N15)&lt;9,Q15=""),"Complete inputs",IF(H15="No - varies by person / team","Redesign / standardise first",IF(T15="No","Automate - AI not needed",IF(U15="Data gap","AI later - close data gap first",IF(V15="Beyond current position","Stretch - partner or later stage","AI fit now"))))))</f>
        <v/>
      </c>
      <c r="X15" s="41" t="str">
        <f>IF(OR(W15="",W15="Complete inputs"),"",ROUND(0.3*INDEX(Lists!$N$8:$N$10,MATCH(F15,Lists!$M$8:$M$10,0))+0.25*IF(G15&lt;20,1,IF(G15&lt;80,2,IF(G15&lt;160,3,IF(G15&lt;480,4,5))))+0.25*J15+0.2*K15,2))</f>
        <v/>
      </c>
      <c r="Y15" s="41" t="str">
        <f>IF(X15="","",ROUND(0.3*IF(U15="Data ready",5,IF(INDEX(Lists!$N$2:$N$5,MATCH(I15,Lists!$M$2:$M$5,0))=INDEX(Lists!$E$2:$E$11,MATCH(R15,Lists!$B$2:$B$11,0))-1,3,1))+0.25*INDEX(Lists!$N$13:$N$15,MATCH(H15,Lists!$M$13:$M$15,0))+0.25*(6-S15)+0.2*IF(V15="Within current position",5,2),2))</f>
        <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
      </c>
      <c r="AA15" s="38" t="str">
        <f>IF(X15="","",IF(AND(X15&gt;=$C$4,Y15&gt;=$C$4),"Quick win",IF(X15&gt;=$C$4,"Strategic bet",IF(Y15&gt;=$C$4,"Fill-in","Deprioritise"))))</f>
        <v/>
      </c>
      <c r="AB15" s="41" t="str">
        <f>IF(X15="","",ROUND(X15*Y15*IF(Z15="High",0.85,1)*IF(W15="Redesign / standardise first",0.8,1),2))</f>
        <v/>
      </c>
      <c r="AC15" s="42" t="str">
        <f>IF(AB15="","",RANK(AB15,$AB$8:$AB$57)+COUNTIF($AB$7:AB14,AB15))</f>
        <v/>
      </c>
      <c r="AD15" s="39" t="str">
        <f>IF(AH15="","",INDEX(Lists!$AV$2:$AV$5,AH15))</f>
        <v/>
      </c>
      <c r="AE15" s="43" t="str">
        <f>IF(AB15="","",ROUND(G15*12*INDEX(Lists!$F$2:$F$11,MATCH(R15,Lists!$B$2:$B$11,0)),0))</f>
        <v/>
      </c>
      <c r="AF15" s="44" t="str">
        <f>IF(OR(B15="",R15=""),"",IF(O15="Custom",INDEX(Lists!$I$2:$I$11,MATCH(R15,Lists!$B$2:$B$11,0)),INDEX('2. Use-Case Library'!$H$5:$H$244,MATCH($O15,'2. Use-Case Library'!$A$5:$A$244,0))))</f>
        <v/>
      </c>
      <c r="AG15" s="44" t="str">
        <f>IF(OR(B15="",O15="Custom"),"",INDEX('2. Use-Case Library'!$K$5:$K$244,MATCH($O15,'2. Use-Case Library'!$A$5:$A$244,0)))</f>
        <v/>
      </c>
      <c r="AH15" s="38" t="str">
        <f>IF(AB15="","",IF(AA15="Deprioritise",4,IF(W15="AI later - close data gap first",3,IF(OR(W15="Redesign / standardise first",W15="Stretch - partner or later stage",AA15="Strategic bet",Z15="High",S15=5),2,1))))</f>
        <v/>
      </c>
      <c r="AI15" s="38" t="str">
        <f>IF(AC15="","",AH15*100+AC15)</f>
        <v/>
      </c>
      <c r="AJ15" s="38" t="str">
        <f>IF(B15="","",IF(O15="Custom",B15,INDEX('2. Use-Case Library'!$D$5:$D$244,MATCH($O15,'2. Use-Case Library'!$A$5:$A$244,0))))</f>
        <v/>
      </c>
    </row>
    <row r="16" ht="52" customHeight="1">
      <c r="A16" s="14" t="n">
        <v>9</v>
      </c>
      <c r="B16" s="37" t="n"/>
      <c r="C16" s="37" t="n"/>
      <c r="D16" s="37" t="n"/>
      <c r="E16" s="37" t="n"/>
      <c r="F16" s="37" t="n"/>
      <c r="G16" s="37" t="n"/>
      <c r="H16" s="37" t="n"/>
      <c r="I16" s="37" t="n"/>
      <c r="J16" s="37" t="n"/>
      <c r="K16" s="37" t="n"/>
      <c r="L16" s="37" t="n"/>
      <c r="M16" s="37" t="n"/>
      <c r="N16" s="37" t="n"/>
      <c r="O16" s="38" t="str">
        <f>IF(B16="","",IFERROR(INDEX('2. Use-Case Library'!$A$5:$A$244,MATCH(B16,'2. Use-Case Library'!$M$5:$M$244,0)),"Custom"))</f>
        <v/>
      </c>
      <c r="P16" s="39" t="str">
        <f>IF(B16="","",IF(O16="Custom",IF(E16="","(select function in E)",E16),INDEX('2. Use-Case Library'!$C$5:$C$244,MATCH($O16,'2. Use-Case Library'!$A$5:$A$244,0))))</f>
        <v/>
      </c>
      <c r="Q16" s="39" t="str">
        <f>IF(B16="","",IF(D16&lt;&gt;"",D16,IF(O16="Custom","",INDEX('2. Use-Case Library'!$F$5:$F$244,MATCH($O16,'2. Use-Case Library'!$A$5:$A$244,0)))))</f>
        <v/>
      </c>
      <c r="R16" s="39" t="str">
        <f>IF(Q16="","",INDEX(Lists!$B$2:$B$11,MATCH(Q16,Lists!$A$2:$A$11,0)))</f>
        <v/>
      </c>
      <c r="S16" s="38" t="str">
        <f>IF(R16="","",INDEX(Lists!$C$2:$C$11,MATCH(R16,Lists!$B$2:$B$11,0)))</f>
        <v/>
      </c>
      <c r="T16" s="38" t="str">
        <f>IF(R16="","",INDEX(Lists!$D$2:$D$11,MATCH(R16,Lists!$B$2:$B$11,0)))</f>
        <v/>
      </c>
      <c r="U16" s="38" t="str">
        <f>IF(OR(R16="",I16=""),"",IF(INDEX(Lists!$N$2:$N$5,MATCH(I16,Lists!$M$2:$M$5,0))&gt;=INDEX(Lists!$E$2:$E$11,MATCH(R16,Lists!$B$2:$B$11,0)),"Data ready","Data gap"))</f>
        <v/>
      </c>
      <c r="V16" s="39" t="str">
        <f>IF(R16="","",IF(S16&lt;=IF('1. AI Position'!$C$30="",5,INDEX(Lists!$AI$2:$AI$5,'1. AI Position'!$C$30)),"Within current position","Beyond current position"))</f>
        <v/>
      </c>
      <c r="W16" s="40" t="str">
        <f>IF(B16="","",IF(OR(COUNTA(F16:N16)&lt;9,Q16=""),"Complete inputs",IF(H16="No - varies by person / team","Redesign / standardise first",IF(T16="No","Automate - AI not needed",IF(U16="Data gap","AI later - close data gap first",IF(V16="Beyond current position","Stretch - partner or later stage","AI fit now"))))))</f>
        <v/>
      </c>
      <c r="X16" s="41" t="str">
        <f>IF(OR(W16="",W16="Complete inputs"),"",ROUND(0.3*INDEX(Lists!$N$8:$N$10,MATCH(F16,Lists!$M$8:$M$10,0))+0.25*IF(G16&lt;20,1,IF(G16&lt;80,2,IF(G16&lt;160,3,IF(G16&lt;480,4,5))))+0.25*J16+0.2*K16,2))</f>
        <v/>
      </c>
      <c r="Y16" s="41" t="str">
        <f>IF(X16="","",ROUND(0.3*IF(U16="Data ready",5,IF(INDEX(Lists!$N$2:$N$5,MATCH(I16,Lists!$M$2:$M$5,0))=INDEX(Lists!$E$2:$E$11,MATCH(R16,Lists!$B$2:$B$11,0))-1,3,1))+0.25*INDEX(Lists!$N$13:$N$15,MATCH(H16,Lists!$M$13:$M$15,0))+0.25*(6-S16)+0.2*IF(V16="Within current position",5,2),2))</f>
        <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
      </c>
      <c r="AA16" s="38" t="str">
        <f>IF(X16="","",IF(AND(X16&gt;=$C$4,Y16&gt;=$C$4),"Quick win",IF(X16&gt;=$C$4,"Strategic bet",IF(Y16&gt;=$C$4,"Fill-in","Deprioritise"))))</f>
        <v/>
      </c>
      <c r="AB16" s="41" t="str">
        <f>IF(X16="","",ROUND(X16*Y16*IF(Z16="High",0.85,1)*IF(W16="Redesign / standardise first",0.8,1),2))</f>
        <v/>
      </c>
      <c r="AC16" s="42" t="str">
        <f>IF(AB16="","",RANK(AB16,$AB$8:$AB$57)+COUNTIF($AB$7:AB15,AB16))</f>
        <v/>
      </c>
      <c r="AD16" s="39" t="str">
        <f>IF(AH16="","",INDEX(Lists!$AV$2:$AV$5,AH16))</f>
        <v/>
      </c>
      <c r="AE16" s="43" t="str">
        <f>IF(AB16="","",ROUND(G16*12*INDEX(Lists!$F$2:$F$11,MATCH(R16,Lists!$B$2:$B$11,0)),0))</f>
        <v/>
      </c>
      <c r="AF16" s="44" t="str">
        <f>IF(OR(B16="",R16=""),"",IF(O16="Custom",INDEX(Lists!$I$2:$I$11,MATCH(R16,Lists!$B$2:$B$11,0)),INDEX('2. Use-Case Library'!$H$5:$H$244,MATCH($O16,'2. Use-Case Library'!$A$5:$A$244,0))))</f>
        <v/>
      </c>
      <c r="AG16" s="44" t="str">
        <f>IF(OR(B16="",O16="Custom"),"",INDEX('2. Use-Case Library'!$K$5:$K$244,MATCH($O16,'2. Use-Case Library'!$A$5:$A$244,0)))</f>
        <v/>
      </c>
      <c r="AH16" s="38" t="str">
        <f>IF(AB16="","",IF(AA16="Deprioritise",4,IF(W16="AI later - close data gap first",3,IF(OR(W16="Redesign / standardise first",W16="Stretch - partner or later stage",AA16="Strategic bet",Z16="High",S16=5),2,1))))</f>
        <v/>
      </c>
      <c r="AI16" s="38" t="str">
        <f>IF(AC16="","",AH16*100+AC16)</f>
        <v/>
      </c>
      <c r="AJ16" s="38" t="str">
        <f>IF(B16="","",IF(O16="Custom",B16,INDEX('2. Use-Case Library'!$D$5:$D$244,MATCH($O16,'2. Use-Case Library'!$A$5:$A$244,0))))</f>
        <v/>
      </c>
    </row>
    <row r="17" ht="52" customHeight="1">
      <c r="A17" s="14" t="n">
        <v>10</v>
      </c>
      <c r="B17" s="37" t="n"/>
      <c r="C17" s="37" t="n"/>
      <c r="D17" s="37" t="n"/>
      <c r="E17" s="37" t="n"/>
      <c r="F17" s="37" t="n"/>
      <c r="G17" s="37" t="n"/>
      <c r="H17" s="37" t="n"/>
      <c r="I17" s="37" t="n"/>
      <c r="J17" s="37" t="n"/>
      <c r="K17" s="37" t="n"/>
      <c r="L17" s="37" t="n"/>
      <c r="M17" s="37" t="n"/>
      <c r="N17" s="37" t="n"/>
      <c r="O17" s="38" t="str">
        <f>IF(B17="","",IFERROR(INDEX('2. Use-Case Library'!$A$5:$A$244,MATCH(B17,'2. Use-Case Library'!$M$5:$M$244,0)),"Custom"))</f>
        <v/>
      </c>
      <c r="P17" s="39" t="str">
        <f>IF(B17="","",IF(O17="Custom",IF(E17="","(select function in E)",E17),INDEX('2. Use-Case Library'!$C$5:$C$244,MATCH($O17,'2. Use-Case Library'!$A$5:$A$244,0))))</f>
        <v/>
      </c>
      <c r="Q17" s="39" t="str">
        <f>IF(B17="","",IF(D17&lt;&gt;"",D17,IF(O17="Custom","",INDEX('2. Use-Case Library'!$F$5:$F$244,MATCH($O17,'2. Use-Case Library'!$A$5:$A$244,0)))))</f>
        <v/>
      </c>
      <c r="R17" s="39" t="str">
        <f>IF(Q17="","",INDEX(Lists!$B$2:$B$11,MATCH(Q17,Lists!$A$2:$A$11,0)))</f>
        <v/>
      </c>
      <c r="S17" s="38" t="str">
        <f>IF(R17="","",INDEX(Lists!$C$2:$C$11,MATCH(R17,Lists!$B$2:$B$11,0)))</f>
        <v/>
      </c>
      <c r="T17" s="38" t="str">
        <f>IF(R17="","",INDEX(Lists!$D$2:$D$11,MATCH(R17,Lists!$B$2:$B$11,0)))</f>
        <v/>
      </c>
      <c r="U17" s="38" t="str">
        <f>IF(OR(R17="",I17=""),"",IF(INDEX(Lists!$N$2:$N$5,MATCH(I17,Lists!$M$2:$M$5,0))&gt;=INDEX(Lists!$E$2:$E$11,MATCH(R17,Lists!$B$2:$B$11,0)),"Data ready","Data gap"))</f>
        <v/>
      </c>
      <c r="V17" s="39" t="str">
        <f>IF(R17="","",IF(S17&lt;=IF('1. AI Position'!$C$30="",5,INDEX(Lists!$AI$2:$AI$5,'1. AI Position'!$C$30)),"Within current position","Beyond current position"))</f>
        <v/>
      </c>
      <c r="W17" s="40" t="str">
        <f>IF(B17="","",IF(OR(COUNTA(F17:N17)&lt;9,Q17=""),"Complete inputs",IF(H17="No - varies by person / team","Redesign / standardise first",IF(T17="No","Automate - AI not needed",IF(U17="Data gap","AI later - close data gap first",IF(V17="Beyond current position","Stretch - partner or later stage","AI fit now"))))))</f>
        <v/>
      </c>
      <c r="X17" s="41" t="str">
        <f>IF(OR(W17="",W17="Complete inputs"),"",ROUND(0.3*INDEX(Lists!$N$8:$N$10,MATCH(F17,Lists!$M$8:$M$10,0))+0.25*IF(G17&lt;20,1,IF(G17&lt;80,2,IF(G17&lt;160,3,IF(G17&lt;480,4,5))))+0.25*J17+0.2*K17,2))</f>
        <v/>
      </c>
      <c r="Y17" s="41" t="str">
        <f>IF(X17="","",ROUND(0.3*IF(U17="Data ready",5,IF(INDEX(Lists!$N$2:$N$5,MATCH(I17,Lists!$M$2:$M$5,0))=INDEX(Lists!$E$2:$E$11,MATCH(R17,Lists!$B$2:$B$11,0))-1,3,1))+0.25*INDEX(Lists!$N$13:$N$15,MATCH(H17,Lists!$M$13:$M$15,0))+0.25*(6-S17)+0.2*IF(V17="Within current position",5,2),2))</f>
        <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
      </c>
      <c r="AA17" s="38" t="str">
        <f>IF(X17="","",IF(AND(X17&gt;=$C$4,Y17&gt;=$C$4),"Quick win",IF(X17&gt;=$C$4,"Strategic bet",IF(Y17&gt;=$C$4,"Fill-in","Deprioritise"))))</f>
        <v/>
      </c>
      <c r="AB17" s="41" t="str">
        <f>IF(X17="","",ROUND(X17*Y17*IF(Z17="High",0.85,1)*IF(W17="Redesign / standardise first",0.8,1),2))</f>
        <v/>
      </c>
      <c r="AC17" s="42" t="str">
        <f>IF(AB17="","",RANK(AB17,$AB$8:$AB$57)+COUNTIF($AB$7:AB16,AB17))</f>
        <v/>
      </c>
      <c r="AD17" s="39" t="str">
        <f>IF(AH17="","",INDEX(Lists!$AV$2:$AV$5,AH17))</f>
        <v/>
      </c>
      <c r="AE17" s="43" t="str">
        <f>IF(AB17="","",ROUND(G17*12*INDEX(Lists!$F$2:$F$11,MATCH(R17,Lists!$B$2:$B$11,0)),0))</f>
        <v/>
      </c>
      <c r="AF17" s="44" t="str">
        <f>IF(OR(B17="",R17=""),"",IF(O17="Custom",INDEX(Lists!$I$2:$I$11,MATCH(R17,Lists!$B$2:$B$11,0)),INDEX('2. Use-Case Library'!$H$5:$H$244,MATCH($O17,'2. Use-Case Library'!$A$5:$A$244,0))))</f>
        <v/>
      </c>
      <c r="AG17" s="44" t="str">
        <f>IF(OR(B17="",O17="Custom"),"",INDEX('2. Use-Case Library'!$K$5:$K$244,MATCH($O17,'2. Use-Case Library'!$A$5:$A$244,0)))</f>
        <v/>
      </c>
      <c r="AH17" s="38" t="str">
        <f>IF(AB17="","",IF(AA17="Deprioritise",4,IF(W17="AI later - close data gap first",3,IF(OR(W17="Redesign / standardise first",W17="Stretch - partner or later stage",AA17="Strategic bet",Z17="High",S17=5),2,1))))</f>
        <v/>
      </c>
      <c r="AI17" s="38" t="str">
        <f>IF(AC17="","",AH17*100+AC17)</f>
        <v/>
      </c>
      <c r="AJ17" s="38" t="str">
        <f>IF(B17="","",IF(O17="Custom",B17,INDEX('2. Use-Case Library'!$D$5:$D$244,MATCH($O17,'2. Use-Case Library'!$A$5:$A$244,0))))</f>
        <v/>
      </c>
    </row>
    <row r="18" ht="52" customHeight="1">
      <c r="A18" s="14" t="n">
        <v>11</v>
      </c>
      <c r="B18" s="37" t="n"/>
      <c r="C18" s="37" t="n"/>
      <c r="D18" s="37" t="n"/>
      <c r="E18" s="37" t="n"/>
      <c r="F18" s="37" t="n"/>
      <c r="G18" s="37" t="n"/>
      <c r="H18" s="37" t="n"/>
      <c r="I18" s="37" t="n"/>
      <c r="J18" s="37" t="n"/>
      <c r="K18" s="37" t="n"/>
      <c r="L18" s="37" t="n"/>
      <c r="M18" s="37" t="n"/>
      <c r="N18" s="37" t="n"/>
      <c r="O18" s="38" t="str">
        <f>IF(B18="","",IFERROR(INDEX('2. Use-Case Library'!$A$5:$A$244,MATCH(B18,'2. Use-Case Library'!$M$5:$M$244,0)),"Custom"))</f>
        <v/>
      </c>
      <c r="P18" s="39" t="str">
        <f>IF(B18="","",IF(O18="Custom",IF(E18="","(select function in E)",E18),INDEX('2. Use-Case Library'!$C$5:$C$244,MATCH($O18,'2. Use-Case Library'!$A$5:$A$244,0))))</f>
        <v/>
      </c>
      <c r="Q18" s="39" t="str">
        <f>IF(B18="","",IF(D18&lt;&gt;"",D18,IF(O18="Custom","",INDEX('2. Use-Case Library'!$F$5:$F$244,MATCH($O18,'2. Use-Case Library'!$A$5:$A$244,0)))))</f>
        <v/>
      </c>
      <c r="R18" s="39" t="str">
        <f>IF(Q18="","",INDEX(Lists!$B$2:$B$11,MATCH(Q18,Lists!$A$2:$A$11,0)))</f>
        <v/>
      </c>
      <c r="S18" s="38" t="str">
        <f>IF(R18="","",INDEX(Lists!$C$2:$C$11,MATCH(R18,Lists!$B$2:$B$11,0)))</f>
        <v/>
      </c>
      <c r="T18" s="38" t="str">
        <f>IF(R18="","",INDEX(Lists!$D$2:$D$11,MATCH(R18,Lists!$B$2:$B$11,0)))</f>
        <v/>
      </c>
      <c r="U18" s="38" t="str">
        <f>IF(OR(R18="",I18=""),"",IF(INDEX(Lists!$N$2:$N$5,MATCH(I18,Lists!$M$2:$M$5,0))&gt;=INDEX(Lists!$E$2:$E$11,MATCH(R18,Lists!$B$2:$B$11,0)),"Data ready","Data gap"))</f>
        <v/>
      </c>
      <c r="V18" s="39" t="str">
        <f>IF(R18="","",IF(S18&lt;=IF('1. AI Position'!$C$30="",5,INDEX(Lists!$AI$2:$AI$5,'1. AI Position'!$C$30)),"Within current position","Beyond current position"))</f>
        <v/>
      </c>
      <c r="W18" s="40" t="str">
        <f>IF(B18="","",IF(OR(COUNTA(F18:N18)&lt;9,Q18=""),"Complete inputs",IF(H18="No - varies by person / team","Redesign / standardise first",IF(T18="No","Automate - AI not needed",IF(U18="Data gap","AI later - close data gap first",IF(V18="Beyond current position","Stretch - partner or later stage","AI fit now"))))))</f>
        <v/>
      </c>
      <c r="X18" s="41" t="str">
        <f>IF(OR(W18="",W18="Complete inputs"),"",ROUND(0.3*INDEX(Lists!$N$8:$N$10,MATCH(F18,Lists!$M$8:$M$10,0))+0.25*IF(G18&lt;20,1,IF(G18&lt;80,2,IF(G18&lt;160,3,IF(G18&lt;480,4,5))))+0.25*J18+0.2*K18,2))</f>
        <v/>
      </c>
      <c r="Y18" s="41" t="str">
        <f>IF(X18="","",ROUND(0.3*IF(U18="Data ready",5,IF(INDEX(Lists!$N$2:$N$5,MATCH(I18,Lists!$M$2:$M$5,0))=INDEX(Lists!$E$2:$E$11,MATCH(R18,Lists!$B$2:$B$11,0))-1,3,1))+0.25*INDEX(Lists!$N$13:$N$15,MATCH(H18,Lists!$M$13:$M$15,0))+0.25*(6-S18)+0.2*IF(V18="Within current position",5,2),2))</f>
        <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
      </c>
      <c r="AA18" s="38" t="str">
        <f>IF(X18="","",IF(AND(X18&gt;=$C$4,Y18&gt;=$C$4),"Quick win",IF(X18&gt;=$C$4,"Strategic bet",IF(Y18&gt;=$C$4,"Fill-in","Deprioritise"))))</f>
        <v/>
      </c>
      <c r="AB18" s="41" t="str">
        <f>IF(X18="","",ROUND(X18*Y18*IF(Z18="High",0.85,1)*IF(W18="Redesign / standardise first",0.8,1),2))</f>
        <v/>
      </c>
      <c r="AC18" s="42" t="str">
        <f>IF(AB18="","",RANK(AB18,$AB$8:$AB$57)+COUNTIF($AB$7:AB17,AB18))</f>
        <v/>
      </c>
      <c r="AD18" s="39" t="str">
        <f>IF(AH18="","",INDEX(Lists!$AV$2:$AV$5,AH18))</f>
        <v/>
      </c>
      <c r="AE18" s="43" t="str">
        <f>IF(AB18="","",ROUND(G18*12*INDEX(Lists!$F$2:$F$11,MATCH(R18,Lists!$B$2:$B$11,0)),0))</f>
        <v/>
      </c>
      <c r="AF18" s="44" t="str">
        <f>IF(OR(B18="",R18=""),"",IF(O18="Custom",INDEX(Lists!$I$2:$I$11,MATCH(R18,Lists!$B$2:$B$11,0)),INDEX('2. Use-Case Library'!$H$5:$H$244,MATCH($O18,'2. Use-Case Library'!$A$5:$A$244,0))))</f>
        <v/>
      </c>
      <c r="AG18" s="44" t="str">
        <f>IF(OR(B18="",O18="Custom"),"",INDEX('2. Use-Case Library'!$K$5:$K$244,MATCH($O18,'2. Use-Case Library'!$A$5:$A$244,0)))</f>
        <v/>
      </c>
      <c r="AH18" s="38" t="str">
        <f>IF(AB18="","",IF(AA18="Deprioritise",4,IF(W18="AI later - close data gap first",3,IF(OR(W18="Redesign / standardise first",W18="Stretch - partner or later stage",AA18="Strategic bet",Z18="High",S18=5),2,1))))</f>
        <v/>
      </c>
      <c r="AI18" s="38" t="str">
        <f>IF(AC18="","",AH18*100+AC18)</f>
        <v/>
      </c>
      <c r="AJ18" s="38" t="str">
        <f>IF(B18="","",IF(O18="Custom",B18,INDEX('2. Use-Case Library'!$D$5:$D$244,MATCH($O18,'2. Use-Case Library'!$A$5:$A$244,0))))</f>
        <v/>
      </c>
    </row>
    <row r="19" ht="52" customHeight="1">
      <c r="A19" s="14" t="n">
        <v>12</v>
      </c>
      <c r="B19" s="37" t="n"/>
      <c r="C19" s="37" t="n"/>
      <c r="D19" s="37" t="n"/>
      <c r="E19" s="37" t="n"/>
      <c r="F19" s="37" t="n"/>
      <c r="G19" s="37" t="n"/>
      <c r="H19" s="37" t="n"/>
      <c r="I19" s="37" t="n"/>
      <c r="J19" s="37" t="n"/>
      <c r="K19" s="37" t="n"/>
      <c r="L19" s="37" t="n"/>
      <c r="M19" s="37" t="n"/>
      <c r="N19" s="37" t="n"/>
      <c r="O19" s="38" t="str">
        <f>IF(B19="","",IFERROR(INDEX('2. Use-Case Library'!$A$5:$A$244,MATCH(B19,'2. Use-Case Library'!$M$5:$M$244,0)),"Custom"))</f>
        <v/>
      </c>
      <c r="P19" s="39" t="str">
        <f>IF(B19="","",IF(O19="Custom",IF(E19="","(select function in E)",E19),INDEX('2. Use-Case Library'!$C$5:$C$244,MATCH($O19,'2. Use-Case Library'!$A$5:$A$244,0))))</f>
        <v/>
      </c>
      <c r="Q19" s="39" t="str">
        <f>IF(B19="","",IF(D19&lt;&gt;"",D19,IF(O19="Custom","",INDEX('2. Use-Case Library'!$F$5:$F$244,MATCH($O19,'2. Use-Case Library'!$A$5:$A$244,0)))))</f>
        <v/>
      </c>
      <c r="R19" s="39" t="str">
        <f>IF(Q19="","",INDEX(Lists!$B$2:$B$11,MATCH(Q19,Lists!$A$2:$A$11,0)))</f>
        <v/>
      </c>
      <c r="S19" s="38" t="str">
        <f>IF(R19="","",INDEX(Lists!$C$2:$C$11,MATCH(R19,Lists!$B$2:$B$11,0)))</f>
        <v/>
      </c>
      <c r="T19" s="38" t="str">
        <f>IF(R19="","",INDEX(Lists!$D$2:$D$11,MATCH(R19,Lists!$B$2:$B$11,0)))</f>
        <v/>
      </c>
      <c r="U19" s="38" t="str">
        <f>IF(OR(R19="",I19=""),"",IF(INDEX(Lists!$N$2:$N$5,MATCH(I19,Lists!$M$2:$M$5,0))&gt;=INDEX(Lists!$E$2:$E$11,MATCH(R19,Lists!$B$2:$B$11,0)),"Data ready","Data gap"))</f>
        <v/>
      </c>
      <c r="V19" s="39" t="str">
        <f>IF(R19="","",IF(S19&lt;=IF('1. AI Position'!$C$30="",5,INDEX(Lists!$AI$2:$AI$5,'1. AI Position'!$C$30)),"Within current position","Beyond current position"))</f>
        <v/>
      </c>
      <c r="W19" s="40" t="str">
        <f>IF(B19="","",IF(OR(COUNTA(F19:N19)&lt;9,Q19=""),"Complete inputs",IF(H19="No - varies by person / team","Redesign / standardise first",IF(T19="No","Automate - AI not needed",IF(U19="Data gap","AI later - close data gap first",IF(V19="Beyond current position","Stretch - partner or later stage","AI fit now"))))))</f>
        <v/>
      </c>
      <c r="X19" s="41" t="str">
        <f>IF(OR(W19="",W19="Complete inputs"),"",ROUND(0.3*INDEX(Lists!$N$8:$N$10,MATCH(F19,Lists!$M$8:$M$10,0))+0.25*IF(G19&lt;20,1,IF(G19&lt;80,2,IF(G19&lt;160,3,IF(G19&lt;480,4,5))))+0.25*J19+0.2*K19,2))</f>
        <v/>
      </c>
      <c r="Y19" s="41" t="str">
        <f>IF(X19="","",ROUND(0.3*IF(U19="Data ready",5,IF(INDEX(Lists!$N$2:$N$5,MATCH(I19,Lists!$M$2:$M$5,0))=INDEX(Lists!$E$2:$E$11,MATCH(R19,Lists!$B$2:$B$11,0))-1,3,1))+0.25*INDEX(Lists!$N$13:$N$15,MATCH(H19,Lists!$M$13:$M$15,0))+0.25*(6-S19)+0.2*IF(V19="Within current position",5,2),2))</f>
        <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
      </c>
      <c r="AA19" s="38" t="str">
        <f>IF(X19="","",IF(AND(X19&gt;=$C$4,Y19&gt;=$C$4),"Quick win",IF(X19&gt;=$C$4,"Strategic bet",IF(Y19&gt;=$C$4,"Fill-in","Deprioritise"))))</f>
        <v/>
      </c>
      <c r="AB19" s="41" t="str">
        <f>IF(X19="","",ROUND(X19*Y19*IF(Z19="High",0.85,1)*IF(W19="Redesign / standardise first",0.8,1),2))</f>
        <v/>
      </c>
      <c r="AC19" s="42" t="str">
        <f>IF(AB19="","",RANK(AB19,$AB$8:$AB$57)+COUNTIF($AB$7:AB18,AB19))</f>
        <v/>
      </c>
      <c r="AD19" s="39" t="str">
        <f>IF(AH19="","",INDEX(Lists!$AV$2:$AV$5,AH19))</f>
        <v/>
      </c>
      <c r="AE19" s="43" t="str">
        <f>IF(AB19="","",ROUND(G19*12*INDEX(Lists!$F$2:$F$11,MATCH(R19,Lists!$B$2:$B$11,0)),0))</f>
        <v/>
      </c>
      <c r="AF19" s="44" t="str">
        <f>IF(OR(B19="",R19=""),"",IF(O19="Custom",INDEX(Lists!$I$2:$I$11,MATCH(R19,Lists!$B$2:$B$11,0)),INDEX('2. Use-Case Library'!$H$5:$H$244,MATCH($O19,'2. Use-Case Library'!$A$5:$A$244,0))))</f>
        <v/>
      </c>
      <c r="AG19" s="44" t="str">
        <f>IF(OR(B19="",O19="Custom"),"",INDEX('2. Use-Case Library'!$K$5:$K$244,MATCH($O19,'2. Use-Case Library'!$A$5:$A$244,0)))</f>
        <v/>
      </c>
      <c r="AH19" s="38" t="str">
        <f>IF(AB19="","",IF(AA19="Deprioritise",4,IF(W19="AI later - close data gap first",3,IF(OR(W19="Redesign / standardise first",W19="Stretch - partner or later stage",AA19="Strategic bet",Z19="High",S19=5),2,1))))</f>
        <v/>
      </c>
      <c r="AI19" s="38" t="str">
        <f>IF(AC19="","",AH19*100+AC19)</f>
        <v/>
      </c>
      <c r="AJ19" s="38" t="str">
        <f>IF(B19="","",IF(O19="Custom",B19,INDEX('2. Use-Case Library'!$D$5:$D$244,MATCH($O19,'2. Use-Case Library'!$A$5:$A$244,0))))</f>
        <v/>
      </c>
    </row>
    <row r="20" ht="52" customHeight="1">
      <c r="A20" s="14" t="n">
        <v>13</v>
      </c>
      <c r="B20" s="37" t="n"/>
      <c r="C20" s="37" t="n"/>
      <c r="D20" s="37" t="n"/>
      <c r="E20" s="37" t="n"/>
      <c r="F20" s="37" t="n"/>
      <c r="G20" s="37" t="n"/>
      <c r="H20" s="37" t="n"/>
      <c r="I20" s="37" t="n"/>
      <c r="J20" s="37" t="n"/>
      <c r="K20" s="37" t="n"/>
      <c r="L20" s="37" t="n"/>
      <c r="M20" s="37" t="n"/>
      <c r="N20" s="37" t="n"/>
      <c r="O20" s="38" t="str">
        <f>IF(B20="","",IFERROR(INDEX('2. Use-Case Library'!$A$5:$A$244,MATCH(B20,'2. Use-Case Library'!$M$5:$M$244,0)),"Custom"))</f>
        <v/>
      </c>
      <c r="P20" s="39" t="str">
        <f>IF(B20="","",IF(O20="Custom",IF(E20="","(select function in E)",E20),INDEX('2. Use-Case Library'!$C$5:$C$244,MATCH($O20,'2. Use-Case Library'!$A$5:$A$244,0))))</f>
        <v/>
      </c>
      <c r="Q20" s="39" t="str">
        <f>IF(B20="","",IF(D20&lt;&gt;"",D20,IF(O20="Custom","",INDEX('2. Use-Case Library'!$F$5:$F$244,MATCH($O20,'2. Use-Case Library'!$A$5:$A$244,0)))))</f>
        <v/>
      </c>
      <c r="R20" s="39" t="str">
        <f>IF(Q20="","",INDEX(Lists!$B$2:$B$11,MATCH(Q20,Lists!$A$2:$A$11,0)))</f>
        <v/>
      </c>
      <c r="S20" s="38" t="str">
        <f>IF(R20="","",INDEX(Lists!$C$2:$C$11,MATCH(R20,Lists!$B$2:$B$11,0)))</f>
        <v/>
      </c>
      <c r="T20" s="38" t="str">
        <f>IF(R20="","",INDEX(Lists!$D$2:$D$11,MATCH(R20,Lists!$B$2:$B$11,0)))</f>
        <v/>
      </c>
      <c r="U20" s="38" t="str">
        <f>IF(OR(R20="",I20=""),"",IF(INDEX(Lists!$N$2:$N$5,MATCH(I20,Lists!$M$2:$M$5,0))&gt;=INDEX(Lists!$E$2:$E$11,MATCH(R20,Lists!$B$2:$B$11,0)),"Data ready","Data gap"))</f>
        <v/>
      </c>
      <c r="V20" s="39" t="str">
        <f>IF(R20="","",IF(S20&lt;=IF('1. AI Position'!$C$30="",5,INDEX(Lists!$AI$2:$AI$5,'1. AI Position'!$C$30)),"Within current position","Beyond current position"))</f>
        <v/>
      </c>
      <c r="W20" s="40" t="str">
        <f>IF(B20="","",IF(OR(COUNTA(F20:N20)&lt;9,Q20=""),"Complete inputs",IF(H20="No - varies by person / team","Redesign / standardise first",IF(T20="No","Automate - AI not needed",IF(U20="Data gap","AI later - close data gap first",IF(V20="Beyond current position","Stretch - partner or later stage","AI fit now"))))))</f>
        <v/>
      </c>
      <c r="X20" s="41" t="str">
        <f>IF(OR(W20="",W20="Complete inputs"),"",ROUND(0.3*INDEX(Lists!$N$8:$N$10,MATCH(F20,Lists!$M$8:$M$10,0))+0.25*IF(G20&lt;20,1,IF(G20&lt;80,2,IF(G20&lt;160,3,IF(G20&lt;480,4,5))))+0.25*J20+0.2*K20,2))</f>
        <v/>
      </c>
      <c r="Y20" s="41" t="str">
        <f>IF(X20="","",ROUND(0.3*IF(U20="Data ready",5,IF(INDEX(Lists!$N$2:$N$5,MATCH(I20,Lists!$M$2:$M$5,0))=INDEX(Lists!$E$2:$E$11,MATCH(R20,Lists!$B$2:$B$11,0))-1,3,1))+0.25*INDEX(Lists!$N$13:$N$15,MATCH(H20,Lists!$M$13:$M$15,0))+0.25*(6-S20)+0.2*IF(V20="Within current position",5,2),2))</f>
        <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
      </c>
      <c r="AA20" s="38" t="str">
        <f>IF(X20="","",IF(AND(X20&gt;=$C$4,Y20&gt;=$C$4),"Quick win",IF(X20&gt;=$C$4,"Strategic bet",IF(Y20&gt;=$C$4,"Fill-in","Deprioritise"))))</f>
        <v/>
      </c>
      <c r="AB20" s="41" t="str">
        <f>IF(X20="","",ROUND(X20*Y20*IF(Z20="High",0.85,1)*IF(W20="Redesign / standardise first",0.8,1),2))</f>
        <v/>
      </c>
      <c r="AC20" s="42" t="str">
        <f>IF(AB20="","",RANK(AB20,$AB$8:$AB$57)+COUNTIF($AB$7:AB19,AB20))</f>
        <v/>
      </c>
      <c r="AD20" s="39" t="str">
        <f>IF(AH20="","",INDEX(Lists!$AV$2:$AV$5,AH20))</f>
        <v/>
      </c>
      <c r="AE20" s="43" t="str">
        <f>IF(AB20="","",ROUND(G20*12*INDEX(Lists!$F$2:$F$11,MATCH(R20,Lists!$B$2:$B$11,0)),0))</f>
        <v/>
      </c>
      <c r="AF20" s="44" t="str">
        <f>IF(OR(B20="",R20=""),"",IF(O20="Custom",INDEX(Lists!$I$2:$I$11,MATCH(R20,Lists!$B$2:$B$11,0)),INDEX('2. Use-Case Library'!$H$5:$H$244,MATCH($O20,'2. Use-Case Library'!$A$5:$A$244,0))))</f>
        <v/>
      </c>
      <c r="AG20" s="44" t="str">
        <f>IF(OR(B20="",O20="Custom"),"",INDEX('2. Use-Case Library'!$K$5:$K$244,MATCH($O20,'2. Use-Case Library'!$A$5:$A$244,0)))</f>
        <v/>
      </c>
      <c r="AH20" s="38" t="str">
        <f>IF(AB20="","",IF(AA20="Deprioritise",4,IF(W20="AI later - close data gap first",3,IF(OR(W20="Redesign / standardise first",W20="Stretch - partner or later stage",AA20="Strategic bet",Z20="High",S20=5),2,1))))</f>
        <v/>
      </c>
      <c r="AI20" s="38" t="str">
        <f>IF(AC20="","",AH20*100+AC20)</f>
        <v/>
      </c>
      <c r="AJ20" s="38" t="str">
        <f>IF(B20="","",IF(O20="Custom",B20,INDEX('2. Use-Case Library'!$D$5:$D$244,MATCH($O20,'2. Use-Case Library'!$A$5:$A$244,0))))</f>
        <v/>
      </c>
    </row>
    <row r="21" ht="52" customHeight="1">
      <c r="A21" s="14" t="n">
        <v>14</v>
      </c>
      <c r="B21" s="37" t="n"/>
      <c r="C21" s="37" t="n"/>
      <c r="D21" s="37" t="n"/>
      <c r="E21" s="37" t="n"/>
      <c r="F21" s="37" t="n"/>
      <c r="G21" s="37" t="n"/>
      <c r="H21" s="37" t="n"/>
      <c r="I21" s="37" t="n"/>
      <c r="J21" s="37" t="n"/>
      <c r="K21" s="37" t="n"/>
      <c r="L21" s="37" t="n"/>
      <c r="M21" s="37" t="n"/>
      <c r="N21" s="37" t="n"/>
      <c r="O21" s="38" t="str">
        <f>IF(B21="","",IFERROR(INDEX('2. Use-Case Library'!$A$5:$A$244,MATCH(B21,'2. Use-Case Library'!$M$5:$M$244,0)),"Custom"))</f>
        <v/>
      </c>
      <c r="P21" s="39" t="str">
        <f>IF(B21="","",IF(O21="Custom",IF(E21="","(select function in E)",E21),INDEX('2. Use-Case Library'!$C$5:$C$244,MATCH($O21,'2. Use-Case Library'!$A$5:$A$244,0))))</f>
        <v/>
      </c>
      <c r="Q21" s="39" t="str">
        <f>IF(B21="","",IF(D21&lt;&gt;"",D21,IF(O21="Custom","",INDEX('2. Use-Case Library'!$F$5:$F$244,MATCH($O21,'2. Use-Case Library'!$A$5:$A$244,0)))))</f>
        <v/>
      </c>
      <c r="R21" s="39" t="str">
        <f>IF(Q21="","",INDEX(Lists!$B$2:$B$11,MATCH(Q21,Lists!$A$2:$A$11,0)))</f>
        <v/>
      </c>
      <c r="S21" s="38" t="str">
        <f>IF(R21="","",INDEX(Lists!$C$2:$C$11,MATCH(R21,Lists!$B$2:$B$11,0)))</f>
        <v/>
      </c>
      <c r="T21" s="38" t="str">
        <f>IF(R21="","",INDEX(Lists!$D$2:$D$11,MATCH(R21,Lists!$B$2:$B$11,0)))</f>
        <v/>
      </c>
      <c r="U21" s="38" t="str">
        <f>IF(OR(R21="",I21=""),"",IF(INDEX(Lists!$N$2:$N$5,MATCH(I21,Lists!$M$2:$M$5,0))&gt;=INDEX(Lists!$E$2:$E$11,MATCH(R21,Lists!$B$2:$B$11,0)),"Data ready","Data gap"))</f>
        <v/>
      </c>
      <c r="V21" s="39" t="str">
        <f>IF(R21="","",IF(S21&lt;=IF('1. AI Position'!$C$30="",5,INDEX(Lists!$AI$2:$AI$5,'1. AI Position'!$C$30)),"Within current position","Beyond current position"))</f>
        <v/>
      </c>
      <c r="W21" s="40" t="str">
        <f>IF(B21="","",IF(OR(COUNTA(F21:N21)&lt;9,Q21=""),"Complete inputs",IF(H21="No - varies by person / team","Redesign / standardise first",IF(T21="No","Automate - AI not needed",IF(U21="Data gap","AI later - close data gap first",IF(V21="Beyond current position","Stretch - partner or later stage","AI fit now"))))))</f>
        <v/>
      </c>
      <c r="X21" s="41" t="str">
        <f>IF(OR(W21="",W21="Complete inputs"),"",ROUND(0.3*INDEX(Lists!$N$8:$N$10,MATCH(F21,Lists!$M$8:$M$10,0))+0.25*IF(G21&lt;20,1,IF(G21&lt;80,2,IF(G21&lt;160,3,IF(G21&lt;480,4,5))))+0.25*J21+0.2*K21,2))</f>
        <v/>
      </c>
      <c r="Y21" s="41" t="str">
        <f>IF(X21="","",ROUND(0.3*IF(U21="Data ready",5,IF(INDEX(Lists!$N$2:$N$5,MATCH(I21,Lists!$M$2:$M$5,0))=INDEX(Lists!$E$2:$E$11,MATCH(R21,Lists!$B$2:$B$11,0))-1,3,1))+0.25*INDEX(Lists!$N$13:$N$15,MATCH(H21,Lists!$M$13:$M$15,0))+0.25*(6-S21)+0.2*IF(V21="Within current position",5,2),2))</f>
        <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
      </c>
      <c r="AA21" s="38" t="str">
        <f>IF(X21="","",IF(AND(X21&gt;=$C$4,Y21&gt;=$C$4),"Quick win",IF(X21&gt;=$C$4,"Strategic bet",IF(Y21&gt;=$C$4,"Fill-in","Deprioritise"))))</f>
        <v/>
      </c>
      <c r="AB21" s="41" t="str">
        <f>IF(X21="","",ROUND(X21*Y21*IF(Z21="High",0.85,1)*IF(W21="Redesign / standardise first",0.8,1),2))</f>
        <v/>
      </c>
      <c r="AC21" s="42" t="str">
        <f>IF(AB21="","",RANK(AB21,$AB$8:$AB$57)+COUNTIF($AB$7:AB20,AB21))</f>
        <v/>
      </c>
      <c r="AD21" s="39" t="str">
        <f>IF(AH21="","",INDEX(Lists!$AV$2:$AV$5,AH21))</f>
        <v/>
      </c>
      <c r="AE21" s="43" t="str">
        <f>IF(AB21="","",ROUND(G21*12*INDEX(Lists!$F$2:$F$11,MATCH(R21,Lists!$B$2:$B$11,0)),0))</f>
        <v/>
      </c>
      <c r="AF21" s="44" t="str">
        <f>IF(OR(B21="",R21=""),"",IF(O21="Custom",INDEX(Lists!$I$2:$I$11,MATCH(R21,Lists!$B$2:$B$11,0)),INDEX('2. Use-Case Library'!$H$5:$H$244,MATCH($O21,'2. Use-Case Library'!$A$5:$A$244,0))))</f>
        <v/>
      </c>
      <c r="AG21" s="44" t="str">
        <f>IF(OR(B21="",O21="Custom"),"",INDEX('2. Use-Case Library'!$K$5:$K$244,MATCH($O21,'2. Use-Case Library'!$A$5:$A$244,0)))</f>
        <v/>
      </c>
      <c r="AH21" s="38" t="str">
        <f>IF(AB21="","",IF(AA21="Deprioritise",4,IF(W21="AI later - close data gap first",3,IF(OR(W21="Redesign / standardise first",W21="Stretch - partner or later stage",AA21="Strategic bet",Z21="High",S21=5),2,1))))</f>
        <v/>
      </c>
      <c r="AI21" s="38" t="str">
        <f>IF(AC21="","",AH21*100+AC21)</f>
        <v/>
      </c>
      <c r="AJ21" s="38" t="str">
        <f>IF(B21="","",IF(O21="Custom",B21,INDEX('2. Use-Case Library'!$D$5:$D$244,MATCH($O21,'2. Use-Case Library'!$A$5:$A$244,0))))</f>
        <v/>
      </c>
    </row>
    <row r="22" ht="52" customHeight="1">
      <c r="A22" s="14" t="n">
        <v>15</v>
      </c>
      <c r="B22" s="37" t="n"/>
      <c r="C22" s="37" t="n"/>
      <c r="D22" s="37" t="n"/>
      <c r="E22" s="37" t="n"/>
      <c r="F22" s="37" t="n"/>
      <c r="G22" s="37" t="n"/>
      <c r="H22" s="37" t="n"/>
      <c r="I22" s="37" t="n"/>
      <c r="J22" s="37" t="n"/>
      <c r="K22" s="37" t="n"/>
      <c r="L22" s="37" t="n"/>
      <c r="M22" s="37" t="n"/>
      <c r="N22" s="37" t="n"/>
      <c r="O22" s="38" t="str">
        <f>IF(B22="","",IFERROR(INDEX('2. Use-Case Library'!$A$5:$A$244,MATCH(B22,'2. Use-Case Library'!$M$5:$M$244,0)),"Custom"))</f>
        <v/>
      </c>
      <c r="P22" s="39" t="str">
        <f>IF(B22="","",IF(O22="Custom",IF(E22="","(select function in E)",E22),INDEX('2. Use-Case Library'!$C$5:$C$244,MATCH($O22,'2. Use-Case Library'!$A$5:$A$244,0))))</f>
        <v/>
      </c>
      <c r="Q22" s="39" t="str">
        <f>IF(B22="","",IF(D22&lt;&gt;"",D22,IF(O22="Custom","",INDEX('2. Use-Case Library'!$F$5:$F$244,MATCH($O22,'2. Use-Case Library'!$A$5:$A$244,0)))))</f>
        <v/>
      </c>
      <c r="R22" s="39" t="str">
        <f>IF(Q22="","",INDEX(Lists!$B$2:$B$11,MATCH(Q22,Lists!$A$2:$A$11,0)))</f>
        <v/>
      </c>
      <c r="S22" s="38" t="str">
        <f>IF(R22="","",INDEX(Lists!$C$2:$C$11,MATCH(R22,Lists!$B$2:$B$11,0)))</f>
        <v/>
      </c>
      <c r="T22" s="38" t="str">
        <f>IF(R22="","",INDEX(Lists!$D$2:$D$11,MATCH(R22,Lists!$B$2:$B$11,0)))</f>
        <v/>
      </c>
      <c r="U22" s="38" t="str">
        <f>IF(OR(R22="",I22=""),"",IF(INDEX(Lists!$N$2:$N$5,MATCH(I22,Lists!$M$2:$M$5,0))&gt;=INDEX(Lists!$E$2:$E$11,MATCH(R22,Lists!$B$2:$B$11,0)),"Data ready","Data gap"))</f>
        <v/>
      </c>
      <c r="V22" s="39" t="str">
        <f>IF(R22="","",IF(S22&lt;=IF('1. AI Position'!$C$30="",5,INDEX(Lists!$AI$2:$AI$5,'1. AI Position'!$C$30)),"Within current position","Beyond current position"))</f>
        <v/>
      </c>
      <c r="W22" s="40" t="str">
        <f>IF(B22="","",IF(OR(COUNTA(F22:N22)&lt;9,Q22=""),"Complete inputs",IF(H22="No - varies by person / team","Redesign / standardise first",IF(T22="No","Automate - AI not needed",IF(U22="Data gap","AI later - close data gap first",IF(V22="Beyond current position","Stretch - partner or later stage","AI fit now"))))))</f>
        <v/>
      </c>
      <c r="X22" s="41" t="str">
        <f>IF(OR(W22="",W22="Complete inputs"),"",ROUND(0.3*INDEX(Lists!$N$8:$N$10,MATCH(F22,Lists!$M$8:$M$10,0))+0.25*IF(G22&lt;20,1,IF(G22&lt;80,2,IF(G22&lt;160,3,IF(G22&lt;480,4,5))))+0.25*J22+0.2*K22,2))</f>
        <v/>
      </c>
      <c r="Y22" s="41" t="str">
        <f>IF(X22="","",ROUND(0.3*IF(U22="Data ready",5,IF(INDEX(Lists!$N$2:$N$5,MATCH(I22,Lists!$M$2:$M$5,0))=INDEX(Lists!$E$2:$E$11,MATCH(R22,Lists!$B$2:$B$11,0))-1,3,1))+0.25*INDEX(Lists!$N$13:$N$15,MATCH(H22,Lists!$M$13:$M$15,0))+0.25*(6-S22)+0.2*IF(V22="Within current position",5,2),2))</f>
        <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
      </c>
      <c r="AA22" s="38" t="str">
        <f>IF(X22="","",IF(AND(X22&gt;=$C$4,Y22&gt;=$C$4),"Quick win",IF(X22&gt;=$C$4,"Strategic bet",IF(Y22&gt;=$C$4,"Fill-in","Deprioritise"))))</f>
        <v/>
      </c>
      <c r="AB22" s="41" t="str">
        <f>IF(X22="","",ROUND(X22*Y22*IF(Z22="High",0.85,1)*IF(W22="Redesign / standardise first",0.8,1),2))</f>
        <v/>
      </c>
      <c r="AC22" s="42" t="str">
        <f>IF(AB22="","",RANK(AB22,$AB$8:$AB$57)+COUNTIF($AB$7:AB21,AB22))</f>
        <v/>
      </c>
      <c r="AD22" s="39" t="str">
        <f>IF(AH22="","",INDEX(Lists!$AV$2:$AV$5,AH22))</f>
        <v/>
      </c>
      <c r="AE22" s="43" t="str">
        <f>IF(AB22="","",ROUND(G22*12*INDEX(Lists!$F$2:$F$11,MATCH(R22,Lists!$B$2:$B$11,0)),0))</f>
        <v/>
      </c>
      <c r="AF22" s="44" t="str">
        <f>IF(OR(B22="",R22=""),"",IF(O22="Custom",INDEX(Lists!$I$2:$I$11,MATCH(R22,Lists!$B$2:$B$11,0)),INDEX('2. Use-Case Library'!$H$5:$H$244,MATCH($O22,'2. Use-Case Library'!$A$5:$A$244,0))))</f>
        <v/>
      </c>
      <c r="AG22" s="44" t="str">
        <f>IF(OR(B22="",O22="Custom"),"",INDEX('2. Use-Case Library'!$K$5:$K$244,MATCH($O22,'2. Use-Case Library'!$A$5:$A$244,0)))</f>
        <v/>
      </c>
      <c r="AH22" s="38" t="str">
        <f>IF(AB22="","",IF(AA22="Deprioritise",4,IF(W22="AI later - close data gap first",3,IF(OR(W22="Redesign / standardise first",W22="Stretch - partner or later stage",AA22="Strategic bet",Z22="High",S22=5),2,1))))</f>
        <v/>
      </c>
      <c r="AI22" s="38" t="str">
        <f>IF(AC22="","",AH22*100+AC22)</f>
        <v/>
      </c>
      <c r="AJ22" s="38" t="str">
        <f>IF(B22="","",IF(O22="Custom",B22,INDEX('2. Use-Case Library'!$D$5:$D$244,MATCH($O22,'2. Use-Case Library'!$A$5:$A$244,0))))</f>
        <v/>
      </c>
    </row>
    <row r="23" ht="52" customHeight="1">
      <c r="A23" s="14" t="n">
        <v>16</v>
      </c>
      <c r="B23" s="37" t="n"/>
      <c r="C23" s="37" t="n"/>
      <c r="D23" s="37" t="n"/>
      <c r="E23" s="37" t="n"/>
      <c r="F23" s="37" t="n"/>
      <c r="G23" s="37" t="n"/>
      <c r="H23" s="37" t="n"/>
      <c r="I23" s="37" t="n"/>
      <c r="J23" s="37" t="n"/>
      <c r="K23" s="37" t="n"/>
      <c r="L23" s="37" t="n"/>
      <c r="M23" s="37" t="n"/>
      <c r="N23" s="37" t="n"/>
      <c r="O23" s="38" t="str">
        <f>IF(B23="","",IFERROR(INDEX('2. Use-Case Library'!$A$5:$A$244,MATCH(B23,'2. Use-Case Library'!$M$5:$M$244,0)),"Custom"))</f>
        <v/>
      </c>
      <c r="P23" s="39" t="str">
        <f>IF(B23="","",IF(O23="Custom",IF(E23="","(select function in E)",E23),INDEX('2. Use-Case Library'!$C$5:$C$244,MATCH($O23,'2. Use-Case Library'!$A$5:$A$244,0))))</f>
        <v/>
      </c>
      <c r="Q23" s="39" t="str">
        <f>IF(B23="","",IF(D23&lt;&gt;"",D23,IF(O23="Custom","",INDEX('2. Use-Case Library'!$F$5:$F$244,MATCH($O23,'2. Use-Case Library'!$A$5:$A$244,0)))))</f>
        <v/>
      </c>
      <c r="R23" s="39" t="str">
        <f>IF(Q23="","",INDEX(Lists!$B$2:$B$11,MATCH(Q23,Lists!$A$2:$A$11,0)))</f>
        <v/>
      </c>
      <c r="S23" s="38" t="str">
        <f>IF(R23="","",INDEX(Lists!$C$2:$C$11,MATCH(R23,Lists!$B$2:$B$11,0)))</f>
        <v/>
      </c>
      <c r="T23" s="38" t="str">
        <f>IF(R23="","",INDEX(Lists!$D$2:$D$11,MATCH(R23,Lists!$B$2:$B$11,0)))</f>
        <v/>
      </c>
      <c r="U23" s="38" t="str">
        <f>IF(OR(R23="",I23=""),"",IF(INDEX(Lists!$N$2:$N$5,MATCH(I23,Lists!$M$2:$M$5,0))&gt;=INDEX(Lists!$E$2:$E$11,MATCH(R23,Lists!$B$2:$B$11,0)),"Data ready","Data gap"))</f>
        <v/>
      </c>
      <c r="V23" s="39" t="str">
        <f>IF(R23="","",IF(S23&lt;=IF('1. AI Position'!$C$30="",5,INDEX(Lists!$AI$2:$AI$5,'1. AI Position'!$C$30)),"Within current position","Beyond current position"))</f>
        <v/>
      </c>
      <c r="W23" s="40" t="str">
        <f>IF(B23="","",IF(OR(COUNTA(F23:N23)&lt;9,Q23=""),"Complete inputs",IF(H23="No - varies by person / team","Redesign / standardise first",IF(T23="No","Automate - AI not needed",IF(U23="Data gap","AI later - close data gap first",IF(V23="Beyond current position","Stretch - partner or later stage","AI fit now"))))))</f>
        <v/>
      </c>
      <c r="X23" s="41" t="str">
        <f>IF(OR(W23="",W23="Complete inputs"),"",ROUND(0.3*INDEX(Lists!$N$8:$N$10,MATCH(F23,Lists!$M$8:$M$10,0))+0.25*IF(G23&lt;20,1,IF(G23&lt;80,2,IF(G23&lt;160,3,IF(G23&lt;480,4,5))))+0.25*J23+0.2*K23,2))</f>
        <v/>
      </c>
      <c r="Y23" s="41" t="str">
        <f>IF(X23="","",ROUND(0.3*IF(U23="Data ready",5,IF(INDEX(Lists!$N$2:$N$5,MATCH(I23,Lists!$M$2:$M$5,0))=INDEX(Lists!$E$2:$E$11,MATCH(R23,Lists!$B$2:$B$11,0))-1,3,1))+0.25*INDEX(Lists!$N$13:$N$15,MATCH(H23,Lists!$M$13:$M$15,0))+0.25*(6-S23)+0.2*IF(V23="Within current position",5,2),2))</f>
        <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
      </c>
      <c r="AA23" s="38" t="str">
        <f>IF(X23="","",IF(AND(X23&gt;=$C$4,Y23&gt;=$C$4),"Quick win",IF(X23&gt;=$C$4,"Strategic bet",IF(Y23&gt;=$C$4,"Fill-in","Deprioritise"))))</f>
        <v/>
      </c>
      <c r="AB23" s="41" t="str">
        <f>IF(X23="","",ROUND(X23*Y23*IF(Z23="High",0.85,1)*IF(W23="Redesign / standardise first",0.8,1),2))</f>
        <v/>
      </c>
      <c r="AC23" s="42" t="str">
        <f>IF(AB23="","",RANK(AB23,$AB$8:$AB$57)+COUNTIF($AB$7:AB22,AB23))</f>
        <v/>
      </c>
      <c r="AD23" s="39" t="str">
        <f>IF(AH23="","",INDEX(Lists!$AV$2:$AV$5,AH23))</f>
        <v/>
      </c>
      <c r="AE23" s="43" t="str">
        <f>IF(AB23="","",ROUND(G23*12*INDEX(Lists!$F$2:$F$11,MATCH(R23,Lists!$B$2:$B$11,0)),0))</f>
        <v/>
      </c>
      <c r="AF23" s="44" t="str">
        <f>IF(OR(B23="",R23=""),"",IF(O23="Custom",INDEX(Lists!$I$2:$I$11,MATCH(R23,Lists!$B$2:$B$11,0)),INDEX('2. Use-Case Library'!$H$5:$H$244,MATCH($O23,'2. Use-Case Library'!$A$5:$A$244,0))))</f>
        <v/>
      </c>
      <c r="AG23" s="44" t="str">
        <f>IF(OR(B23="",O23="Custom"),"",INDEX('2. Use-Case Library'!$K$5:$K$244,MATCH($O23,'2. Use-Case Library'!$A$5:$A$244,0)))</f>
        <v/>
      </c>
      <c r="AH23" s="38" t="str">
        <f>IF(AB23="","",IF(AA23="Deprioritise",4,IF(W23="AI later - close data gap first",3,IF(OR(W23="Redesign / standardise first",W23="Stretch - partner or later stage",AA23="Strategic bet",Z23="High",S23=5),2,1))))</f>
        <v/>
      </c>
      <c r="AI23" s="38" t="str">
        <f>IF(AC23="","",AH23*100+AC23)</f>
        <v/>
      </c>
      <c r="AJ23" s="38" t="str">
        <f>IF(B23="","",IF(O23="Custom",B23,INDEX('2. Use-Case Library'!$D$5:$D$244,MATCH($O23,'2. Use-Case Library'!$A$5:$A$244,0))))</f>
        <v/>
      </c>
    </row>
    <row r="24" ht="52" customHeight="1">
      <c r="A24" s="14" t="n">
        <v>17</v>
      </c>
      <c r="B24" s="37" t="n"/>
      <c r="C24" s="37" t="n"/>
      <c r="D24" s="37" t="n"/>
      <c r="E24" s="37" t="n"/>
      <c r="F24" s="37" t="n"/>
      <c r="G24" s="37" t="n"/>
      <c r="H24" s="37" t="n"/>
      <c r="I24" s="37" t="n"/>
      <c r="J24" s="37" t="n"/>
      <c r="K24" s="37" t="n"/>
      <c r="L24" s="37" t="n"/>
      <c r="M24" s="37" t="n"/>
      <c r="N24" s="37" t="n"/>
      <c r="O24" s="38" t="str">
        <f>IF(B24="","",IFERROR(INDEX('2. Use-Case Library'!$A$5:$A$244,MATCH(B24,'2. Use-Case Library'!$M$5:$M$244,0)),"Custom"))</f>
        <v/>
      </c>
      <c r="P24" s="39" t="str">
        <f>IF(B24="","",IF(O24="Custom",IF(E24="","(select function in E)",E24),INDEX('2. Use-Case Library'!$C$5:$C$244,MATCH($O24,'2. Use-Case Library'!$A$5:$A$244,0))))</f>
        <v/>
      </c>
      <c r="Q24" s="39" t="str">
        <f>IF(B24="","",IF(D24&lt;&gt;"",D24,IF(O24="Custom","",INDEX('2. Use-Case Library'!$F$5:$F$244,MATCH($O24,'2. Use-Case Library'!$A$5:$A$244,0)))))</f>
        <v/>
      </c>
      <c r="R24" s="39" t="str">
        <f>IF(Q24="","",INDEX(Lists!$B$2:$B$11,MATCH(Q24,Lists!$A$2:$A$11,0)))</f>
        <v/>
      </c>
      <c r="S24" s="38" t="str">
        <f>IF(R24="","",INDEX(Lists!$C$2:$C$11,MATCH(R24,Lists!$B$2:$B$11,0)))</f>
        <v/>
      </c>
      <c r="T24" s="38" t="str">
        <f>IF(R24="","",INDEX(Lists!$D$2:$D$11,MATCH(R24,Lists!$B$2:$B$11,0)))</f>
        <v/>
      </c>
      <c r="U24" s="38" t="str">
        <f>IF(OR(R24="",I24=""),"",IF(INDEX(Lists!$N$2:$N$5,MATCH(I24,Lists!$M$2:$M$5,0))&gt;=INDEX(Lists!$E$2:$E$11,MATCH(R24,Lists!$B$2:$B$11,0)),"Data ready","Data gap"))</f>
        <v/>
      </c>
      <c r="V24" s="39" t="str">
        <f>IF(R24="","",IF(S24&lt;=IF('1. AI Position'!$C$30="",5,INDEX(Lists!$AI$2:$AI$5,'1. AI Position'!$C$30)),"Within current position","Beyond current position"))</f>
        <v/>
      </c>
      <c r="W24" s="40" t="str">
        <f>IF(B24="","",IF(OR(COUNTA(F24:N24)&lt;9,Q24=""),"Complete inputs",IF(H24="No - varies by person / team","Redesign / standardise first",IF(T24="No","Automate - AI not needed",IF(U24="Data gap","AI later - close data gap first",IF(V24="Beyond current position","Stretch - partner or later stage","AI fit now"))))))</f>
        <v/>
      </c>
      <c r="X24" s="41" t="str">
        <f>IF(OR(W24="",W24="Complete inputs"),"",ROUND(0.3*INDEX(Lists!$N$8:$N$10,MATCH(F24,Lists!$M$8:$M$10,0))+0.25*IF(G24&lt;20,1,IF(G24&lt;80,2,IF(G24&lt;160,3,IF(G24&lt;480,4,5))))+0.25*J24+0.2*K24,2))</f>
        <v/>
      </c>
      <c r="Y24" s="41" t="str">
        <f>IF(X24="","",ROUND(0.3*IF(U24="Data ready",5,IF(INDEX(Lists!$N$2:$N$5,MATCH(I24,Lists!$M$2:$M$5,0))=INDEX(Lists!$E$2:$E$11,MATCH(R24,Lists!$B$2:$B$11,0))-1,3,1))+0.25*INDEX(Lists!$N$13:$N$15,MATCH(H24,Lists!$M$13:$M$15,0))+0.25*(6-S24)+0.2*IF(V24="Within current position",5,2),2))</f>
        <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
      </c>
      <c r="AA24" s="38" t="str">
        <f>IF(X24="","",IF(AND(X24&gt;=$C$4,Y24&gt;=$C$4),"Quick win",IF(X24&gt;=$C$4,"Strategic bet",IF(Y24&gt;=$C$4,"Fill-in","Deprioritise"))))</f>
        <v/>
      </c>
      <c r="AB24" s="41" t="str">
        <f>IF(X24="","",ROUND(X24*Y24*IF(Z24="High",0.85,1)*IF(W24="Redesign / standardise first",0.8,1),2))</f>
        <v/>
      </c>
      <c r="AC24" s="42" t="str">
        <f>IF(AB24="","",RANK(AB24,$AB$8:$AB$57)+COUNTIF($AB$7:AB23,AB24))</f>
        <v/>
      </c>
      <c r="AD24" s="39" t="str">
        <f>IF(AH24="","",INDEX(Lists!$AV$2:$AV$5,AH24))</f>
        <v/>
      </c>
      <c r="AE24" s="43" t="str">
        <f>IF(AB24="","",ROUND(G24*12*INDEX(Lists!$F$2:$F$11,MATCH(R24,Lists!$B$2:$B$11,0)),0))</f>
        <v/>
      </c>
      <c r="AF24" s="44" t="str">
        <f>IF(OR(B24="",R24=""),"",IF(O24="Custom",INDEX(Lists!$I$2:$I$11,MATCH(R24,Lists!$B$2:$B$11,0)),INDEX('2. Use-Case Library'!$H$5:$H$244,MATCH($O24,'2. Use-Case Library'!$A$5:$A$244,0))))</f>
        <v/>
      </c>
      <c r="AG24" s="44" t="str">
        <f>IF(OR(B24="",O24="Custom"),"",INDEX('2. Use-Case Library'!$K$5:$K$244,MATCH($O24,'2. Use-Case Library'!$A$5:$A$244,0)))</f>
        <v/>
      </c>
      <c r="AH24" s="38" t="str">
        <f>IF(AB24="","",IF(AA24="Deprioritise",4,IF(W24="AI later - close data gap first",3,IF(OR(W24="Redesign / standardise first",W24="Stretch - partner or later stage",AA24="Strategic bet",Z24="High",S24=5),2,1))))</f>
        <v/>
      </c>
      <c r="AI24" s="38" t="str">
        <f>IF(AC24="","",AH24*100+AC24)</f>
        <v/>
      </c>
      <c r="AJ24" s="38" t="str">
        <f>IF(B24="","",IF(O24="Custom",B24,INDEX('2. Use-Case Library'!$D$5:$D$244,MATCH($O24,'2. Use-Case Library'!$A$5:$A$244,0))))</f>
        <v/>
      </c>
    </row>
    <row r="25" ht="52" customHeight="1">
      <c r="A25" s="14" t="n">
        <v>18</v>
      </c>
      <c r="B25" s="37" t="n"/>
      <c r="C25" s="37" t="n"/>
      <c r="D25" s="37" t="n"/>
      <c r="E25" s="37" t="n"/>
      <c r="F25" s="37" t="n"/>
      <c r="G25" s="37" t="n"/>
      <c r="H25" s="37" t="n"/>
      <c r="I25" s="37" t="n"/>
      <c r="J25" s="37" t="n"/>
      <c r="K25" s="37" t="n"/>
      <c r="L25" s="37" t="n"/>
      <c r="M25" s="37" t="n"/>
      <c r="N25" s="37" t="n"/>
      <c r="O25" s="38" t="str">
        <f>IF(B25="","",IFERROR(INDEX('2. Use-Case Library'!$A$5:$A$244,MATCH(B25,'2. Use-Case Library'!$M$5:$M$244,0)),"Custom"))</f>
        <v/>
      </c>
      <c r="P25" s="39" t="str">
        <f>IF(B25="","",IF(O25="Custom",IF(E25="","(select function in E)",E25),INDEX('2. Use-Case Library'!$C$5:$C$244,MATCH($O25,'2. Use-Case Library'!$A$5:$A$244,0))))</f>
        <v/>
      </c>
      <c r="Q25" s="39" t="str">
        <f>IF(B25="","",IF(D25&lt;&gt;"",D25,IF(O25="Custom","",INDEX('2. Use-Case Library'!$F$5:$F$244,MATCH($O25,'2. Use-Case Library'!$A$5:$A$244,0)))))</f>
        <v/>
      </c>
      <c r="R25" s="39" t="str">
        <f>IF(Q25="","",INDEX(Lists!$B$2:$B$11,MATCH(Q25,Lists!$A$2:$A$11,0)))</f>
        <v/>
      </c>
      <c r="S25" s="38" t="str">
        <f>IF(R25="","",INDEX(Lists!$C$2:$C$11,MATCH(R25,Lists!$B$2:$B$11,0)))</f>
        <v/>
      </c>
      <c r="T25" s="38" t="str">
        <f>IF(R25="","",INDEX(Lists!$D$2:$D$11,MATCH(R25,Lists!$B$2:$B$11,0)))</f>
        <v/>
      </c>
      <c r="U25" s="38" t="str">
        <f>IF(OR(R25="",I25=""),"",IF(INDEX(Lists!$N$2:$N$5,MATCH(I25,Lists!$M$2:$M$5,0))&gt;=INDEX(Lists!$E$2:$E$11,MATCH(R25,Lists!$B$2:$B$11,0)),"Data ready","Data gap"))</f>
        <v/>
      </c>
      <c r="V25" s="39" t="str">
        <f>IF(R25="","",IF(S25&lt;=IF('1. AI Position'!$C$30="",5,INDEX(Lists!$AI$2:$AI$5,'1. AI Position'!$C$30)),"Within current position","Beyond current position"))</f>
        <v/>
      </c>
      <c r="W25" s="40" t="str">
        <f>IF(B25="","",IF(OR(COUNTA(F25:N25)&lt;9,Q25=""),"Complete inputs",IF(H25="No - varies by person / team","Redesign / standardise first",IF(T25="No","Automate - AI not needed",IF(U25="Data gap","AI later - close data gap first",IF(V25="Beyond current position","Stretch - partner or later stage","AI fit now"))))))</f>
        <v/>
      </c>
      <c r="X25" s="41" t="str">
        <f>IF(OR(W25="",W25="Complete inputs"),"",ROUND(0.3*INDEX(Lists!$N$8:$N$10,MATCH(F25,Lists!$M$8:$M$10,0))+0.25*IF(G25&lt;20,1,IF(G25&lt;80,2,IF(G25&lt;160,3,IF(G25&lt;480,4,5))))+0.25*J25+0.2*K25,2))</f>
        <v/>
      </c>
      <c r="Y25" s="41" t="str">
        <f>IF(X25="","",ROUND(0.3*IF(U25="Data ready",5,IF(INDEX(Lists!$N$2:$N$5,MATCH(I25,Lists!$M$2:$M$5,0))=INDEX(Lists!$E$2:$E$11,MATCH(R25,Lists!$B$2:$B$11,0))-1,3,1))+0.25*INDEX(Lists!$N$13:$N$15,MATCH(H25,Lists!$M$13:$M$15,0))+0.25*(6-S25)+0.2*IF(V25="Within current position",5,2),2))</f>
        <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
      </c>
      <c r="AA25" s="38" t="str">
        <f>IF(X25="","",IF(AND(X25&gt;=$C$4,Y25&gt;=$C$4),"Quick win",IF(X25&gt;=$C$4,"Strategic bet",IF(Y25&gt;=$C$4,"Fill-in","Deprioritise"))))</f>
        <v/>
      </c>
      <c r="AB25" s="41" t="str">
        <f>IF(X25="","",ROUND(X25*Y25*IF(Z25="High",0.85,1)*IF(W25="Redesign / standardise first",0.8,1),2))</f>
        <v/>
      </c>
      <c r="AC25" s="42" t="str">
        <f>IF(AB25="","",RANK(AB25,$AB$8:$AB$57)+COUNTIF($AB$7:AB24,AB25))</f>
        <v/>
      </c>
      <c r="AD25" s="39" t="str">
        <f>IF(AH25="","",INDEX(Lists!$AV$2:$AV$5,AH25))</f>
        <v/>
      </c>
      <c r="AE25" s="43" t="str">
        <f>IF(AB25="","",ROUND(G25*12*INDEX(Lists!$F$2:$F$11,MATCH(R25,Lists!$B$2:$B$11,0)),0))</f>
        <v/>
      </c>
      <c r="AF25" s="44" t="str">
        <f>IF(OR(B25="",R25=""),"",IF(O25="Custom",INDEX(Lists!$I$2:$I$11,MATCH(R25,Lists!$B$2:$B$11,0)),INDEX('2. Use-Case Library'!$H$5:$H$244,MATCH($O25,'2. Use-Case Library'!$A$5:$A$244,0))))</f>
        <v/>
      </c>
      <c r="AG25" s="44" t="str">
        <f>IF(OR(B25="",O25="Custom"),"",INDEX('2. Use-Case Library'!$K$5:$K$244,MATCH($O25,'2. Use-Case Library'!$A$5:$A$244,0)))</f>
        <v/>
      </c>
      <c r="AH25" s="38" t="str">
        <f>IF(AB25="","",IF(AA25="Deprioritise",4,IF(W25="AI later - close data gap first",3,IF(OR(W25="Redesign / standardise first",W25="Stretch - partner or later stage",AA25="Strategic bet",Z25="High",S25=5),2,1))))</f>
        <v/>
      </c>
      <c r="AI25" s="38" t="str">
        <f>IF(AC25="","",AH25*100+AC25)</f>
        <v/>
      </c>
      <c r="AJ25" s="38" t="str">
        <f>IF(B25="","",IF(O25="Custom",B25,INDEX('2. Use-Case Library'!$D$5:$D$244,MATCH($O25,'2. Use-Case Library'!$A$5:$A$244,0))))</f>
        <v/>
      </c>
    </row>
    <row r="26" ht="52" customHeight="1">
      <c r="A26" s="14" t="n">
        <v>19</v>
      </c>
      <c r="B26" s="37" t="n"/>
      <c r="C26" s="37" t="n"/>
      <c r="D26" s="37" t="n"/>
      <c r="E26" s="37" t="n"/>
      <c r="F26" s="37" t="n"/>
      <c r="G26" s="37" t="n"/>
      <c r="H26" s="37" t="n"/>
      <c r="I26" s="37" t="n"/>
      <c r="J26" s="37" t="n"/>
      <c r="K26" s="37" t="n"/>
      <c r="L26" s="37" t="n"/>
      <c r="M26" s="37" t="n"/>
      <c r="N26" s="37" t="n"/>
      <c r="O26" s="38" t="str">
        <f>IF(B26="","",IFERROR(INDEX('2. Use-Case Library'!$A$5:$A$244,MATCH(B26,'2. Use-Case Library'!$M$5:$M$244,0)),"Custom"))</f>
        <v/>
      </c>
      <c r="P26" s="39" t="str">
        <f>IF(B26="","",IF(O26="Custom",IF(E26="","(select function in E)",E26),INDEX('2. Use-Case Library'!$C$5:$C$244,MATCH($O26,'2. Use-Case Library'!$A$5:$A$244,0))))</f>
        <v/>
      </c>
      <c r="Q26" s="39" t="str">
        <f>IF(B26="","",IF(D26&lt;&gt;"",D26,IF(O26="Custom","",INDEX('2. Use-Case Library'!$F$5:$F$244,MATCH($O26,'2. Use-Case Library'!$A$5:$A$244,0)))))</f>
        <v/>
      </c>
      <c r="R26" s="39" t="str">
        <f>IF(Q26="","",INDEX(Lists!$B$2:$B$11,MATCH(Q26,Lists!$A$2:$A$11,0)))</f>
        <v/>
      </c>
      <c r="S26" s="38" t="str">
        <f>IF(R26="","",INDEX(Lists!$C$2:$C$11,MATCH(R26,Lists!$B$2:$B$11,0)))</f>
        <v/>
      </c>
      <c r="T26" s="38" t="str">
        <f>IF(R26="","",INDEX(Lists!$D$2:$D$11,MATCH(R26,Lists!$B$2:$B$11,0)))</f>
        <v/>
      </c>
      <c r="U26" s="38" t="str">
        <f>IF(OR(R26="",I26=""),"",IF(INDEX(Lists!$N$2:$N$5,MATCH(I26,Lists!$M$2:$M$5,0))&gt;=INDEX(Lists!$E$2:$E$11,MATCH(R26,Lists!$B$2:$B$11,0)),"Data ready","Data gap"))</f>
        <v/>
      </c>
      <c r="V26" s="39" t="str">
        <f>IF(R26="","",IF(S26&lt;=IF('1. AI Position'!$C$30="",5,INDEX(Lists!$AI$2:$AI$5,'1. AI Position'!$C$30)),"Within current position","Beyond current position"))</f>
        <v/>
      </c>
      <c r="W26" s="40" t="str">
        <f>IF(B26="","",IF(OR(COUNTA(F26:N26)&lt;9,Q26=""),"Complete inputs",IF(H26="No - varies by person / team","Redesign / standardise first",IF(T26="No","Automate - AI not needed",IF(U26="Data gap","AI later - close data gap first",IF(V26="Beyond current position","Stretch - partner or later stage","AI fit now"))))))</f>
        <v/>
      </c>
      <c r="X26" s="41" t="str">
        <f>IF(OR(W26="",W26="Complete inputs"),"",ROUND(0.3*INDEX(Lists!$N$8:$N$10,MATCH(F26,Lists!$M$8:$M$10,0))+0.25*IF(G26&lt;20,1,IF(G26&lt;80,2,IF(G26&lt;160,3,IF(G26&lt;480,4,5))))+0.25*J26+0.2*K26,2))</f>
        <v/>
      </c>
      <c r="Y26" s="41" t="str">
        <f>IF(X26="","",ROUND(0.3*IF(U26="Data ready",5,IF(INDEX(Lists!$N$2:$N$5,MATCH(I26,Lists!$M$2:$M$5,0))=INDEX(Lists!$E$2:$E$11,MATCH(R26,Lists!$B$2:$B$11,0))-1,3,1))+0.25*INDEX(Lists!$N$13:$N$15,MATCH(H26,Lists!$M$13:$M$15,0))+0.25*(6-S26)+0.2*IF(V26="Within current position",5,2),2))</f>
        <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
      </c>
      <c r="AA26" s="38" t="str">
        <f>IF(X26="","",IF(AND(X26&gt;=$C$4,Y26&gt;=$C$4),"Quick win",IF(X26&gt;=$C$4,"Strategic bet",IF(Y26&gt;=$C$4,"Fill-in","Deprioritise"))))</f>
        <v/>
      </c>
      <c r="AB26" s="41" t="str">
        <f>IF(X26="","",ROUND(X26*Y26*IF(Z26="High",0.85,1)*IF(W26="Redesign / standardise first",0.8,1),2))</f>
        <v/>
      </c>
      <c r="AC26" s="42" t="str">
        <f>IF(AB26="","",RANK(AB26,$AB$8:$AB$57)+COUNTIF($AB$7:AB25,AB26))</f>
        <v/>
      </c>
      <c r="AD26" s="39" t="str">
        <f>IF(AH26="","",INDEX(Lists!$AV$2:$AV$5,AH26))</f>
        <v/>
      </c>
      <c r="AE26" s="43" t="str">
        <f>IF(AB26="","",ROUND(G26*12*INDEX(Lists!$F$2:$F$11,MATCH(R26,Lists!$B$2:$B$11,0)),0))</f>
        <v/>
      </c>
      <c r="AF26" s="44" t="str">
        <f>IF(OR(B26="",R26=""),"",IF(O26="Custom",INDEX(Lists!$I$2:$I$11,MATCH(R26,Lists!$B$2:$B$11,0)),INDEX('2. Use-Case Library'!$H$5:$H$244,MATCH($O26,'2. Use-Case Library'!$A$5:$A$244,0))))</f>
        <v/>
      </c>
      <c r="AG26" s="44" t="str">
        <f>IF(OR(B26="",O26="Custom"),"",INDEX('2. Use-Case Library'!$K$5:$K$244,MATCH($O26,'2. Use-Case Library'!$A$5:$A$244,0)))</f>
        <v/>
      </c>
      <c r="AH26" s="38" t="str">
        <f>IF(AB26="","",IF(AA26="Deprioritise",4,IF(W26="AI later - close data gap first",3,IF(OR(W26="Redesign / standardise first",W26="Stretch - partner or later stage",AA26="Strategic bet",Z26="High",S26=5),2,1))))</f>
        <v/>
      </c>
      <c r="AI26" s="38" t="str">
        <f>IF(AC26="","",AH26*100+AC26)</f>
        <v/>
      </c>
      <c r="AJ26" s="38" t="str">
        <f>IF(B26="","",IF(O26="Custom",B26,INDEX('2. Use-Case Library'!$D$5:$D$244,MATCH($O26,'2. Use-Case Library'!$A$5:$A$244,0))))</f>
        <v/>
      </c>
    </row>
    <row r="27" ht="52" customHeight="1">
      <c r="A27" s="14" t="n">
        <v>20</v>
      </c>
      <c r="B27" s="37" t="n"/>
      <c r="C27" s="37" t="n"/>
      <c r="D27" s="37" t="n"/>
      <c r="E27" s="37" t="n"/>
      <c r="F27" s="37" t="n"/>
      <c r="G27" s="37" t="n"/>
      <c r="H27" s="37" t="n"/>
      <c r="I27" s="37" t="n"/>
      <c r="J27" s="37" t="n"/>
      <c r="K27" s="37" t="n"/>
      <c r="L27" s="37" t="n"/>
      <c r="M27" s="37" t="n"/>
      <c r="N27" s="37" t="n"/>
      <c r="O27" s="38" t="str">
        <f>IF(B27="","",IFERROR(INDEX('2. Use-Case Library'!$A$5:$A$244,MATCH(B27,'2. Use-Case Library'!$M$5:$M$244,0)),"Custom"))</f>
        <v/>
      </c>
      <c r="P27" s="39" t="str">
        <f>IF(B27="","",IF(O27="Custom",IF(E27="","(select function in E)",E27),INDEX('2. Use-Case Library'!$C$5:$C$244,MATCH($O27,'2. Use-Case Library'!$A$5:$A$244,0))))</f>
        <v/>
      </c>
      <c r="Q27" s="39" t="str">
        <f>IF(B27="","",IF(D27&lt;&gt;"",D27,IF(O27="Custom","",INDEX('2. Use-Case Library'!$F$5:$F$244,MATCH($O27,'2. Use-Case Library'!$A$5:$A$244,0)))))</f>
        <v/>
      </c>
      <c r="R27" s="39" t="str">
        <f>IF(Q27="","",INDEX(Lists!$B$2:$B$11,MATCH(Q27,Lists!$A$2:$A$11,0)))</f>
        <v/>
      </c>
      <c r="S27" s="38" t="str">
        <f>IF(R27="","",INDEX(Lists!$C$2:$C$11,MATCH(R27,Lists!$B$2:$B$11,0)))</f>
        <v/>
      </c>
      <c r="T27" s="38" t="str">
        <f>IF(R27="","",INDEX(Lists!$D$2:$D$11,MATCH(R27,Lists!$B$2:$B$11,0)))</f>
        <v/>
      </c>
      <c r="U27" s="38" t="str">
        <f>IF(OR(R27="",I27=""),"",IF(INDEX(Lists!$N$2:$N$5,MATCH(I27,Lists!$M$2:$M$5,0))&gt;=INDEX(Lists!$E$2:$E$11,MATCH(R27,Lists!$B$2:$B$11,0)),"Data ready","Data gap"))</f>
        <v/>
      </c>
      <c r="V27" s="39" t="str">
        <f>IF(R27="","",IF(S27&lt;=IF('1. AI Position'!$C$30="",5,INDEX(Lists!$AI$2:$AI$5,'1. AI Position'!$C$30)),"Within current position","Beyond current position"))</f>
        <v/>
      </c>
      <c r="W27" s="40" t="str">
        <f>IF(B27="","",IF(OR(COUNTA(F27:N27)&lt;9,Q27=""),"Complete inputs",IF(H27="No - varies by person / team","Redesign / standardise first",IF(T27="No","Automate - AI not needed",IF(U27="Data gap","AI later - close data gap first",IF(V27="Beyond current position","Stretch - partner or later stage","AI fit now"))))))</f>
        <v/>
      </c>
      <c r="X27" s="41" t="str">
        <f>IF(OR(W27="",W27="Complete inputs"),"",ROUND(0.3*INDEX(Lists!$N$8:$N$10,MATCH(F27,Lists!$M$8:$M$10,0))+0.25*IF(G27&lt;20,1,IF(G27&lt;80,2,IF(G27&lt;160,3,IF(G27&lt;480,4,5))))+0.25*J27+0.2*K27,2))</f>
        <v/>
      </c>
      <c r="Y27" s="41" t="str">
        <f>IF(X27="","",ROUND(0.3*IF(U27="Data ready",5,IF(INDEX(Lists!$N$2:$N$5,MATCH(I27,Lists!$M$2:$M$5,0))=INDEX(Lists!$E$2:$E$11,MATCH(R27,Lists!$B$2:$B$11,0))-1,3,1))+0.25*INDEX(Lists!$N$13:$N$15,MATCH(H27,Lists!$M$13:$M$15,0))+0.25*(6-S27)+0.2*IF(V27="Within current position",5,2),2))</f>
        <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
      </c>
      <c r="AA27" s="38" t="str">
        <f>IF(X27="","",IF(AND(X27&gt;=$C$4,Y27&gt;=$C$4),"Quick win",IF(X27&gt;=$C$4,"Strategic bet",IF(Y27&gt;=$C$4,"Fill-in","Deprioritise"))))</f>
        <v/>
      </c>
      <c r="AB27" s="41" t="str">
        <f>IF(X27="","",ROUND(X27*Y27*IF(Z27="High",0.85,1)*IF(W27="Redesign / standardise first",0.8,1),2))</f>
        <v/>
      </c>
      <c r="AC27" s="42" t="str">
        <f>IF(AB27="","",RANK(AB27,$AB$8:$AB$57)+COUNTIF($AB$7:AB26,AB27))</f>
        <v/>
      </c>
      <c r="AD27" s="39" t="str">
        <f>IF(AH27="","",INDEX(Lists!$AV$2:$AV$5,AH27))</f>
        <v/>
      </c>
      <c r="AE27" s="43" t="str">
        <f>IF(AB27="","",ROUND(G27*12*INDEX(Lists!$F$2:$F$11,MATCH(R27,Lists!$B$2:$B$11,0)),0))</f>
        <v/>
      </c>
      <c r="AF27" s="44" t="str">
        <f>IF(OR(B27="",R27=""),"",IF(O27="Custom",INDEX(Lists!$I$2:$I$11,MATCH(R27,Lists!$B$2:$B$11,0)),INDEX('2. Use-Case Library'!$H$5:$H$244,MATCH($O27,'2. Use-Case Library'!$A$5:$A$244,0))))</f>
        <v/>
      </c>
      <c r="AG27" s="44" t="str">
        <f>IF(OR(B27="",O27="Custom"),"",INDEX('2. Use-Case Library'!$K$5:$K$244,MATCH($O27,'2. Use-Case Library'!$A$5:$A$244,0)))</f>
        <v/>
      </c>
      <c r="AH27" s="38" t="str">
        <f>IF(AB27="","",IF(AA27="Deprioritise",4,IF(W27="AI later - close data gap first",3,IF(OR(W27="Redesign / standardise first",W27="Stretch - partner or later stage",AA27="Strategic bet",Z27="High",S27=5),2,1))))</f>
        <v/>
      </c>
      <c r="AI27" s="38" t="str">
        <f>IF(AC27="","",AH27*100+AC27)</f>
        <v/>
      </c>
      <c r="AJ27" s="38" t="str">
        <f>IF(B27="","",IF(O27="Custom",B27,INDEX('2. Use-Case Library'!$D$5:$D$244,MATCH($O27,'2. Use-Case Library'!$A$5:$A$244,0))))</f>
        <v/>
      </c>
    </row>
    <row r="28" ht="52" customHeight="1">
      <c r="A28" s="14" t="n">
        <v>21</v>
      </c>
      <c r="B28" s="37" t="n"/>
      <c r="C28" s="37" t="n"/>
      <c r="D28" s="37" t="n"/>
      <c r="E28" s="37" t="n"/>
      <c r="F28" s="37" t="n"/>
      <c r="G28" s="37" t="n"/>
      <c r="H28" s="37" t="n"/>
      <c r="I28" s="37" t="n"/>
      <c r="J28" s="37" t="n"/>
      <c r="K28" s="37" t="n"/>
      <c r="L28" s="37" t="n"/>
      <c r="M28" s="37" t="n"/>
      <c r="N28" s="37" t="n"/>
      <c r="O28" s="38" t="str">
        <f>IF(B28="","",IFERROR(INDEX('2. Use-Case Library'!$A$5:$A$244,MATCH(B28,'2. Use-Case Library'!$M$5:$M$244,0)),"Custom"))</f>
        <v/>
      </c>
      <c r="P28" s="39" t="str">
        <f>IF(B28="","",IF(O28="Custom",IF(E28="","(select function in E)",E28),INDEX('2. Use-Case Library'!$C$5:$C$244,MATCH($O28,'2. Use-Case Library'!$A$5:$A$244,0))))</f>
        <v/>
      </c>
      <c r="Q28" s="39" t="str">
        <f>IF(B28="","",IF(D28&lt;&gt;"",D28,IF(O28="Custom","",INDEX('2. Use-Case Library'!$F$5:$F$244,MATCH($O28,'2. Use-Case Library'!$A$5:$A$244,0)))))</f>
        <v/>
      </c>
      <c r="R28" s="39" t="str">
        <f>IF(Q28="","",INDEX(Lists!$B$2:$B$11,MATCH(Q28,Lists!$A$2:$A$11,0)))</f>
        <v/>
      </c>
      <c r="S28" s="38" t="str">
        <f>IF(R28="","",INDEX(Lists!$C$2:$C$11,MATCH(R28,Lists!$B$2:$B$11,0)))</f>
        <v/>
      </c>
      <c r="T28" s="38" t="str">
        <f>IF(R28="","",INDEX(Lists!$D$2:$D$11,MATCH(R28,Lists!$B$2:$B$11,0)))</f>
        <v/>
      </c>
      <c r="U28" s="38" t="str">
        <f>IF(OR(R28="",I28=""),"",IF(INDEX(Lists!$N$2:$N$5,MATCH(I28,Lists!$M$2:$M$5,0))&gt;=INDEX(Lists!$E$2:$E$11,MATCH(R28,Lists!$B$2:$B$11,0)),"Data ready","Data gap"))</f>
        <v/>
      </c>
      <c r="V28" s="39" t="str">
        <f>IF(R28="","",IF(S28&lt;=IF('1. AI Position'!$C$30="",5,INDEX(Lists!$AI$2:$AI$5,'1. AI Position'!$C$30)),"Within current position","Beyond current position"))</f>
        <v/>
      </c>
      <c r="W28" s="40" t="str">
        <f>IF(B28="","",IF(OR(COUNTA(F28:N28)&lt;9,Q28=""),"Complete inputs",IF(H28="No - varies by person / team","Redesign / standardise first",IF(T28="No","Automate - AI not needed",IF(U28="Data gap","AI later - close data gap first",IF(V28="Beyond current position","Stretch - partner or later stage","AI fit now"))))))</f>
        <v/>
      </c>
      <c r="X28" s="41" t="str">
        <f>IF(OR(W28="",W28="Complete inputs"),"",ROUND(0.3*INDEX(Lists!$N$8:$N$10,MATCH(F28,Lists!$M$8:$M$10,0))+0.25*IF(G28&lt;20,1,IF(G28&lt;80,2,IF(G28&lt;160,3,IF(G28&lt;480,4,5))))+0.25*J28+0.2*K28,2))</f>
        <v/>
      </c>
      <c r="Y28" s="41" t="str">
        <f>IF(X28="","",ROUND(0.3*IF(U28="Data ready",5,IF(INDEX(Lists!$N$2:$N$5,MATCH(I28,Lists!$M$2:$M$5,0))=INDEX(Lists!$E$2:$E$11,MATCH(R28,Lists!$B$2:$B$11,0))-1,3,1))+0.25*INDEX(Lists!$N$13:$N$15,MATCH(H28,Lists!$M$13:$M$15,0))+0.25*(6-S28)+0.2*IF(V28="Within current position",5,2),2))</f>
        <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
      </c>
      <c r="AA28" s="38" t="str">
        <f>IF(X28="","",IF(AND(X28&gt;=$C$4,Y28&gt;=$C$4),"Quick win",IF(X28&gt;=$C$4,"Strategic bet",IF(Y28&gt;=$C$4,"Fill-in","Deprioritise"))))</f>
        <v/>
      </c>
      <c r="AB28" s="41" t="str">
        <f>IF(X28="","",ROUND(X28*Y28*IF(Z28="High",0.85,1)*IF(W28="Redesign / standardise first",0.8,1),2))</f>
        <v/>
      </c>
      <c r="AC28" s="42" t="str">
        <f>IF(AB28="","",RANK(AB28,$AB$8:$AB$57)+COUNTIF($AB$7:AB27,AB28))</f>
        <v/>
      </c>
      <c r="AD28" s="39" t="str">
        <f>IF(AH28="","",INDEX(Lists!$AV$2:$AV$5,AH28))</f>
        <v/>
      </c>
      <c r="AE28" s="43" t="str">
        <f>IF(AB28="","",ROUND(G28*12*INDEX(Lists!$F$2:$F$11,MATCH(R28,Lists!$B$2:$B$11,0)),0))</f>
        <v/>
      </c>
      <c r="AF28" s="44" t="str">
        <f>IF(OR(B28="",R28=""),"",IF(O28="Custom",INDEX(Lists!$I$2:$I$11,MATCH(R28,Lists!$B$2:$B$11,0)),INDEX('2. Use-Case Library'!$H$5:$H$244,MATCH($O28,'2. Use-Case Library'!$A$5:$A$244,0))))</f>
        <v/>
      </c>
      <c r="AG28" s="44" t="str">
        <f>IF(OR(B28="",O28="Custom"),"",INDEX('2. Use-Case Library'!$K$5:$K$244,MATCH($O28,'2. Use-Case Library'!$A$5:$A$244,0)))</f>
        <v/>
      </c>
      <c r="AH28" s="38" t="str">
        <f>IF(AB28="","",IF(AA28="Deprioritise",4,IF(W28="AI later - close data gap first",3,IF(OR(W28="Redesign / standardise first",W28="Stretch - partner or later stage",AA28="Strategic bet",Z28="High",S28=5),2,1))))</f>
        <v/>
      </c>
      <c r="AI28" s="38" t="str">
        <f>IF(AC28="","",AH28*100+AC28)</f>
        <v/>
      </c>
      <c r="AJ28" s="38" t="str">
        <f>IF(B28="","",IF(O28="Custom",B28,INDEX('2. Use-Case Library'!$D$5:$D$244,MATCH($O28,'2. Use-Case Library'!$A$5:$A$244,0))))</f>
        <v/>
      </c>
    </row>
    <row r="29" ht="52" customHeight="1">
      <c r="A29" s="14" t="n">
        <v>22</v>
      </c>
      <c r="B29" s="37" t="n"/>
      <c r="C29" s="37" t="n"/>
      <c r="D29" s="37" t="n"/>
      <c r="E29" s="37" t="n"/>
      <c r="F29" s="37" t="n"/>
      <c r="G29" s="37" t="n"/>
      <c r="H29" s="37" t="n"/>
      <c r="I29" s="37" t="n"/>
      <c r="J29" s="37" t="n"/>
      <c r="K29" s="37" t="n"/>
      <c r="L29" s="37" t="n"/>
      <c r="M29" s="37" t="n"/>
      <c r="N29" s="37" t="n"/>
      <c r="O29" s="38" t="str">
        <f>IF(B29="","",IFERROR(INDEX('2. Use-Case Library'!$A$5:$A$244,MATCH(B29,'2. Use-Case Library'!$M$5:$M$244,0)),"Custom"))</f>
        <v/>
      </c>
      <c r="P29" s="39" t="str">
        <f>IF(B29="","",IF(O29="Custom",IF(E29="","(select function in E)",E29),INDEX('2. Use-Case Library'!$C$5:$C$244,MATCH($O29,'2. Use-Case Library'!$A$5:$A$244,0))))</f>
        <v/>
      </c>
      <c r="Q29" s="39" t="str">
        <f>IF(B29="","",IF(D29&lt;&gt;"",D29,IF(O29="Custom","",INDEX('2. Use-Case Library'!$F$5:$F$244,MATCH($O29,'2. Use-Case Library'!$A$5:$A$244,0)))))</f>
        <v/>
      </c>
      <c r="R29" s="39" t="str">
        <f>IF(Q29="","",INDEX(Lists!$B$2:$B$11,MATCH(Q29,Lists!$A$2:$A$11,0)))</f>
        <v/>
      </c>
      <c r="S29" s="38" t="str">
        <f>IF(R29="","",INDEX(Lists!$C$2:$C$11,MATCH(R29,Lists!$B$2:$B$11,0)))</f>
        <v/>
      </c>
      <c r="T29" s="38" t="str">
        <f>IF(R29="","",INDEX(Lists!$D$2:$D$11,MATCH(R29,Lists!$B$2:$B$11,0)))</f>
        <v/>
      </c>
      <c r="U29" s="38" t="str">
        <f>IF(OR(R29="",I29=""),"",IF(INDEX(Lists!$N$2:$N$5,MATCH(I29,Lists!$M$2:$M$5,0))&gt;=INDEX(Lists!$E$2:$E$11,MATCH(R29,Lists!$B$2:$B$11,0)),"Data ready","Data gap"))</f>
        <v/>
      </c>
      <c r="V29" s="39" t="str">
        <f>IF(R29="","",IF(S29&lt;=IF('1. AI Position'!$C$30="",5,INDEX(Lists!$AI$2:$AI$5,'1. AI Position'!$C$30)),"Within current position","Beyond current position"))</f>
        <v/>
      </c>
      <c r="W29" s="40" t="str">
        <f>IF(B29="","",IF(OR(COUNTA(F29:N29)&lt;9,Q29=""),"Complete inputs",IF(H29="No - varies by person / team","Redesign / standardise first",IF(T29="No","Automate - AI not needed",IF(U29="Data gap","AI later - close data gap first",IF(V29="Beyond current position","Stretch - partner or later stage","AI fit now"))))))</f>
        <v/>
      </c>
      <c r="X29" s="41" t="str">
        <f>IF(OR(W29="",W29="Complete inputs"),"",ROUND(0.3*INDEX(Lists!$N$8:$N$10,MATCH(F29,Lists!$M$8:$M$10,0))+0.25*IF(G29&lt;20,1,IF(G29&lt;80,2,IF(G29&lt;160,3,IF(G29&lt;480,4,5))))+0.25*J29+0.2*K29,2))</f>
        <v/>
      </c>
      <c r="Y29" s="41" t="str">
        <f>IF(X29="","",ROUND(0.3*IF(U29="Data ready",5,IF(INDEX(Lists!$N$2:$N$5,MATCH(I29,Lists!$M$2:$M$5,0))=INDEX(Lists!$E$2:$E$11,MATCH(R29,Lists!$B$2:$B$11,0))-1,3,1))+0.25*INDEX(Lists!$N$13:$N$15,MATCH(H29,Lists!$M$13:$M$15,0))+0.25*(6-S29)+0.2*IF(V29="Within current position",5,2),2))</f>
        <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
      </c>
      <c r="AA29" s="38" t="str">
        <f>IF(X29="","",IF(AND(X29&gt;=$C$4,Y29&gt;=$C$4),"Quick win",IF(X29&gt;=$C$4,"Strategic bet",IF(Y29&gt;=$C$4,"Fill-in","Deprioritise"))))</f>
        <v/>
      </c>
      <c r="AB29" s="41" t="str">
        <f>IF(X29="","",ROUND(X29*Y29*IF(Z29="High",0.85,1)*IF(W29="Redesign / standardise first",0.8,1),2))</f>
        <v/>
      </c>
      <c r="AC29" s="42" t="str">
        <f>IF(AB29="","",RANK(AB29,$AB$8:$AB$57)+COUNTIF($AB$7:AB28,AB29))</f>
        <v/>
      </c>
      <c r="AD29" s="39" t="str">
        <f>IF(AH29="","",INDEX(Lists!$AV$2:$AV$5,AH29))</f>
        <v/>
      </c>
      <c r="AE29" s="43" t="str">
        <f>IF(AB29="","",ROUND(G29*12*INDEX(Lists!$F$2:$F$11,MATCH(R29,Lists!$B$2:$B$11,0)),0))</f>
        <v/>
      </c>
      <c r="AF29" s="44" t="str">
        <f>IF(OR(B29="",R29=""),"",IF(O29="Custom",INDEX(Lists!$I$2:$I$11,MATCH(R29,Lists!$B$2:$B$11,0)),INDEX('2. Use-Case Library'!$H$5:$H$244,MATCH($O29,'2. Use-Case Library'!$A$5:$A$244,0))))</f>
        <v/>
      </c>
      <c r="AG29" s="44" t="str">
        <f>IF(OR(B29="",O29="Custom"),"",INDEX('2. Use-Case Library'!$K$5:$K$244,MATCH($O29,'2. Use-Case Library'!$A$5:$A$244,0)))</f>
        <v/>
      </c>
      <c r="AH29" s="38" t="str">
        <f>IF(AB29="","",IF(AA29="Deprioritise",4,IF(W29="AI later - close data gap first",3,IF(OR(W29="Redesign / standardise first",W29="Stretch - partner or later stage",AA29="Strategic bet",Z29="High",S29=5),2,1))))</f>
        <v/>
      </c>
      <c r="AI29" s="38" t="str">
        <f>IF(AC29="","",AH29*100+AC29)</f>
        <v/>
      </c>
      <c r="AJ29" s="38" t="str">
        <f>IF(B29="","",IF(O29="Custom",B29,INDEX('2. Use-Case Library'!$D$5:$D$244,MATCH($O29,'2. Use-Case Library'!$A$5:$A$244,0))))</f>
        <v/>
      </c>
    </row>
    <row r="30" ht="52" customHeight="1">
      <c r="A30" s="14" t="n">
        <v>23</v>
      </c>
      <c r="B30" s="37" t="n"/>
      <c r="C30" s="37" t="n"/>
      <c r="D30" s="37" t="n"/>
      <c r="E30" s="37" t="n"/>
      <c r="F30" s="37" t="n"/>
      <c r="G30" s="37" t="n"/>
      <c r="H30" s="37" t="n"/>
      <c r="I30" s="37" t="n"/>
      <c r="J30" s="37" t="n"/>
      <c r="K30" s="37" t="n"/>
      <c r="L30" s="37" t="n"/>
      <c r="M30" s="37" t="n"/>
      <c r="N30" s="37" t="n"/>
      <c r="O30" s="38" t="str">
        <f>IF(B30="","",IFERROR(INDEX('2. Use-Case Library'!$A$5:$A$244,MATCH(B30,'2. Use-Case Library'!$M$5:$M$244,0)),"Custom"))</f>
        <v/>
      </c>
      <c r="P30" s="39" t="str">
        <f>IF(B30="","",IF(O30="Custom",IF(E30="","(select function in E)",E30),INDEX('2. Use-Case Library'!$C$5:$C$244,MATCH($O30,'2. Use-Case Library'!$A$5:$A$244,0))))</f>
        <v/>
      </c>
      <c r="Q30" s="39" t="str">
        <f>IF(B30="","",IF(D30&lt;&gt;"",D30,IF(O30="Custom","",INDEX('2. Use-Case Library'!$F$5:$F$244,MATCH($O30,'2. Use-Case Library'!$A$5:$A$244,0)))))</f>
        <v/>
      </c>
      <c r="R30" s="39" t="str">
        <f>IF(Q30="","",INDEX(Lists!$B$2:$B$11,MATCH(Q30,Lists!$A$2:$A$11,0)))</f>
        <v/>
      </c>
      <c r="S30" s="38" t="str">
        <f>IF(R30="","",INDEX(Lists!$C$2:$C$11,MATCH(R30,Lists!$B$2:$B$11,0)))</f>
        <v/>
      </c>
      <c r="T30" s="38" t="str">
        <f>IF(R30="","",INDEX(Lists!$D$2:$D$11,MATCH(R30,Lists!$B$2:$B$11,0)))</f>
        <v/>
      </c>
      <c r="U30" s="38" t="str">
        <f>IF(OR(R30="",I30=""),"",IF(INDEX(Lists!$N$2:$N$5,MATCH(I30,Lists!$M$2:$M$5,0))&gt;=INDEX(Lists!$E$2:$E$11,MATCH(R30,Lists!$B$2:$B$11,0)),"Data ready","Data gap"))</f>
        <v/>
      </c>
      <c r="V30" s="39" t="str">
        <f>IF(R30="","",IF(S30&lt;=IF('1. AI Position'!$C$30="",5,INDEX(Lists!$AI$2:$AI$5,'1. AI Position'!$C$30)),"Within current position","Beyond current position"))</f>
        <v/>
      </c>
      <c r="W30" s="40" t="str">
        <f>IF(B30="","",IF(OR(COUNTA(F30:N30)&lt;9,Q30=""),"Complete inputs",IF(H30="No - varies by person / team","Redesign / standardise first",IF(T30="No","Automate - AI not needed",IF(U30="Data gap","AI later - close data gap first",IF(V30="Beyond current position","Stretch - partner or later stage","AI fit now"))))))</f>
        <v/>
      </c>
      <c r="X30" s="41" t="str">
        <f>IF(OR(W30="",W30="Complete inputs"),"",ROUND(0.3*INDEX(Lists!$N$8:$N$10,MATCH(F30,Lists!$M$8:$M$10,0))+0.25*IF(G30&lt;20,1,IF(G30&lt;80,2,IF(G30&lt;160,3,IF(G30&lt;480,4,5))))+0.25*J30+0.2*K30,2))</f>
        <v/>
      </c>
      <c r="Y30" s="41" t="str">
        <f>IF(X30="","",ROUND(0.3*IF(U30="Data ready",5,IF(INDEX(Lists!$N$2:$N$5,MATCH(I30,Lists!$M$2:$M$5,0))=INDEX(Lists!$E$2:$E$11,MATCH(R30,Lists!$B$2:$B$11,0))-1,3,1))+0.25*INDEX(Lists!$N$13:$N$15,MATCH(H30,Lists!$M$13:$M$15,0))+0.25*(6-S30)+0.2*IF(V30="Within current position",5,2),2))</f>
        <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
      </c>
      <c r="AA30" s="38" t="str">
        <f>IF(X30="","",IF(AND(X30&gt;=$C$4,Y30&gt;=$C$4),"Quick win",IF(X30&gt;=$C$4,"Strategic bet",IF(Y30&gt;=$C$4,"Fill-in","Deprioritise"))))</f>
        <v/>
      </c>
      <c r="AB30" s="41" t="str">
        <f>IF(X30="","",ROUND(X30*Y30*IF(Z30="High",0.85,1)*IF(W30="Redesign / standardise first",0.8,1),2))</f>
        <v/>
      </c>
      <c r="AC30" s="42" t="str">
        <f>IF(AB30="","",RANK(AB30,$AB$8:$AB$57)+COUNTIF($AB$7:AB29,AB30))</f>
        <v/>
      </c>
      <c r="AD30" s="39" t="str">
        <f>IF(AH30="","",INDEX(Lists!$AV$2:$AV$5,AH30))</f>
        <v/>
      </c>
      <c r="AE30" s="43" t="str">
        <f>IF(AB30="","",ROUND(G30*12*INDEX(Lists!$F$2:$F$11,MATCH(R30,Lists!$B$2:$B$11,0)),0))</f>
        <v/>
      </c>
      <c r="AF30" s="44" t="str">
        <f>IF(OR(B30="",R30=""),"",IF(O30="Custom",INDEX(Lists!$I$2:$I$11,MATCH(R30,Lists!$B$2:$B$11,0)),INDEX('2. Use-Case Library'!$H$5:$H$244,MATCH($O30,'2. Use-Case Library'!$A$5:$A$244,0))))</f>
        <v/>
      </c>
      <c r="AG30" s="44" t="str">
        <f>IF(OR(B30="",O30="Custom"),"",INDEX('2. Use-Case Library'!$K$5:$K$244,MATCH($O30,'2. Use-Case Library'!$A$5:$A$244,0)))</f>
        <v/>
      </c>
      <c r="AH30" s="38" t="str">
        <f>IF(AB30="","",IF(AA30="Deprioritise",4,IF(W30="AI later - close data gap first",3,IF(OR(W30="Redesign / standardise first",W30="Stretch - partner or later stage",AA30="Strategic bet",Z30="High",S30=5),2,1))))</f>
        <v/>
      </c>
      <c r="AI30" s="38" t="str">
        <f>IF(AC30="","",AH30*100+AC30)</f>
        <v/>
      </c>
      <c r="AJ30" s="38" t="str">
        <f>IF(B30="","",IF(O30="Custom",B30,INDEX('2. Use-Case Library'!$D$5:$D$244,MATCH($O30,'2. Use-Case Library'!$A$5:$A$244,0))))</f>
        <v/>
      </c>
    </row>
    <row r="31" ht="52" customHeight="1">
      <c r="A31" s="14" t="n">
        <v>24</v>
      </c>
      <c r="B31" s="37" t="n"/>
      <c r="C31" s="37" t="n"/>
      <c r="D31" s="37" t="n"/>
      <c r="E31" s="37" t="n"/>
      <c r="F31" s="37" t="n"/>
      <c r="G31" s="37" t="n"/>
      <c r="H31" s="37" t="n"/>
      <c r="I31" s="37" t="n"/>
      <c r="J31" s="37" t="n"/>
      <c r="K31" s="37" t="n"/>
      <c r="L31" s="37" t="n"/>
      <c r="M31" s="37" t="n"/>
      <c r="N31" s="37" t="n"/>
      <c r="O31" s="38" t="str">
        <f>IF(B31="","",IFERROR(INDEX('2. Use-Case Library'!$A$5:$A$244,MATCH(B31,'2. Use-Case Library'!$M$5:$M$244,0)),"Custom"))</f>
        <v/>
      </c>
      <c r="P31" s="39" t="str">
        <f>IF(B31="","",IF(O31="Custom",IF(E31="","(select function in E)",E31),INDEX('2. Use-Case Library'!$C$5:$C$244,MATCH($O31,'2. Use-Case Library'!$A$5:$A$244,0))))</f>
        <v/>
      </c>
      <c r="Q31" s="39" t="str">
        <f>IF(B31="","",IF(D31&lt;&gt;"",D31,IF(O31="Custom","",INDEX('2. Use-Case Library'!$F$5:$F$244,MATCH($O31,'2. Use-Case Library'!$A$5:$A$244,0)))))</f>
        <v/>
      </c>
      <c r="R31" s="39" t="str">
        <f>IF(Q31="","",INDEX(Lists!$B$2:$B$11,MATCH(Q31,Lists!$A$2:$A$11,0)))</f>
        <v/>
      </c>
      <c r="S31" s="38" t="str">
        <f>IF(R31="","",INDEX(Lists!$C$2:$C$11,MATCH(R31,Lists!$B$2:$B$11,0)))</f>
        <v/>
      </c>
      <c r="T31" s="38" t="str">
        <f>IF(R31="","",INDEX(Lists!$D$2:$D$11,MATCH(R31,Lists!$B$2:$B$11,0)))</f>
        <v/>
      </c>
      <c r="U31" s="38" t="str">
        <f>IF(OR(R31="",I31=""),"",IF(INDEX(Lists!$N$2:$N$5,MATCH(I31,Lists!$M$2:$M$5,0))&gt;=INDEX(Lists!$E$2:$E$11,MATCH(R31,Lists!$B$2:$B$11,0)),"Data ready","Data gap"))</f>
        <v/>
      </c>
      <c r="V31" s="39" t="str">
        <f>IF(R31="","",IF(S31&lt;=IF('1. AI Position'!$C$30="",5,INDEX(Lists!$AI$2:$AI$5,'1. AI Position'!$C$30)),"Within current position","Beyond current position"))</f>
        <v/>
      </c>
      <c r="W31" s="40" t="str">
        <f>IF(B31="","",IF(OR(COUNTA(F31:N31)&lt;9,Q31=""),"Complete inputs",IF(H31="No - varies by person / team","Redesign / standardise first",IF(T31="No","Automate - AI not needed",IF(U31="Data gap","AI later - close data gap first",IF(V31="Beyond current position","Stretch - partner or later stage","AI fit now"))))))</f>
        <v/>
      </c>
      <c r="X31" s="41" t="str">
        <f>IF(OR(W31="",W31="Complete inputs"),"",ROUND(0.3*INDEX(Lists!$N$8:$N$10,MATCH(F31,Lists!$M$8:$M$10,0))+0.25*IF(G31&lt;20,1,IF(G31&lt;80,2,IF(G31&lt;160,3,IF(G31&lt;480,4,5))))+0.25*J31+0.2*K31,2))</f>
        <v/>
      </c>
      <c r="Y31" s="41" t="str">
        <f>IF(X31="","",ROUND(0.3*IF(U31="Data ready",5,IF(INDEX(Lists!$N$2:$N$5,MATCH(I31,Lists!$M$2:$M$5,0))=INDEX(Lists!$E$2:$E$11,MATCH(R31,Lists!$B$2:$B$11,0))-1,3,1))+0.25*INDEX(Lists!$N$13:$N$15,MATCH(H31,Lists!$M$13:$M$15,0))+0.25*(6-S31)+0.2*IF(V31="Within current position",5,2),2))</f>
        <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
      </c>
      <c r="AA31" s="38" t="str">
        <f>IF(X31="","",IF(AND(X31&gt;=$C$4,Y31&gt;=$C$4),"Quick win",IF(X31&gt;=$C$4,"Strategic bet",IF(Y31&gt;=$C$4,"Fill-in","Deprioritise"))))</f>
        <v/>
      </c>
      <c r="AB31" s="41" t="str">
        <f>IF(X31="","",ROUND(X31*Y31*IF(Z31="High",0.85,1)*IF(W31="Redesign / standardise first",0.8,1),2))</f>
        <v/>
      </c>
      <c r="AC31" s="42" t="str">
        <f>IF(AB31="","",RANK(AB31,$AB$8:$AB$57)+COUNTIF($AB$7:AB30,AB31))</f>
        <v/>
      </c>
      <c r="AD31" s="39" t="str">
        <f>IF(AH31="","",INDEX(Lists!$AV$2:$AV$5,AH31))</f>
        <v/>
      </c>
      <c r="AE31" s="43" t="str">
        <f>IF(AB31="","",ROUND(G31*12*INDEX(Lists!$F$2:$F$11,MATCH(R31,Lists!$B$2:$B$11,0)),0))</f>
        <v/>
      </c>
      <c r="AF31" s="44" t="str">
        <f>IF(OR(B31="",R31=""),"",IF(O31="Custom",INDEX(Lists!$I$2:$I$11,MATCH(R31,Lists!$B$2:$B$11,0)),INDEX('2. Use-Case Library'!$H$5:$H$244,MATCH($O31,'2. Use-Case Library'!$A$5:$A$244,0))))</f>
        <v/>
      </c>
      <c r="AG31" s="44" t="str">
        <f>IF(OR(B31="",O31="Custom"),"",INDEX('2. Use-Case Library'!$K$5:$K$244,MATCH($O31,'2. Use-Case Library'!$A$5:$A$244,0)))</f>
        <v/>
      </c>
      <c r="AH31" s="38" t="str">
        <f>IF(AB31="","",IF(AA31="Deprioritise",4,IF(W31="AI later - close data gap first",3,IF(OR(W31="Redesign / standardise first",W31="Stretch - partner or later stage",AA31="Strategic bet",Z31="High",S31=5),2,1))))</f>
        <v/>
      </c>
      <c r="AI31" s="38" t="str">
        <f>IF(AC31="","",AH31*100+AC31)</f>
        <v/>
      </c>
      <c r="AJ31" s="38" t="str">
        <f>IF(B31="","",IF(O31="Custom",B31,INDEX('2. Use-Case Library'!$D$5:$D$244,MATCH($O31,'2. Use-Case Library'!$A$5:$A$244,0))))</f>
        <v/>
      </c>
    </row>
    <row r="32" ht="52" customHeight="1">
      <c r="A32" s="14" t="n">
        <v>25</v>
      </c>
      <c r="B32" s="37" t="n"/>
      <c r="C32" s="37" t="n"/>
      <c r="D32" s="37" t="n"/>
      <c r="E32" s="37" t="n"/>
      <c r="F32" s="37" t="n"/>
      <c r="G32" s="37" t="n"/>
      <c r="H32" s="37" t="n"/>
      <c r="I32" s="37" t="n"/>
      <c r="J32" s="37" t="n"/>
      <c r="K32" s="37" t="n"/>
      <c r="L32" s="37" t="n"/>
      <c r="M32" s="37" t="n"/>
      <c r="N32" s="37" t="n"/>
      <c r="O32" s="38" t="str">
        <f>IF(B32="","",IFERROR(INDEX('2. Use-Case Library'!$A$5:$A$244,MATCH(B32,'2. Use-Case Library'!$M$5:$M$244,0)),"Custom"))</f>
        <v/>
      </c>
      <c r="P32" s="39" t="str">
        <f>IF(B32="","",IF(O32="Custom",IF(E32="","(select function in E)",E32),INDEX('2. Use-Case Library'!$C$5:$C$244,MATCH($O32,'2. Use-Case Library'!$A$5:$A$244,0))))</f>
        <v/>
      </c>
      <c r="Q32" s="39" t="str">
        <f>IF(B32="","",IF(D32&lt;&gt;"",D32,IF(O32="Custom","",INDEX('2. Use-Case Library'!$F$5:$F$244,MATCH($O32,'2. Use-Case Library'!$A$5:$A$244,0)))))</f>
        <v/>
      </c>
      <c r="R32" s="39" t="str">
        <f>IF(Q32="","",INDEX(Lists!$B$2:$B$11,MATCH(Q32,Lists!$A$2:$A$11,0)))</f>
        <v/>
      </c>
      <c r="S32" s="38" t="str">
        <f>IF(R32="","",INDEX(Lists!$C$2:$C$11,MATCH(R32,Lists!$B$2:$B$11,0)))</f>
        <v/>
      </c>
      <c r="T32" s="38" t="str">
        <f>IF(R32="","",INDEX(Lists!$D$2:$D$11,MATCH(R32,Lists!$B$2:$B$11,0)))</f>
        <v/>
      </c>
      <c r="U32" s="38" t="str">
        <f>IF(OR(R32="",I32=""),"",IF(INDEX(Lists!$N$2:$N$5,MATCH(I32,Lists!$M$2:$M$5,0))&gt;=INDEX(Lists!$E$2:$E$11,MATCH(R32,Lists!$B$2:$B$11,0)),"Data ready","Data gap"))</f>
        <v/>
      </c>
      <c r="V32" s="39" t="str">
        <f>IF(R32="","",IF(S32&lt;=IF('1. AI Position'!$C$30="",5,INDEX(Lists!$AI$2:$AI$5,'1. AI Position'!$C$30)),"Within current position","Beyond current position"))</f>
        <v/>
      </c>
      <c r="W32" s="40" t="str">
        <f>IF(B32="","",IF(OR(COUNTA(F32:N32)&lt;9,Q32=""),"Complete inputs",IF(H32="No - varies by person / team","Redesign / standardise first",IF(T32="No","Automate - AI not needed",IF(U32="Data gap","AI later - close data gap first",IF(V32="Beyond current position","Stretch - partner or later stage","AI fit now"))))))</f>
        <v/>
      </c>
      <c r="X32" s="41" t="str">
        <f>IF(OR(W32="",W32="Complete inputs"),"",ROUND(0.3*INDEX(Lists!$N$8:$N$10,MATCH(F32,Lists!$M$8:$M$10,0))+0.25*IF(G32&lt;20,1,IF(G32&lt;80,2,IF(G32&lt;160,3,IF(G32&lt;480,4,5))))+0.25*J32+0.2*K32,2))</f>
        <v/>
      </c>
      <c r="Y32" s="41" t="str">
        <f>IF(X32="","",ROUND(0.3*IF(U32="Data ready",5,IF(INDEX(Lists!$N$2:$N$5,MATCH(I32,Lists!$M$2:$M$5,0))=INDEX(Lists!$E$2:$E$11,MATCH(R32,Lists!$B$2:$B$11,0))-1,3,1))+0.25*INDEX(Lists!$N$13:$N$15,MATCH(H32,Lists!$M$13:$M$15,0))+0.25*(6-S32)+0.2*IF(V32="Within current position",5,2),2))</f>
        <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
      </c>
      <c r="AA32" s="38" t="str">
        <f>IF(X32="","",IF(AND(X32&gt;=$C$4,Y32&gt;=$C$4),"Quick win",IF(X32&gt;=$C$4,"Strategic bet",IF(Y32&gt;=$C$4,"Fill-in","Deprioritise"))))</f>
        <v/>
      </c>
      <c r="AB32" s="41" t="str">
        <f>IF(X32="","",ROUND(X32*Y32*IF(Z32="High",0.85,1)*IF(W32="Redesign / standardise first",0.8,1),2))</f>
        <v/>
      </c>
      <c r="AC32" s="42" t="str">
        <f>IF(AB32="","",RANK(AB32,$AB$8:$AB$57)+COUNTIF($AB$7:AB31,AB32))</f>
        <v/>
      </c>
      <c r="AD32" s="39" t="str">
        <f>IF(AH32="","",INDEX(Lists!$AV$2:$AV$5,AH32))</f>
        <v/>
      </c>
      <c r="AE32" s="43" t="str">
        <f>IF(AB32="","",ROUND(G32*12*INDEX(Lists!$F$2:$F$11,MATCH(R32,Lists!$B$2:$B$11,0)),0))</f>
        <v/>
      </c>
      <c r="AF32" s="44" t="str">
        <f>IF(OR(B32="",R32=""),"",IF(O32="Custom",INDEX(Lists!$I$2:$I$11,MATCH(R32,Lists!$B$2:$B$11,0)),INDEX('2. Use-Case Library'!$H$5:$H$244,MATCH($O32,'2. Use-Case Library'!$A$5:$A$244,0))))</f>
        <v/>
      </c>
      <c r="AG32" s="44" t="str">
        <f>IF(OR(B32="",O32="Custom"),"",INDEX('2. Use-Case Library'!$K$5:$K$244,MATCH($O32,'2. Use-Case Library'!$A$5:$A$244,0)))</f>
        <v/>
      </c>
      <c r="AH32" s="38" t="str">
        <f>IF(AB32="","",IF(AA32="Deprioritise",4,IF(W32="AI later - close data gap first",3,IF(OR(W32="Redesign / standardise first",W32="Stretch - partner or later stage",AA32="Strategic bet",Z32="High",S32=5),2,1))))</f>
        <v/>
      </c>
      <c r="AI32" s="38" t="str">
        <f>IF(AC32="","",AH32*100+AC32)</f>
        <v/>
      </c>
      <c r="AJ32" s="38" t="str">
        <f>IF(B32="","",IF(O32="Custom",B32,INDEX('2. Use-Case Library'!$D$5:$D$244,MATCH($O32,'2. Use-Case Library'!$A$5:$A$244,0))))</f>
        <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f>'1. AI Position'!C4</f>
        <v>0</v>
      </c>
      <c r="D5" s="15" t="n"/>
      <c r="E5" s="15" t="n"/>
      <c r="F5" s="15" t="n"/>
      <c r="G5" s="15" t="n"/>
      <c r="H5" s="15" t="n"/>
      <c r="I5" s="15" t="n"/>
      <c r="J5" s="15" t="n"/>
      <c r="K5" s="15" t="n"/>
    </row>
    <row r="6" ht="18" customHeight="1">
      <c r="A6" s="4" t="inlineStr">
        <is>
          <t>Sector</t>
        </is>
      </c>
      <c r="B6" s="28" t="n"/>
      <c r="C6" s="5" t="str">
        <f>'1. AI Position'!$C$5&amp;""</f>
        <v/>
      </c>
      <c r="D6" s="15" t="n"/>
      <c r="E6" s="15" t="n"/>
      <c r="F6" s="15" t="n"/>
      <c r="G6" s="15" t="n"/>
      <c r="H6" s="15" t="n"/>
      <c r="I6" s="15" t="n"/>
      <c r="J6" s="15" t="n"/>
      <c r="K6" s="15" t="n"/>
    </row>
    <row r="7" ht="18" customHeight="1">
      <c r="A7" s="4" t="inlineStr">
        <is>
          <t>AI position (archetype)</t>
        </is>
      </c>
      <c r="B7" s="28" t="n"/>
      <c r="C7" s="19" t="str">
        <f>'1. AI Position'!$C$31</f>
        <v>Complete all 12 questions</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
      </c>
      <c r="D8" s="15" t="n"/>
      <c r="E8" s="15" t="n"/>
      <c r="F8" s="15" t="n"/>
      <c r="G8" s="15" t="n"/>
      <c r="H8" s="15" t="n"/>
      <c r="I8" s="15" t="n"/>
      <c r="J8" s="15" t="n"/>
      <c r="K8" s="15" t="n"/>
    </row>
    <row r="9" ht="30" customHeight="1">
      <c r="A9" s="4" t="inlineStr">
        <is>
          <t>What it means</t>
        </is>
      </c>
      <c r="B9" s="28" t="n"/>
      <c r="C9" s="5" t="str">
        <f>'1. AI Position'!C33</f>
        <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0</v>
      </c>
      <c r="D14" s="48" t="str">
        <f>IF(SUM($C$14:$C$18)=0,"",C14/SUM($C$14:$C$18))</f>
        <v/>
      </c>
      <c r="E14" s="49">
        <f>SUMIF('3. AI Fit Diagnostic'!$W$8:$W$57,B14,'3. AI Fit Diagnostic'!$AE$8:$AE$57)</f>
        <v>0</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0</v>
      </c>
      <c r="D15" s="48" t="str">
        <f>IF(SUM($C$14:$C$18)=0,"",C15/SUM($C$14:$C$18))</f>
        <v/>
      </c>
      <c r="E15" s="49">
        <f>SUMIF('3. AI Fit Diagnostic'!$W$8:$W$57,B15,'3. AI Fit Diagnostic'!$AE$8:$AE$57)</f>
        <v>0</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0</v>
      </c>
      <c r="D16" s="48" t="str">
        <f>IF(SUM($C$14:$C$18)=0,"",C16/SUM($C$14:$C$18))</f>
        <v/>
      </c>
      <c r="E16" s="49">
        <f>SUMIF('3. AI Fit Diagnostic'!$W$8:$W$57,B16,'3. AI Fit Diagnostic'!$AE$8:$AE$57)</f>
        <v>0</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0</v>
      </c>
      <c r="D17" s="48" t="str">
        <f>IF(SUM($C$14:$C$18)=0,"",C17/SUM($C$14:$C$18))</f>
        <v/>
      </c>
      <c r="E17" s="49">
        <f>SUMIF('3. AI Fit Diagnostic'!$W$8:$W$57,B17,'3. AI Fit Diagnostic'!$AE$8:$AE$57)</f>
        <v>0</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0</v>
      </c>
      <c r="D18" s="48" t="str">
        <f>IF(SUM($C$14:$C$18)=0,"",C18/SUM($C$14:$C$18))</f>
        <v/>
      </c>
      <c r="E18" s="49">
        <f>SUMIF('3. AI Fit Diagnostic'!$W$8:$W$57,B18,'3. AI Fit Diagnostic'!$AE$8:$AE$57)</f>
        <v>0</v>
      </c>
      <c r="F18" s="25" t="inlineStr">
        <is>
          <t>The process varies by person or team; automating or adding AI would scale inconsistency.</t>
        </is>
      </c>
      <c r="G18" s="15" t="n"/>
      <c r="H18" s="15" t="n"/>
      <c r="I18" s="15" t="n"/>
      <c r="J18" s="15" t="n"/>
      <c r="K18" s="15" t="n"/>
    </row>
    <row r="19">
      <c r="B19" s="4" t="inlineStr">
        <is>
          <t>Total assessed</t>
        </is>
      </c>
      <c r="C19" s="11">
        <f>SUM(C14:C18)</f>
        <v>0</v>
      </c>
      <c r="D19" s="6" t="inlineStr"/>
      <c r="E19" s="54">
        <f>SUM(E14:E18)</f>
        <v>0</v>
      </c>
    </row>
    <row r="20" ht="30" customHeight="1">
      <c r="B20" s="55" t="str">
        <f>IF(C19=0,"",TEXT((C14+C17)/C19,"0%")&amp;" of assessed processes are AI opportunities (now or with a partner); "&amp;TEXT(C15/C19,"0%")&amp;" are better served by automation without AI; "&amp;TEXT((C16+C18)/C19,"0%")&amp;" need data or process foundations first.")</f>
        <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0</v>
      </c>
      <c r="D24" s="21">
        <f>COUNTIFS('3. AI Fit Diagnostic'!$P$8:$P$57,$B24,'3. AI Fit Diagnostic'!$W$8:$W$57,"Stretch - partner or later stage")</f>
        <v>0</v>
      </c>
      <c r="E24" s="21">
        <f>COUNTIFS('3. AI Fit Diagnostic'!$P$8:$P$57,$B24,'3. AI Fit Diagnostic'!$W$8:$W$57,"AI later - close data gap first")</f>
        <v>0</v>
      </c>
      <c r="F24" s="21">
        <f>COUNTIFS('3. AI Fit Diagnostic'!$P$8:$P$57,$B24,'3. AI Fit Diagnostic'!$W$8:$W$57,"Automate - AI not needed")</f>
        <v>0</v>
      </c>
      <c r="G24" s="21">
        <f>COUNTIFS('3. AI Fit Diagnostic'!$P$8:$P$57,$B24,'3. AI Fit Diagnostic'!$W$8:$W$57,"Redesign / standardise first")</f>
        <v>0</v>
      </c>
      <c r="H24" s="57">
        <f>SUM(C24:G24)</f>
        <v>0</v>
      </c>
      <c r="I24" s="49">
        <f>SUMIF('3. AI Fit Diagnostic'!$P$8:$P$57,$B24,'3. AI Fit Diagnostic'!$AE$8:$AE$57)</f>
        <v>0</v>
      </c>
      <c r="J24" s="21">
        <f>COUNTIFS('3. AI Fit Diagnostic'!$P$8:$P$57,$B24,'3. AI Fit Diagnostic'!$Z$8:$Z$57,"High")</f>
        <v>0</v>
      </c>
      <c r="K24" s="42" t="str">
        <f>IF(H24=0,"",IF(C24+D24&gt;=MAX(E24,F24,G24),"AI opportunity",IF(F24&gt;=MAX(E24,G24),"Automation is enough",IF(E24&gt;=G24,"Fix data first","Redesign first"))))</f>
        <v/>
      </c>
    </row>
    <row r="25">
      <c r="B25" s="56" t="inlineStr">
        <is>
          <t>Customer service</t>
        </is>
      </c>
      <c r="C25" s="21">
        <f>COUNTIFS('3. AI Fit Diagnostic'!$P$8:$P$57,$B25,'3. AI Fit Diagnostic'!$W$8:$W$57,"AI fit now")</f>
        <v>0</v>
      </c>
      <c r="D25" s="21">
        <f>COUNTIFS('3. AI Fit Diagnostic'!$P$8:$P$57,$B25,'3. AI Fit Diagnostic'!$W$8:$W$57,"Stretch - partner or later stage")</f>
        <v>0</v>
      </c>
      <c r="E25" s="21">
        <f>COUNTIFS('3. AI Fit Diagnostic'!$P$8:$P$57,$B25,'3. AI Fit Diagnostic'!$W$8:$W$57,"AI later - close data gap first")</f>
        <v>0</v>
      </c>
      <c r="F25" s="21">
        <f>COUNTIFS('3. AI Fit Diagnostic'!$P$8:$P$57,$B25,'3. AI Fit Diagnostic'!$W$8:$W$57,"Automate - AI not needed")</f>
        <v>0</v>
      </c>
      <c r="G25" s="21">
        <f>COUNTIFS('3. AI Fit Diagnostic'!$P$8:$P$57,$B25,'3. AI Fit Diagnostic'!$W$8:$W$57,"Redesign / standardise first")</f>
        <v>0</v>
      </c>
      <c r="H25" s="57">
        <f>SUM(C25:G25)</f>
        <v>0</v>
      </c>
      <c r="I25" s="49">
        <f>SUMIF('3. AI Fit Diagnostic'!$P$8:$P$57,$B25,'3. AI Fit Diagnostic'!$AE$8:$AE$57)</f>
        <v>0</v>
      </c>
      <c r="J25" s="21">
        <f>COUNTIFS('3. AI Fit Diagnostic'!$P$8:$P$57,$B25,'3. AI Fit Diagnostic'!$Z$8:$Z$57,"High")</f>
        <v>0</v>
      </c>
      <c r="K25" s="42" t="str">
        <f>IF(H25=0,"",IF(C25+D25&gt;=MAX(E25,F25,G25),"AI opportunity",IF(F25&gt;=MAX(E25,G25),"Automation is enough",IF(E25&gt;=G25,"Fix data first","Redesign first"))))</f>
        <v/>
      </c>
    </row>
    <row r="26">
      <c r="B26" s="56" t="inlineStr">
        <is>
          <t>Sales &amp; marketing</t>
        </is>
      </c>
      <c r="C26" s="21">
        <f>COUNTIFS('3. AI Fit Diagnostic'!$P$8:$P$57,$B26,'3. AI Fit Diagnostic'!$W$8:$W$57,"AI fit now")</f>
        <v>0</v>
      </c>
      <c r="D26" s="21">
        <f>COUNTIFS('3. AI Fit Diagnostic'!$P$8:$P$57,$B26,'3. AI Fit Diagnostic'!$W$8:$W$57,"Stretch - partner or later stage")</f>
        <v>0</v>
      </c>
      <c r="E26" s="21">
        <f>COUNTIFS('3. AI Fit Diagnostic'!$P$8:$P$57,$B26,'3. AI Fit Diagnostic'!$W$8:$W$57,"AI later - close data gap first")</f>
        <v>0</v>
      </c>
      <c r="F26" s="21">
        <f>COUNTIFS('3. AI Fit Diagnostic'!$P$8:$P$57,$B26,'3. AI Fit Diagnostic'!$W$8:$W$57,"Automate - AI not needed")</f>
        <v>0</v>
      </c>
      <c r="G26" s="21">
        <f>COUNTIFS('3. AI Fit Diagnostic'!$P$8:$P$57,$B26,'3. AI Fit Diagnostic'!$W$8:$W$57,"Redesign / standardise first")</f>
        <v>0</v>
      </c>
      <c r="H26" s="57">
        <f>SUM(C26:G26)</f>
        <v>0</v>
      </c>
      <c r="I26" s="49">
        <f>SUMIF('3. AI Fit Diagnostic'!$P$8:$P$57,$B26,'3. AI Fit Diagnostic'!$AE$8:$AE$57)</f>
        <v>0</v>
      </c>
      <c r="J26" s="21">
        <f>COUNTIFS('3. AI Fit Diagnostic'!$P$8:$P$57,$B26,'3. AI Fit Diagnostic'!$Z$8:$Z$57,"High")</f>
        <v>0</v>
      </c>
      <c r="K26" s="42" t="str">
        <f>IF(H26=0,"",IF(C26+D26&gt;=MAX(E26,F26,G26),"AI opportunity",IF(F26&gt;=MAX(E26,G26),"Automation is enough",IF(E26&gt;=G26,"Fix data first","Redesign first"))))</f>
        <v/>
      </c>
    </row>
    <row r="27">
      <c r="B27" s="56" t="inlineStr">
        <is>
          <t>Finance &amp; accounting</t>
        </is>
      </c>
      <c r="C27" s="21">
        <f>COUNTIFS('3. AI Fit Diagnostic'!$P$8:$P$57,$B27,'3. AI Fit Diagnostic'!$W$8:$W$57,"AI fit now")</f>
        <v>0</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0</v>
      </c>
      <c r="G27" s="21">
        <f>COUNTIFS('3. AI Fit Diagnostic'!$P$8:$P$57,$B27,'3. AI Fit Diagnostic'!$W$8:$W$57,"Redesign / standardise first")</f>
        <v>0</v>
      </c>
      <c r="H27" s="57">
        <f>SUM(C27:G27)</f>
        <v>0</v>
      </c>
      <c r="I27" s="49">
        <f>SUMIF('3. AI Fit Diagnostic'!$P$8:$P$57,$B27,'3. AI Fit Diagnostic'!$AE$8:$AE$57)</f>
        <v>0</v>
      </c>
      <c r="J27" s="21">
        <f>COUNTIFS('3. AI Fit Diagnostic'!$P$8:$P$57,$B27,'3. AI Fit Diagnostic'!$Z$8:$Z$57,"High")</f>
        <v>0</v>
      </c>
      <c r="K27" s="42" t="str">
        <f>IF(H27=0,"",IF(C27+D27&gt;=MAX(E27,F27,G27),"AI opportunity",IF(F27&gt;=MAX(E27,G27),"Automation is enough",IF(E27&gt;=G27,"Fix data first","Redesign first"))))</f>
        <v/>
      </c>
    </row>
    <row r="28">
      <c r="B28" s="56" t="inlineStr">
        <is>
          <t>HR &amp; people</t>
        </is>
      </c>
      <c r="C28" s="21">
        <f>COUNTIFS('3. AI Fit Diagnostic'!$P$8:$P$57,$B28,'3. AI Fit Diagnostic'!$W$8:$W$57,"AI fit now")</f>
        <v>0</v>
      </c>
      <c r="D28" s="21">
        <f>COUNTIFS('3. AI Fit Diagnostic'!$P$8:$P$57,$B28,'3. AI Fit Diagnostic'!$W$8:$W$57,"Stretch - partner or later stage")</f>
        <v>0</v>
      </c>
      <c r="E28" s="21">
        <f>COUNTIFS('3. AI Fit Diagnostic'!$P$8:$P$57,$B28,'3. AI Fit Diagnostic'!$W$8:$W$57,"AI later - close data gap first")</f>
        <v>0</v>
      </c>
      <c r="F28" s="21">
        <f>COUNTIFS('3. AI Fit Diagnostic'!$P$8:$P$57,$B28,'3. AI Fit Diagnostic'!$W$8:$W$57,"Automate - AI not needed")</f>
        <v>0</v>
      </c>
      <c r="G28" s="21">
        <f>COUNTIFS('3. AI Fit Diagnostic'!$P$8:$P$57,$B28,'3. AI Fit Diagnostic'!$W$8:$W$57,"Redesign / standardise first")</f>
        <v>0</v>
      </c>
      <c r="H28" s="57">
        <f>SUM(C28:G28)</f>
        <v>0</v>
      </c>
      <c r="I28" s="49">
        <f>SUMIF('3. AI Fit Diagnostic'!$P$8:$P$57,$B28,'3. AI Fit Diagnostic'!$AE$8:$AE$57)</f>
        <v>0</v>
      </c>
      <c r="J28" s="21">
        <f>COUNTIFS('3. AI Fit Diagnostic'!$P$8:$P$57,$B28,'3. AI Fit Diagnostic'!$Z$8:$Z$57,"High")</f>
        <v>0</v>
      </c>
      <c r="K28" s="42" t="str">
        <f>IF(H28=0,"",IF(C28+D28&gt;=MAX(E28,F28,G28),"AI opportunity",IF(F28&gt;=MAX(E28,G28),"Automation is enough",IF(E28&gt;=G28,"Fix data first","Redesign first"))))</f>
        <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0</v>
      </c>
      <c r="D30" s="21">
        <f>COUNTIFS('3. AI Fit Diagnostic'!$P$8:$P$57,$B30,'3. AI Fit Diagnostic'!$W$8:$W$57,"Stretch - partner or later stage")</f>
        <v>0</v>
      </c>
      <c r="E30" s="21">
        <f>COUNTIFS('3. AI Fit Diagnostic'!$P$8:$P$57,$B30,'3. AI Fit Diagnostic'!$W$8:$W$57,"AI later - close data gap first")</f>
        <v>0</v>
      </c>
      <c r="F30" s="21">
        <f>COUNTIFS('3. AI Fit Diagnostic'!$P$8:$P$57,$B30,'3. AI Fit Diagnostic'!$W$8:$W$57,"Automate - AI not needed")</f>
        <v>0</v>
      </c>
      <c r="G30" s="21">
        <f>COUNTIFS('3. AI Fit Diagnostic'!$P$8:$P$57,$B30,'3. AI Fit Diagnostic'!$W$8:$W$57,"Redesign / standardise first")</f>
        <v>0</v>
      </c>
      <c r="H30" s="57">
        <f>SUM(C30:G30)</f>
        <v>0</v>
      </c>
      <c r="I30" s="49">
        <f>SUMIF('3. AI Fit Diagnostic'!$P$8:$P$57,$B30,'3. AI Fit Diagnostic'!$AE$8:$AE$57)</f>
        <v>0</v>
      </c>
      <c r="J30" s="21">
        <f>COUNTIFS('3. AI Fit Diagnostic'!$P$8:$P$57,$B30,'3. AI Fit Diagnostic'!$Z$8:$Z$57,"High")</f>
        <v>0</v>
      </c>
      <c r="K30" s="42" t="str">
        <f>IF(H30=0,"",IF(C30+D30&gt;=MAX(E30,F30,G30),"AI opportunity",IF(F30&gt;=MAX(E30,G30),"Automation is enough",IF(E30&gt;=G30,"Fix data first","Redesign first"))))</f>
        <v/>
      </c>
    </row>
    <row r="31">
      <c r="B31" s="56" t="inlineStr">
        <is>
          <t>IT &amp; cybersecurity</t>
        </is>
      </c>
      <c r="C31" s="21">
        <f>COUNTIFS('3. AI Fit Diagnostic'!$P$8:$P$57,$B31,'3. AI Fit Diagnostic'!$W$8:$W$57,"AI fit now")</f>
        <v>0</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0</v>
      </c>
      <c r="I31" s="49">
        <f>SUMIF('3. AI Fit Diagnostic'!$P$8:$P$57,$B31,'3. AI Fit Diagnostic'!$AE$8:$AE$57)</f>
        <v>0</v>
      </c>
      <c r="J31" s="21">
        <f>COUNTIFS('3. AI Fit Diagnostic'!$P$8:$P$57,$B31,'3. AI Fit Diagnostic'!$Z$8:$Z$57,"High")</f>
        <v>0</v>
      </c>
      <c r="K31" s="42" t="str">
        <f>IF(H31=0,"",IF(C31+D31&gt;=MAX(E31,F31,G31),"AI opportunity",IF(F31&gt;=MAX(E31,G31),"Automation is enough",IF(E31&gt;=G31,"Fix data first","Redesign first"))))</f>
        <v/>
      </c>
    </row>
    <row r="32">
      <c r="B32" s="56" t="inlineStr">
        <is>
          <t>Assets, facilities &amp; maintenance</t>
        </is>
      </c>
      <c r="C32" s="21">
        <f>COUNTIFS('3. AI Fit Diagnostic'!$P$8:$P$57,$B32,'3. AI Fit Diagnostic'!$W$8:$W$57,"AI fit now")</f>
        <v>0</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0</v>
      </c>
      <c r="I32" s="49">
        <f>SUMIF('3. AI Fit Diagnostic'!$P$8:$P$57,$B32,'3. AI Fit Diagnostic'!$AE$8:$AE$57)</f>
        <v>0</v>
      </c>
      <c r="J32" s="21">
        <f>COUNTIFS('3. AI Fit Diagnostic'!$P$8:$P$57,$B32,'3. AI Fit Diagnostic'!$Z$8:$Z$57,"High")</f>
        <v>0</v>
      </c>
      <c r="K32" s="42" t="str">
        <f>IF(H32=0,"",IF(C32+D32&gt;=MAX(E32,F32,G32),"AI opportunity",IF(F32&gt;=MAX(E32,G32),"Automation is enough",IF(E32&gt;=G32,"Fix data first","Redesign first"))))</f>
        <v/>
      </c>
    </row>
    <row r="33">
      <c r="B33" s="56" t="inlineStr">
        <is>
          <t>Strategy, management &amp; reporting</t>
        </is>
      </c>
      <c r="C33" s="21">
        <f>COUNTIFS('3. AI Fit Diagnostic'!$P$8:$P$57,$B33,'3. AI Fit Diagnostic'!$W$8:$W$57,"AI fit now")</f>
        <v>0</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0</v>
      </c>
      <c r="G33" s="21">
        <f>COUNTIFS('3. AI Fit Diagnostic'!$P$8:$P$57,$B33,'3. AI Fit Diagnostic'!$W$8:$W$57,"Redesign / standardise first")</f>
        <v>0</v>
      </c>
      <c r="H33" s="57">
        <f>SUM(C33:G33)</f>
        <v>0</v>
      </c>
      <c r="I33" s="49">
        <f>SUMIF('3. AI Fit Diagnostic'!$P$8:$P$57,$B33,'3. AI Fit Diagnostic'!$AE$8:$AE$57)</f>
        <v>0</v>
      </c>
      <c r="J33" s="21">
        <f>COUNTIFS('3. AI Fit Diagnostic'!$P$8:$P$57,$B33,'3. AI Fit Diagnostic'!$Z$8:$Z$57,"High")</f>
        <v>0</v>
      </c>
      <c r="K33" s="42" t="str">
        <f>IF(H33=0,"",IF(C33+D33&gt;=MAX(E33,F33,G33),"AI opportunity",IF(F33&gt;=MAX(E33,G33),"Automation is enough",IF(E33&gt;=G33,"Fix data first","Redesign first"))))</f>
        <v/>
      </c>
    </row>
    <row r="34">
      <c r="B34" s="56" t="inlineStr">
        <is>
          <t>Knowledge &amp; collaboration</t>
        </is>
      </c>
      <c r="C34" s="21">
        <f>COUNTIFS('3. AI Fit Diagnostic'!$P$8:$P$57,$B34,'3. AI Fit Diagnostic'!$W$8:$W$57,"AI fit now")</f>
        <v>0</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0</v>
      </c>
      <c r="I34" s="49">
        <f>SUMIF('3. AI Fit Diagnostic'!$P$8:$P$57,$B34,'3. AI Fit Diagnostic'!$AE$8:$AE$57)</f>
        <v>0</v>
      </c>
      <c r="J34" s="21">
        <f>COUNTIFS('3. AI Fit Diagnostic'!$P$8:$P$57,$B34,'3. AI Fit Diagnostic'!$Z$8:$Z$57,"High")</f>
        <v>0</v>
      </c>
      <c r="K34" s="42" t="str">
        <f>IF(H34=0,"",IF(C34+D34&gt;=MAX(E34,F34,G34),"AI opportunity",IF(F34&gt;=MAX(E34,G34),"Automation is enough",IF(E34&gt;=G34,"Fix data first","Redesign first"))))</f>
        <v/>
      </c>
    </row>
    <row r="35">
      <c r="B35" s="4" t="inlineStr">
        <is>
          <t>Total</t>
        </is>
      </c>
      <c r="C35" s="11">
        <f>SUM(C24:C34)</f>
        <v>0</v>
      </c>
      <c r="D35" s="11">
        <f>SUM(D24:D34)</f>
        <v>0</v>
      </c>
      <c r="E35" s="11">
        <f>SUM(E24:E34)</f>
        <v>0</v>
      </c>
      <c r="F35" s="11">
        <f>SUM(F24:F34)</f>
        <v>0</v>
      </c>
      <c r="G35" s="11">
        <f>SUM(G24:G34)</f>
        <v>0</v>
      </c>
      <c r="H35" s="11">
        <f>SUM(H24:H34)</f>
        <v>0</v>
      </c>
      <c r="I35" s="54">
        <f>SUM(I24:I34)</f>
        <v>0</v>
      </c>
      <c r="J35" s="11">
        <f>SUM(J24:J34)</f>
        <v>0</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
      </c>
      <c r="C59" s="58" t="str">
        <f>IFERROR(INDEX('3. AI Fit Diagnostic'!$R$8:$R$57,MATCH(1,'3. AI Fit Diagnostic'!$AC$8:$AC$57,0)),"")</f>
        <v/>
      </c>
      <c r="D59" s="15" t="n"/>
      <c r="E59" s="59" t="str">
        <f>IFERROR(INDEX('3. AI Fit Diagnostic'!$W$8:$W$57,MATCH(1,'3. AI Fit Diagnostic'!$AC$8:$AC$57,0)),"")</f>
        <v/>
      </c>
      <c r="F59" s="15" t="n"/>
      <c r="G59" s="38" t="str">
        <f>IFERROR(INDEX('3. AI Fit Diagnostic'!$Z$8:$Z$57,MATCH(1,'3. AI Fit Diagnostic'!$AC$8:$AC$57,0)),"")</f>
        <v/>
      </c>
      <c r="H59" s="58" t="str">
        <f>IFERROR(INDEX('3. AI Fit Diagnostic'!$AD$8:$AD$57,MATCH(1,'3. AI Fit Diagnostic'!$AC$8:$AC$57,0)),"")</f>
        <v/>
      </c>
      <c r="I59" s="60" t="str">
        <f>IFERROR(INDEX('3. AI Fit Diagnostic'!$AF$8:$AF$57,MATCH(1,'3. AI Fit Diagnostic'!$AC$8:$AC$57,0)),"")</f>
        <v/>
      </c>
      <c r="J59" s="15" t="n"/>
      <c r="K59" s="15" t="n"/>
    </row>
    <row r="60" ht="46" customHeight="1">
      <c r="A60" s="11" t="n">
        <v>2</v>
      </c>
      <c r="B60" s="26" t="str">
        <f>IFERROR(INDEX('3. AI Fit Diagnostic'!$AJ$8:$AJ$57,MATCH(2,'3. AI Fit Diagnostic'!$AC$8:$AC$57,0)),"")</f>
        <v/>
      </c>
      <c r="C60" s="58" t="str">
        <f>IFERROR(INDEX('3. AI Fit Diagnostic'!$R$8:$R$57,MATCH(2,'3. AI Fit Diagnostic'!$AC$8:$AC$57,0)),"")</f>
        <v/>
      </c>
      <c r="D60" s="15" t="n"/>
      <c r="E60" s="59" t="str">
        <f>IFERROR(INDEX('3. AI Fit Diagnostic'!$W$8:$W$57,MATCH(2,'3. AI Fit Diagnostic'!$AC$8:$AC$57,0)),"")</f>
        <v/>
      </c>
      <c r="F60" s="15" t="n"/>
      <c r="G60" s="38" t="str">
        <f>IFERROR(INDEX('3. AI Fit Diagnostic'!$Z$8:$Z$57,MATCH(2,'3. AI Fit Diagnostic'!$AC$8:$AC$57,0)),"")</f>
        <v/>
      </c>
      <c r="H60" s="58" t="str">
        <f>IFERROR(INDEX('3. AI Fit Diagnostic'!$AD$8:$AD$57,MATCH(2,'3. AI Fit Diagnostic'!$AC$8:$AC$57,0)),"")</f>
        <v/>
      </c>
      <c r="I60" s="60" t="str">
        <f>IFERROR(INDEX('3. AI Fit Diagnostic'!$AF$8:$AF$57,MATCH(2,'3. AI Fit Diagnostic'!$AC$8:$AC$57,0)),"")</f>
        <v/>
      </c>
      <c r="J60" s="15" t="n"/>
      <c r="K60" s="15" t="n"/>
    </row>
    <row r="61" ht="46" customHeight="1">
      <c r="A61" s="11" t="n">
        <v>3</v>
      </c>
      <c r="B61" s="26" t="str">
        <f>IFERROR(INDEX('3. AI Fit Diagnostic'!$AJ$8:$AJ$57,MATCH(3,'3. AI Fit Diagnostic'!$AC$8:$AC$57,0)),"")</f>
        <v/>
      </c>
      <c r="C61" s="58" t="str">
        <f>IFERROR(INDEX('3. AI Fit Diagnostic'!$R$8:$R$57,MATCH(3,'3. AI Fit Diagnostic'!$AC$8:$AC$57,0)),"")</f>
        <v/>
      </c>
      <c r="D61" s="15" t="n"/>
      <c r="E61" s="59" t="str">
        <f>IFERROR(INDEX('3. AI Fit Diagnostic'!$W$8:$W$57,MATCH(3,'3. AI Fit Diagnostic'!$AC$8:$AC$57,0)),"")</f>
        <v/>
      </c>
      <c r="F61" s="15" t="n"/>
      <c r="G61" s="38" t="str">
        <f>IFERROR(INDEX('3. AI Fit Diagnostic'!$Z$8:$Z$57,MATCH(3,'3. AI Fit Diagnostic'!$AC$8:$AC$57,0)),"")</f>
        <v/>
      </c>
      <c r="H61" s="58" t="str">
        <f>IFERROR(INDEX('3. AI Fit Diagnostic'!$AD$8:$AD$57,MATCH(3,'3. AI Fit Diagnostic'!$AC$8:$AC$57,0)),"")</f>
        <v/>
      </c>
      <c r="I61" s="60" t="str">
        <f>IFERROR(INDEX('3. AI Fit Diagnostic'!$AF$8:$AF$57,MATCH(3,'3. AI Fit Diagnostic'!$AC$8:$AC$57,0)),"")</f>
        <v/>
      </c>
      <c r="J61" s="15" t="n"/>
      <c r="K61" s="15" t="n"/>
    </row>
    <row r="62" ht="46" customHeight="1">
      <c r="A62" s="11" t="n">
        <v>4</v>
      </c>
      <c r="B62" s="26" t="str">
        <f>IFERROR(INDEX('3. AI Fit Diagnostic'!$AJ$8:$AJ$57,MATCH(4,'3. AI Fit Diagnostic'!$AC$8:$AC$57,0)),"")</f>
        <v/>
      </c>
      <c r="C62" s="58" t="str">
        <f>IFERROR(INDEX('3. AI Fit Diagnostic'!$R$8:$R$57,MATCH(4,'3. AI Fit Diagnostic'!$AC$8:$AC$57,0)),"")</f>
        <v/>
      </c>
      <c r="D62" s="15" t="n"/>
      <c r="E62" s="59" t="str">
        <f>IFERROR(INDEX('3. AI Fit Diagnostic'!$W$8:$W$57,MATCH(4,'3. AI Fit Diagnostic'!$AC$8:$AC$57,0)),"")</f>
        <v/>
      </c>
      <c r="F62" s="15" t="n"/>
      <c r="G62" s="38" t="str">
        <f>IFERROR(INDEX('3. AI Fit Diagnostic'!$Z$8:$Z$57,MATCH(4,'3. AI Fit Diagnostic'!$AC$8:$AC$57,0)),"")</f>
        <v/>
      </c>
      <c r="H62" s="58" t="str">
        <f>IFERROR(INDEX('3. AI Fit Diagnostic'!$AD$8:$AD$57,MATCH(4,'3. AI Fit Diagnostic'!$AC$8:$AC$57,0)),"")</f>
        <v/>
      </c>
      <c r="I62" s="60" t="str">
        <f>IFERROR(INDEX('3. AI Fit Diagnostic'!$AF$8:$AF$57,MATCH(4,'3. AI Fit Diagnostic'!$AC$8:$AC$57,0)),"")</f>
        <v/>
      </c>
      <c r="J62" s="15" t="n"/>
      <c r="K62" s="15" t="n"/>
    </row>
    <row r="63" ht="46" customHeight="1">
      <c r="A63" s="11" t="n">
        <v>5</v>
      </c>
      <c r="B63" s="26" t="str">
        <f>IFERROR(INDEX('3. AI Fit Diagnostic'!$AJ$8:$AJ$57,MATCH(5,'3. AI Fit Diagnostic'!$AC$8:$AC$57,0)),"")</f>
        <v/>
      </c>
      <c r="C63" s="58" t="str">
        <f>IFERROR(INDEX('3. AI Fit Diagnostic'!$R$8:$R$57,MATCH(5,'3. AI Fit Diagnostic'!$AC$8:$AC$57,0)),"")</f>
        <v/>
      </c>
      <c r="D63" s="15" t="n"/>
      <c r="E63" s="59" t="str">
        <f>IFERROR(INDEX('3. AI Fit Diagnostic'!$W$8:$W$57,MATCH(5,'3. AI Fit Diagnostic'!$AC$8:$AC$57,0)),"")</f>
        <v/>
      </c>
      <c r="F63" s="15" t="n"/>
      <c r="G63" s="38" t="str">
        <f>IFERROR(INDEX('3. AI Fit Diagnostic'!$Z$8:$Z$57,MATCH(5,'3. AI Fit Diagnostic'!$AC$8:$AC$57,0)),"")</f>
        <v/>
      </c>
      <c r="H63" s="58" t="str">
        <f>IFERROR(INDEX('3. AI Fit Diagnostic'!$AD$8:$AD$57,MATCH(5,'3. AI Fit Diagnostic'!$AC$8:$AC$57,0)),"")</f>
        <v/>
      </c>
      <c r="I63" s="60" t="str">
        <f>IFERROR(INDEX('3. AI Fit Diagnostic'!$AF$8:$AF$57,MATCH(5,'3. AI Fit Diagnostic'!$AC$8:$AC$57,0)),"")</f>
        <v/>
      </c>
      <c r="J63" s="15" t="n"/>
      <c r="K63" s="15" t="n"/>
    </row>
    <row r="64" ht="46" customHeight="1">
      <c r="A64" s="11" t="n">
        <v>6</v>
      </c>
      <c r="B64" s="26" t="str">
        <f>IFERROR(INDEX('3. AI Fit Diagnostic'!$AJ$8:$AJ$57,MATCH(6,'3. AI Fit Diagnostic'!$AC$8:$AC$57,0)),"")</f>
        <v/>
      </c>
      <c r="C64" s="58" t="str">
        <f>IFERROR(INDEX('3. AI Fit Diagnostic'!$R$8:$R$57,MATCH(6,'3. AI Fit Diagnostic'!$AC$8:$AC$57,0)),"")</f>
        <v/>
      </c>
      <c r="D64" s="15" t="n"/>
      <c r="E64" s="59" t="str">
        <f>IFERROR(INDEX('3. AI Fit Diagnostic'!$W$8:$W$57,MATCH(6,'3. AI Fit Diagnostic'!$AC$8:$AC$57,0)),"")</f>
        <v/>
      </c>
      <c r="F64" s="15" t="n"/>
      <c r="G64" s="38" t="str">
        <f>IFERROR(INDEX('3. AI Fit Diagnostic'!$Z$8:$Z$57,MATCH(6,'3. AI Fit Diagnostic'!$AC$8:$AC$57,0)),"")</f>
        <v/>
      </c>
      <c r="H64" s="58" t="str">
        <f>IFERROR(INDEX('3. AI Fit Diagnostic'!$AD$8:$AD$57,MATCH(6,'3. AI Fit Diagnostic'!$AC$8:$AC$57,0)),"")</f>
        <v/>
      </c>
      <c r="I64" s="60" t="str">
        <f>IFERROR(INDEX('3. AI Fit Diagnostic'!$AF$8:$AF$57,MATCH(6,'3. AI Fit Diagnostic'!$AC$8:$AC$57,0)),"")</f>
        <v/>
      </c>
      <c r="J64" s="15" t="n"/>
      <c r="K64" s="15" t="n"/>
    </row>
    <row r="65" ht="46" customHeight="1">
      <c r="A65" s="11" t="n">
        <v>7</v>
      </c>
      <c r="B65" s="26" t="str">
        <f>IFERROR(INDEX('3. AI Fit Diagnostic'!$AJ$8:$AJ$57,MATCH(7,'3. AI Fit Diagnostic'!$AC$8:$AC$57,0)),"")</f>
        <v/>
      </c>
      <c r="C65" s="58" t="str">
        <f>IFERROR(INDEX('3. AI Fit Diagnostic'!$R$8:$R$57,MATCH(7,'3. AI Fit Diagnostic'!$AC$8:$AC$57,0)),"")</f>
        <v/>
      </c>
      <c r="D65" s="15" t="n"/>
      <c r="E65" s="59" t="str">
        <f>IFERROR(INDEX('3. AI Fit Diagnostic'!$W$8:$W$57,MATCH(7,'3. AI Fit Diagnostic'!$AC$8:$AC$57,0)),"")</f>
        <v/>
      </c>
      <c r="F65" s="15" t="n"/>
      <c r="G65" s="38" t="str">
        <f>IFERROR(INDEX('3. AI Fit Diagnostic'!$Z$8:$Z$57,MATCH(7,'3. AI Fit Diagnostic'!$AC$8:$AC$57,0)),"")</f>
        <v/>
      </c>
      <c r="H65" s="58" t="str">
        <f>IFERROR(INDEX('3. AI Fit Diagnostic'!$AD$8:$AD$57,MATCH(7,'3. AI Fit Diagnostic'!$AC$8:$AC$57,0)),"")</f>
        <v/>
      </c>
      <c r="I65" s="60" t="str">
        <f>IFERROR(INDEX('3. AI Fit Diagnostic'!$AF$8:$AF$57,MATCH(7,'3. AI Fit Diagnostic'!$AC$8:$AC$57,0)),"")</f>
        <v/>
      </c>
      <c r="J65" s="15" t="n"/>
      <c r="K65" s="15" t="n"/>
    </row>
    <row r="66" ht="46" customHeight="1">
      <c r="A66" s="11" t="n">
        <v>8</v>
      </c>
      <c r="B66" s="26" t="str">
        <f>IFERROR(INDEX('3. AI Fit Diagnostic'!$AJ$8:$AJ$57,MATCH(8,'3. AI Fit Diagnostic'!$AC$8:$AC$57,0)),"")</f>
        <v/>
      </c>
      <c r="C66" s="58" t="str">
        <f>IFERROR(INDEX('3. AI Fit Diagnostic'!$R$8:$R$57,MATCH(8,'3. AI Fit Diagnostic'!$AC$8:$AC$57,0)),"")</f>
        <v/>
      </c>
      <c r="D66" s="15" t="n"/>
      <c r="E66" s="59" t="str">
        <f>IFERROR(INDEX('3. AI Fit Diagnostic'!$W$8:$W$57,MATCH(8,'3. AI Fit Diagnostic'!$AC$8:$AC$57,0)),"")</f>
        <v/>
      </c>
      <c r="F66" s="15" t="n"/>
      <c r="G66" s="38" t="str">
        <f>IFERROR(INDEX('3. AI Fit Diagnostic'!$Z$8:$Z$57,MATCH(8,'3. AI Fit Diagnostic'!$AC$8:$AC$57,0)),"")</f>
        <v/>
      </c>
      <c r="H66" s="58" t="str">
        <f>IFERROR(INDEX('3. AI Fit Diagnostic'!$AD$8:$AD$57,MATCH(8,'3. AI Fit Diagnostic'!$AC$8:$AC$57,0)),"")</f>
        <v/>
      </c>
      <c r="I66" s="60" t="str">
        <f>IFERROR(INDEX('3. AI Fit Diagnostic'!$AF$8:$AF$57,MATCH(8,'3. AI Fit Diagnostic'!$AC$8:$AC$57,0)),"")</f>
        <v/>
      </c>
      <c r="J66" s="15" t="n"/>
      <c r="K66" s="15" t="n"/>
    </row>
    <row r="67" ht="46" customHeight="1">
      <c r="A67" s="11" t="n">
        <v>9</v>
      </c>
      <c r="B67" s="26" t="str">
        <f>IFERROR(INDEX('3. AI Fit Diagnostic'!$AJ$8:$AJ$57,MATCH(9,'3. AI Fit Diagnostic'!$AC$8:$AC$57,0)),"")</f>
        <v/>
      </c>
      <c r="C67" s="58" t="str">
        <f>IFERROR(INDEX('3. AI Fit Diagnostic'!$R$8:$R$57,MATCH(9,'3. AI Fit Diagnostic'!$AC$8:$AC$57,0)),"")</f>
        <v/>
      </c>
      <c r="D67" s="15" t="n"/>
      <c r="E67" s="59" t="str">
        <f>IFERROR(INDEX('3. AI Fit Diagnostic'!$W$8:$W$57,MATCH(9,'3. AI Fit Diagnostic'!$AC$8:$AC$57,0)),"")</f>
        <v/>
      </c>
      <c r="F67" s="15" t="n"/>
      <c r="G67" s="38" t="str">
        <f>IFERROR(INDEX('3. AI Fit Diagnostic'!$Z$8:$Z$57,MATCH(9,'3. AI Fit Diagnostic'!$AC$8:$AC$57,0)),"")</f>
        <v/>
      </c>
      <c r="H67" s="58" t="str">
        <f>IFERROR(INDEX('3. AI Fit Diagnostic'!$AD$8:$AD$57,MATCH(9,'3. AI Fit Diagnostic'!$AC$8:$AC$57,0)),"")</f>
        <v/>
      </c>
      <c r="I67" s="60" t="str">
        <f>IFERROR(INDEX('3. AI Fit Diagnostic'!$AF$8:$AF$57,MATCH(9,'3. AI Fit Diagnostic'!$AC$8:$AC$57,0)),"")</f>
        <v/>
      </c>
      <c r="J67" s="15" t="n"/>
      <c r="K67" s="15" t="n"/>
    </row>
    <row r="68" ht="46" customHeight="1">
      <c r="A68" s="11" t="n">
        <v>10</v>
      </c>
      <c r="B68" s="26" t="str">
        <f>IFERROR(INDEX('3. AI Fit Diagnostic'!$AJ$8:$AJ$57,MATCH(10,'3. AI Fit Diagnostic'!$AC$8:$AC$57,0)),"")</f>
        <v/>
      </c>
      <c r="C68" s="58" t="str">
        <f>IFERROR(INDEX('3. AI Fit Diagnostic'!$R$8:$R$57,MATCH(10,'3. AI Fit Diagnostic'!$AC$8:$AC$57,0)),"")</f>
        <v/>
      </c>
      <c r="D68" s="15" t="n"/>
      <c r="E68" s="59" t="str">
        <f>IFERROR(INDEX('3. AI Fit Diagnostic'!$W$8:$W$57,MATCH(10,'3. AI Fit Diagnostic'!$AC$8:$AC$57,0)),"")</f>
        <v/>
      </c>
      <c r="F68" s="15" t="n"/>
      <c r="G68" s="38" t="str">
        <f>IFERROR(INDEX('3. AI Fit Diagnostic'!$Z$8:$Z$57,MATCH(10,'3. AI Fit Diagnostic'!$AC$8:$AC$57,0)),"")</f>
        <v/>
      </c>
      <c r="H68" s="58" t="str">
        <f>IFERROR(INDEX('3. AI Fit Diagnostic'!$AD$8:$AD$57,MATCH(10,'3. AI Fit Diagnostic'!$AC$8:$AC$57,0)),"")</f>
        <v/>
      </c>
      <c r="I68" s="60" t="str">
        <f>IFERROR(INDEX('3. AI Fit Diagnostic'!$AF$8:$AF$57,MATCH(10,'3. AI Fit Diagnostic'!$AC$8:$AC$57,0)),"")</f>
        <v/>
      </c>
      <c r="J68" s="15" t="n"/>
      <c r="K68" s="15" t="n"/>
    </row>
    <row r="70" ht="22" customHeight="1">
      <c r="A70" s="3" t="inlineStr">
        <is>
          <t>E. SECTOR LENS</t>
        </is>
      </c>
    </row>
    <row r="71" ht="30" customHeight="1">
      <c r="A71" s="4" t="inlineStr">
        <is>
          <t>Value at stake by 2030</t>
        </is>
      </c>
      <c r="B71" s="28" t="n"/>
      <c r="C71" s="61" t="str">
        <f>IFERROR(INDEX('7. Sector Profiles'!$B$5:$B$18,MATCH('1. AI Position'!$C$5,'7. Sector Profiles'!$A$5:$A$18,0)),"Select a sector on sheet 1")</f>
        <v>Select a sector on sheet 1</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Select a sector on sheet 1</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Select a sector on sheet 1</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Select a sector on sheet 1</v>
      </c>
      <c r="D74" s="15" t="n"/>
      <c r="E74" s="15" t="n"/>
      <c r="F74" s="15" t="n"/>
      <c r="G74" s="15" t="n"/>
      <c r="H74" s="15" t="n"/>
      <c r="I74" s="15" t="n"/>
      <c r="J74" s="15" t="n"/>
      <c r="K74" s="15" t="n"/>
    </row>
    <row r="75" ht="18" customHeight="1">
      <c r="A75" s="4" t="inlineStr">
        <is>
          <t>Library entries for this sector</t>
        </is>
      </c>
      <c r="B75" s="28" t="n"/>
      <c r="C75" s="61" t="str">
        <f>IFERROR(INDEX('7. Sector Profiles'!$F$5:$F$18,MATCH('1. AI Position'!$C$5,'7. Sector Profiles'!$A$5:$A$18,0)),"Select a sector on sheet 1")</f>
        <v>Select a sector on sheet 1</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t="str">
        <f>IF($H6="","",INDEX('3. AI Fit Diagnostic'!$AC$8:$AC$57,MATCH($H6,'3. AI Fit Diagnostic'!$AI$8:$AI$57,0)))</f>
        <v/>
      </c>
      <c r="B6" s="26" t="str">
        <f>IF($H6="","",INDEX('3. AI Fit Diagnostic'!$AJ$8:$AJ$57,MATCH($H6,'3. AI Fit Diagnostic'!$AI$8:$AI$57,0)))</f>
        <v/>
      </c>
      <c r="C6" s="25" t="str">
        <f>IF($H6="","",INDEX('3. AI Fit Diagnostic'!$P$8:$P$57,MATCH($H6,'3. AI Fit Diagnostic'!$AI$8:$AI$57,0)))</f>
        <v/>
      </c>
      <c r="D6" s="25" t="str">
        <f>IF($H6="","",INDEX('3. AI Fit Diagnostic'!$R$8:$R$57,MATCH($H6,'3. AI Fit Diagnostic'!$AI$8:$AI$57,0)))</f>
        <v/>
      </c>
      <c r="E6" s="25" t="str">
        <f>IF($H6="","",INDEX('3. AI Fit Diagnostic'!$W$8:$W$57,MATCH($H6,'3. AI Fit Diagnostic'!$AI$8:$AI$57,0)))</f>
        <v/>
      </c>
      <c r="F6" s="38" t="str">
        <f>IF($H6="","",INDEX('3. AI Fit Diagnostic'!$Z$8:$Z$57,MATCH($H6,'3. AI Fit Diagnostic'!$AI$8:$AI$57,0)))</f>
        <v/>
      </c>
      <c r="G6" s="43" t="str">
        <f>IF($H6="","",INDEX('3. AI Fit Diagnostic'!$AE$8:$AE$57,MATCH($H6,'3. AI Fit Diagnostic'!$AI$8:$AI$57,0)))</f>
        <v/>
      </c>
      <c r="H6" t="str">
        <f>IF(IFERROR(SMALL('3. AI Fit Diagnostic'!$AI$8:$AI$57,COUNTIF('3. AI Fit Diagnostic'!$AI$8:$AI$57,"&lt;"&amp;100)+1),"")="","",IF(IFERROR(SMALL('3. AI Fit Diagnostic'!$AI$8:$AI$57,COUNTIF('3. AI Fit Diagnostic'!$AI$8:$AI$57,"&lt;"&amp;100)+1),"")&lt;200,IFERROR(SMALL('3. AI Fit Diagnostic'!$AI$8:$AI$57,COUNTIF('3. AI Fit Diagnostic'!$AI$8:$AI$57,"&lt;"&amp;100)+1),""),""))</f>
        <v/>
      </c>
    </row>
    <row r="7" ht="26" customHeight="1">
      <c r="A7" s="42" t="str">
        <f>IF($H7="","",INDEX('3. AI Fit Diagnostic'!$AC$8:$AC$57,MATCH($H7,'3. AI Fit Diagnostic'!$AI$8:$AI$57,0)))</f>
        <v/>
      </c>
      <c r="B7" s="26" t="str">
        <f>IF($H7="","",INDEX('3. AI Fit Diagnostic'!$AJ$8:$AJ$57,MATCH($H7,'3. AI Fit Diagnostic'!$AI$8:$AI$57,0)))</f>
        <v/>
      </c>
      <c r="C7" s="25" t="str">
        <f>IF($H7="","",INDEX('3. AI Fit Diagnostic'!$P$8:$P$57,MATCH($H7,'3. AI Fit Diagnostic'!$AI$8:$AI$57,0)))</f>
        <v/>
      </c>
      <c r="D7" s="25" t="str">
        <f>IF($H7="","",INDEX('3. AI Fit Diagnostic'!$R$8:$R$57,MATCH($H7,'3. AI Fit Diagnostic'!$AI$8:$AI$57,0)))</f>
        <v/>
      </c>
      <c r="E7" s="25" t="str">
        <f>IF($H7="","",INDEX('3. AI Fit Diagnostic'!$W$8:$W$57,MATCH($H7,'3. AI Fit Diagnostic'!$AI$8:$AI$57,0)))</f>
        <v/>
      </c>
      <c r="F7" s="38" t="str">
        <f>IF($H7="","",INDEX('3. AI Fit Diagnostic'!$Z$8:$Z$57,MATCH($H7,'3. AI Fit Diagnostic'!$AI$8:$AI$57,0)))</f>
        <v/>
      </c>
      <c r="G7" s="43" t="str">
        <f>IF($H7="","",INDEX('3. AI Fit Diagnostic'!$AE$8:$AE$57,MATCH($H7,'3. AI Fit Diagnostic'!$AI$8:$AI$57,0)))</f>
        <v/>
      </c>
      <c r="H7" t="str">
        <f>IF(IFERROR(SMALL('3. AI Fit Diagnostic'!$AI$8:$AI$57,COUNTIF('3. AI Fit Diagnostic'!$AI$8:$AI$57,"&lt;"&amp;100)+2),"")="","",IF(IFERROR(SMALL('3. AI Fit Diagnostic'!$AI$8:$AI$57,COUNTIF('3. AI Fit Diagnostic'!$AI$8:$AI$57,"&lt;"&amp;100)+2),"")&lt;200,IFERROR(SMALL('3. AI Fit Diagnostic'!$AI$8:$AI$57,COUNTIF('3. AI Fit Diagnostic'!$AI$8:$AI$57,"&lt;"&amp;100)+2),""),""))</f>
        <v/>
      </c>
    </row>
    <row r="8" ht="26" customHeight="1">
      <c r="A8" s="42" t="str">
        <f>IF($H8="","",INDEX('3. AI Fit Diagnostic'!$AC$8:$AC$57,MATCH($H8,'3. AI Fit Diagnostic'!$AI$8:$AI$57,0)))</f>
        <v/>
      </c>
      <c r="B8" s="26" t="str">
        <f>IF($H8="","",INDEX('3. AI Fit Diagnostic'!$AJ$8:$AJ$57,MATCH($H8,'3. AI Fit Diagnostic'!$AI$8:$AI$57,0)))</f>
        <v/>
      </c>
      <c r="C8" s="25" t="str">
        <f>IF($H8="","",INDEX('3. AI Fit Diagnostic'!$P$8:$P$57,MATCH($H8,'3. AI Fit Diagnostic'!$AI$8:$AI$57,0)))</f>
        <v/>
      </c>
      <c r="D8" s="25" t="str">
        <f>IF($H8="","",INDEX('3. AI Fit Diagnostic'!$R$8:$R$57,MATCH($H8,'3. AI Fit Diagnostic'!$AI$8:$AI$57,0)))</f>
        <v/>
      </c>
      <c r="E8" s="25" t="str">
        <f>IF($H8="","",INDEX('3. AI Fit Diagnostic'!$W$8:$W$57,MATCH($H8,'3. AI Fit Diagnostic'!$AI$8:$AI$57,0)))</f>
        <v/>
      </c>
      <c r="F8" s="38" t="str">
        <f>IF($H8="","",INDEX('3. AI Fit Diagnostic'!$Z$8:$Z$57,MATCH($H8,'3. AI Fit Diagnostic'!$AI$8:$AI$57,0)))</f>
        <v/>
      </c>
      <c r="G8" s="43" t="str">
        <f>IF($H8="","",INDEX('3. AI Fit Diagnostic'!$AE$8:$AE$57,MATCH($H8,'3. AI Fit Diagnostic'!$AI$8:$AI$57,0)))</f>
        <v/>
      </c>
      <c r="H8" t="str">
        <f>IF(IFERROR(SMALL('3. AI Fit Diagnostic'!$AI$8:$AI$57,COUNTIF('3. AI Fit Diagnostic'!$AI$8:$AI$57,"&lt;"&amp;100)+3),"")="","",IF(IFERROR(SMALL('3. AI Fit Diagnostic'!$AI$8:$AI$57,COUNTIF('3. AI Fit Diagnostic'!$AI$8:$AI$57,"&lt;"&amp;100)+3),"")&lt;200,IFERROR(SMALL('3. AI Fit Diagnostic'!$AI$8:$AI$57,COUNTIF('3. AI Fit Diagnostic'!$AI$8:$AI$57,"&lt;"&amp;100)+3),""),""))</f>
        <v/>
      </c>
    </row>
    <row r="9" ht="26" customHeight="1">
      <c r="A9" s="42" t="str">
        <f>IF($H9="","",INDEX('3. AI Fit Diagnostic'!$AC$8:$AC$57,MATCH($H9,'3. AI Fit Diagnostic'!$AI$8:$AI$57,0)))</f>
        <v/>
      </c>
      <c r="B9" s="26" t="str">
        <f>IF($H9="","",INDEX('3. AI Fit Diagnostic'!$AJ$8:$AJ$57,MATCH($H9,'3. AI Fit Diagnostic'!$AI$8:$AI$57,0)))</f>
        <v/>
      </c>
      <c r="C9" s="25" t="str">
        <f>IF($H9="","",INDEX('3. AI Fit Diagnostic'!$P$8:$P$57,MATCH($H9,'3. AI Fit Diagnostic'!$AI$8:$AI$57,0)))</f>
        <v/>
      </c>
      <c r="D9" s="25" t="str">
        <f>IF($H9="","",INDEX('3. AI Fit Diagnostic'!$R$8:$R$57,MATCH($H9,'3. AI Fit Diagnostic'!$AI$8:$AI$57,0)))</f>
        <v/>
      </c>
      <c r="E9" s="25" t="str">
        <f>IF($H9="","",INDEX('3. AI Fit Diagnostic'!$W$8:$W$57,MATCH($H9,'3. AI Fit Diagnostic'!$AI$8:$AI$57,0)))</f>
        <v/>
      </c>
      <c r="F9" s="38" t="str">
        <f>IF($H9="","",INDEX('3. AI Fit Diagnostic'!$Z$8:$Z$57,MATCH($H9,'3. AI Fit Diagnostic'!$AI$8:$AI$57,0)))</f>
        <v/>
      </c>
      <c r="G9" s="43" t="str">
        <f>IF($H9="","",INDEX('3. AI Fit Diagnostic'!$AE$8:$AE$57,MATCH($H9,'3. AI Fit Diagnostic'!$AI$8:$AI$57,0)))</f>
        <v/>
      </c>
      <c r="H9" t="str">
        <f>IF(IFERROR(SMALL('3. AI Fit Diagnostic'!$AI$8:$AI$57,COUNTIF('3. AI Fit Diagnostic'!$AI$8:$AI$57,"&lt;"&amp;100)+4),"")="","",IF(IFERROR(SMALL('3. AI Fit Diagnostic'!$AI$8:$AI$57,COUNTIF('3. AI Fit Diagnostic'!$AI$8:$AI$57,"&lt;"&amp;100)+4),"")&lt;200,IFERROR(SMALL('3. AI Fit Diagnostic'!$AI$8:$AI$57,COUNTIF('3. AI Fit Diagnostic'!$AI$8:$AI$57,"&lt;"&amp;100)+4),""),""))</f>
        <v/>
      </c>
    </row>
    <row r="10" ht="26" customHeight="1">
      <c r="A10" s="42" t="str">
        <f>IF($H10="","",INDEX('3. AI Fit Diagnostic'!$AC$8:$AC$57,MATCH($H10,'3. AI Fit Diagnostic'!$AI$8:$AI$57,0)))</f>
        <v/>
      </c>
      <c r="B10" s="26" t="str">
        <f>IF($H10="","",INDEX('3. AI Fit Diagnostic'!$AJ$8:$AJ$57,MATCH($H10,'3. AI Fit Diagnostic'!$AI$8:$AI$57,0)))</f>
        <v/>
      </c>
      <c r="C10" s="25" t="str">
        <f>IF($H10="","",INDEX('3. AI Fit Diagnostic'!$P$8:$P$57,MATCH($H10,'3. AI Fit Diagnostic'!$AI$8:$AI$57,0)))</f>
        <v/>
      </c>
      <c r="D10" s="25" t="str">
        <f>IF($H10="","",INDEX('3. AI Fit Diagnostic'!$R$8:$R$57,MATCH($H10,'3. AI Fit Diagnostic'!$AI$8:$AI$57,0)))</f>
        <v/>
      </c>
      <c r="E10" s="25" t="str">
        <f>IF($H10="","",INDEX('3. AI Fit Diagnostic'!$W$8:$W$57,MATCH($H10,'3. AI Fit Diagnostic'!$AI$8:$AI$57,0)))</f>
        <v/>
      </c>
      <c r="F10" s="38" t="str">
        <f>IF($H10="","",INDEX('3. AI Fit Diagnostic'!$Z$8:$Z$57,MATCH($H10,'3. AI Fit Diagnostic'!$AI$8:$AI$57,0)))</f>
        <v/>
      </c>
      <c r="G10" s="43" t="str">
        <f>IF($H10="","",INDEX('3. AI Fit Diagnostic'!$AE$8:$AE$57,MATCH($H10,'3. AI Fit Diagnostic'!$AI$8:$AI$57,0)))</f>
        <v/>
      </c>
      <c r="H10" t="str">
        <f>IF(IFERROR(SMALL('3. AI Fit Diagnostic'!$AI$8:$AI$57,COUNTIF('3. AI Fit Diagnostic'!$AI$8:$AI$57,"&lt;"&amp;100)+5),"")="","",IF(IFERROR(SMALL('3. AI Fit Diagnostic'!$AI$8:$AI$57,COUNTIF('3. AI Fit Diagnostic'!$AI$8:$AI$57,"&lt;"&amp;100)+5),"")&lt;200,IFERROR(SMALL('3. AI Fit Diagnostic'!$AI$8:$AI$57,COUNTIF('3. AI Fit Diagnostic'!$AI$8:$AI$57,"&lt;"&amp;100)+5),""),""))</f>
        <v/>
      </c>
    </row>
    <row r="11" ht="26" customHeight="1">
      <c r="A11" s="42" t="str">
        <f>IF($H11="","",INDEX('3. AI Fit Diagnostic'!$AC$8:$AC$57,MATCH($H11,'3. AI Fit Diagnostic'!$AI$8:$AI$57,0)))</f>
        <v/>
      </c>
      <c r="B11" s="26" t="str">
        <f>IF($H11="","",INDEX('3. AI Fit Diagnostic'!$AJ$8:$AJ$57,MATCH($H11,'3. AI Fit Diagnostic'!$AI$8:$AI$57,0)))</f>
        <v/>
      </c>
      <c r="C11" s="25" t="str">
        <f>IF($H11="","",INDEX('3. AI Fit Diagnostic'!$P$8:$P$57,MATCH($H11,'3. AI Fit Diagnostic'!$AI$8:$AI$57,0)))</f>
        <v/>
      </c>
      <c r="D11" s="25" t="str">
        <f>IF($H11="","",INDEX('3. AI Fit Diagnostic'!$R$8:$R$57,MATCH($H11,'3. AI Fit Diagnostic'!$AI$8:$AI$57,0)))</f>
        <v/>
      </c>
      <c r="E11" s="25" t="str">
        <f>IF($H11="","",INDEX('3. AI Fit Diagnostic'!$W$8:$W$57,MATCH($H11,'3. AI Fit Diagnostic'!$AI$8:$AI$57,0)))</f>
        <v/>
      </c>
      <c r="F11" s="38" t="str">
        <f>IF($H11="","",INDEX('3. AI Fit Diagnostic'!$Z$8:$Z$57,MATCH($H11,'3. AI Fit Diagnostic'!$AI$8:$AI$57,0)))</f>
        <v/>
      </c>
      <c r="G11" s="43" t="str">
        <f>IF($H11="","",INDEX('3. AI Fit Diagnostic'!$AE$8:$AE$57,MATCH($H11,'3. AI Fit Diagnostic'!$AI$8:$AI$57,0)))</f>
        <v/>
      </c>
      <c r="H11" t="str">
        <f>IF(IFERROR(SMALL('3. AI Fit Diagnostic'!$AI$8:$AI$57,COUNTIF('3. AI Fit Diagnostic'!$AI$8:$AI$57,"&lt;"&amp;100)+6),"")="","",IF(IFERROR(SMALL('3. AI Fit Diagnostic'!$AI$8:$AI$57,COUNTIF('3. AI Fit Diagnostic'!$AI$8:$AI$57,"&lt;"&amp;100)+6),"")&lt;200,IFERROR(SMALL('3. AI Fit Diagnostic'!$AI$8:$AI$57,COUNTIF('3. AI Fit Diagnostic'!$AI$8:$AI$57,"&lt;"&amp;100)+6),""),""))</f>
        <v/>
      </c>
    </row>
    <row r="12" ht="26" customHeight="1">
      <c r="A12" s="42" t="str">
        <f>IF($H12="","",INDEX('3. AI Fit Diagnostic'!$AC$8:$AC$57,MATCH($H12,'3. AI Fit Diagnostic'!$AI$8:$AI$57,0)))</f>
        <v/>
      </c>
      <c r="B12" s="26" t="str">
        <f>IF($H12="","",INDEX('3. AI Fit Diagnostic'!$AJ$8:$AJ$57,MATCH($H12,'3. AI Fit Diagnostic'!$AI$8:$AI$57,0)))</f>
        <v/>
      </c>
      <c r="C12" s="25" t="str">
        <f>IF($H12="","",INDEX('3. AI Fit Diagnostic'!$P$8:$P$57,MATCH($H12,'3. AI Fit Diagnostic'!$AI$8:$AI$57,0)))</f>
        <v/>
      </c>
      <c r="D12" s="25" t="str">
        <f>IF($H12="","",INDEX('3. AI Fit Diagnostic'!$R$8:$R$57,MATCH($H12,'3. AI Fit Diagnostic'!$AI$8:$AI$57,0)))</f>
        <v/>
      </c>
      <c r="E12" s="25" t="str">
        <f>IF($H12="","",INDEX('3. AI Fit Diagnostic'!$W$8:$W$57,MATCH($H12,'3. AI Fit Diagnostic'!$AI$8:$AI$57,0)))</f>
        <v/>
      </c>
      <c r="F12" s="38" t="str">
        <f>IF($H12="","",INDEX('3. AI Fit Diagnostic'!$Z$8:$Z$57,MATCH($H12,'3. AI Fit Diagnostic'!$AI$8:$AI$57,0)))</f>
        <v/>
      </c>
      <c r="G12" s="43" t="str">
        <f>IF($H12="","",INDEX('3. AI Fit Diagnostic'!$AE$8:$AE$57,MATCH($H12,'3. AI Fit Diagnostic'!$AI$8:$AI$57,0)))</f>
        <v/>
      </c>
      <c r="H12" t="str">
        <f>IF(IFERROR(SMALL('3. AI Fit Diagnostic'!$AI$8:$AI$57,COUNTIF('3. AI Fit Diagnostic'!$AI$8:$AI$57,"&lt;"&amp;100)+7),"")="","",IF(IFERROR(SMALL('3. AI Fit Diagnostic'!$AI$8:$AI$57,COUNTIF('3. AI Fit Diagnostic'!$AI$8:$AI$57,"&lt;"&amp;100)+7),"")&lt;200,IFERROR(SMALL('3. AI Fit Diagnostic'!$AI$8:$AI$57,COUNTIF('3. AI Fit Diagnostic'!$AI$8:$AI$57,"&lt;"&amp;100)+7),""),""))</f>
        <v/>
      </c>
    </row>
    <row r="13" ht="26" customHeight="1">
      <c r="A13" s="42" t="str">
        <f>IF($H13="","",INDEX('3. AI Fit Diagnostic'!$AC$8:$AC$57,MATCH($H13,'3. AI Fit Diagnostic'!$AI$8:$AI$57,0)))</f>
        <v/>
      </c>
      <c r="B13" s="26" t="str">
        <f>IF($H13="","",INDEX('3. AI Fit Diagnostic'!$AJ$8:$AJ$57,MATCH($H13,'3. AI Fit Diagnostic'!$AI$8:$AI$57,0)))</f>
        <v/>
      </c>
      <c r="C13" s="25" t="str">
        <f>IF($H13="","",INDEX('3. AI Fit Diagnostic'!$P$8:$P$57,MATCH($H13,'3. AI Fit Diagnostic'!$AI$8:$AI$57,0)))</f>
        <v/>
      </c>
      <c r="D13" s="25" t="str">
        <f>IF($H13="","",INDEX('3. AI Fit Diagnostic'!$R$8:$R$57,MATCH($H13,'3. AI Fit Diagnostic'!$AI$8:$AI$57,0)))</f>
        <v/>
      </c>
      <c r="E13" s="25" t="str">
        <f>IF($H13="","",INDEX('3. AI Fit Diagnostic'!$W$8:$W$57,MATCH($H13,'3. AI Fit Diagnostic'!$AI$8:$AI$57,0)))</f>
        <v/>
      </c>
      <c r="F13" s="38" t="str">
        <f>IF($H13="","",INDEX('3. AI Fit Diagnostic'!$Z$8:$Z$57,MATCH($H13,'3. AI Fit Diagnostic'!$AI$8:$AI$57,0)))</f>
        <v/>
      </c>
      <c r="G13" s="43" t="str">
        <f>IF($H13="","",INDEX('3. AI Fit Diagnostic'!$AE$8:$AE$57,MATCH($H13,'3. AI Fit Diagnostic'!$AI$8:$AI$57,0)))</f>
        <v/>
      </c>
      <c r="H13" t="str">
        <f>IF(IFERROR(SMALL('3. AI Fit Diagnostic'!$AI$8:$AI$57,COUNTIF('3. AI Fit Diagnostic'!$AI$8:$AI$57,"&lt;"&amp;100)+8),"")="","",IF(IFERROR(SMALL('3. AI Fit Diagnostic'!$AI$8:$AI$57,COUNTIF('3. AI Fit Diagnostic'!$AI$8:$AI$57,"&lt;"&amp;100)+8),"")&lt;200,IFERROR(SMALL('3. AI Fit Diagnostic'!$AI$8:$AI$57,COUNTIF('3. AI Fit Diagnostic'!$AI$8:$AI$57,"&lt;"&amp;100)+8),""),""))</f>
        <v/>
      </c>
    </row>
    <row r="14" ht="26" customHeight="1">
      <c r="A14" s="42" t="str">
        <f>IF($H14="","",INDEX('3. AI Fit Diagnostic'!$AC$8:$AC$57,MATCH($H14,'3. AI Fit Diagnostic'!$AI$8:$AI$57,0)))</f>
        <v/>
      </c>
      <c r="B14" s="26" t="str">
        <f>IF($H14="","",INDEX('3. AI Fit Diagnostic'!$AJ$8:$AJ$57,MATCH($H14,'3. AI Fit Diagnostic'!$AI$8:$AI$57,0)))</f>
        <v/>
      </c>
      <c r="C14" s="25" t="str">
        <f>IF($H14="","",INDEX('3. AI Fit Diagnostic'!$P$8:$P$57,MATCH($H14,'3. AI Fit Diagnostic'!$AI$8:$AI$57,0)))</f>
        <v/>
      </c>
      <c r="D14" s="25" t="str">
        <f>IF($H14="","",INDEX('3. AI Fit Diagnostic'!$R$8:$R$57,MATCH($H14,'3. AI Fit Diagnostic'!$AI$8:$AI$57,0)))</f>
        <v/>
      </c>
      <c r="E14" s="25" t="str">
        <f>IF($H14="","",INDEX('3. AI Fit Diagnostic'!$W$8:$W$57,MATCH($H14,'3. AI Fit Diagnostic'!$AI$8:$AI$57,0)))</f>
        <v/>
      </c>
      <c r="F14" s="38" t="str">
        <f>IF($H14="","",INDEX('3. AI Fit Diagnostic'!$Z$8:$Z$57,MATCH($H14,'3. AI Fit Diagnostic'!$AI$8:$AI$57,0)))</f>
        <v/>
      </c>
      <c r="G14" s="43" t="str">
        <f>IF($H14="","",INDEX('3. AI Fit Diagnostic'!$AE$8:$AE$57,MATCH($H14,'3. AI Fit Diagnostic'!$AI$8:$AI$57,0)))</f>
        <v/>
      </c>
      <c r="H14" t="str">
        <f>IF(IFERROR(SMALL('3. AI Fit Diagnostic'!$AI$8:$AI$57,COUNTIF('3. AI Fit Diagnostic'!$AI$8:$AI$57,"&lt;"&amp;100)+9),"")="","",IF(IFERROR(SMALL('3. AI Fit Diagnostic'!$AI$8:$AI$57,COUNTIF('3. AI Fit Diagnostic'!$AI$8:$AI$57,"&lt;"&amp;100)+9),"")&lt;200,IFERROR(SMALL('3. AI Fit Diagnostic'!$AI$8:$AI$57,COUNTIF('3. AI Fit Diagnostic'!$AI$8:$AI$57,"&lt;"&amp;100)+9),""),""))</f>
        <v/>
      </c>
    </row>
    <row r="15" ht="26" customHeight="1">
      <c r="A15" s="42" t="str">
        <f>IF($H15="","",INDEX('3. AI Fit Diagnostic'!$AC$8:$AC$57,MATCH($H15,'3. AI Fit Diagnostic'!$AI$8:$AI$57,0)))</f>
        <v/>
      </c>
      <c r="B15" s="26" t="str">
        <f>IF($H15="","",INDEX('3. AI Fit Diagnostic'!$AJ$8:$AJ$57,MATCH($H15,'3. AI Fit Diagnostic'!$AI$8:$AI$57,0)))</f>
        <v/>
      </c>
      <c r="C15" s="25" t="str">
        <f>IF($H15="","",INDEX('3. AI Fit Diagnostic'!$P$8:$P$57,MATCH($H15,'3. AI Fit Diagnostic'!$AI$8:$AI$57,0)))</f>
        <v/>
      </c>
      <c r="D15" s="25" t="str">
        <f>IF($H15="","",INDEX('3. AI Fit Diagnostic'!$R$8:$R$57,MATCH($H15,'3. AI Fit Diagnostic'!$AI$8:$AI$57,0)))</f>
        <v/>
      </c>
      <c r="E15" s="25" t="str">
        <f>IF($H15="","",INDEX('3. AI Fit Diagnostic'!$W$8:$W$57,MATCH($H15,'3. AI Fit Diagnostic'!$AI$8:$AI$57,0)))</f>
        <v/>
      </c>
      <c r="F15" s="38" t="str">
        <f>IF($H15="","",INDEX('3. AI Fit Diagnostic'!$Z$8:$Z$57,MATCH($H15,'3. AI Fit Diagnostic'!$AI$8:$AI$57,0)))</f>
        <v/>
      </c>
      <c r="G15" s="43" t="str">
        <f>IF($H15="","",INDEX('3. AI Fit Diagnostic'!$AE$8:$AE$57,MATCH($H15,'3. AI Fit Diagnostic'!$AI$8:$AI$57,0)))</f>
        <v/>
      </c>
      <c r="H15" t="str">
        <f>IF(IFERROR(SMALL('3. AI Fit Diagnostic'!$AI$8:$AI$57,COUNTIF('3. AI Fit Diagnostic'!$AI$8:$AI$57,"&lt;"&amp;100)+10),"")="","",IF(IFERROR(SMALL('3. AI Fit Diagnostic'!$AI$8:$AI$57,COUNTIF('3. AI Fit Diagnostic'!$AI$8:$AI$57,"&lt;"&amp;100)+10),"")&lt;200,IFERROR(SMALL('3. AI Fit Diagnostic'!$AI$8:$AI$57,COUNTIF('3. AI Fit Diagnostic'!$AI$8:$AI$57,"&lt;"&amp;100)+10),""),""))</f>
        <v/>
      </c>
    </row>
    <row r="16" ht="26" customHeight="1">
      <c r="A16" s="42" t="str">
        <f>IF($H16="","",INDEX('3. AI Fit Diagnostic'!$AC$8:$AC$57,MATCH($H16,'3. AI Fit Diagnostic'!$AI$8:$AI$57,0)))</f>
        <v/>
      </c>
      <c r="B16" s="26" t="str">
        <f>IF($H16="","",INDEX('3. AI Fit Diagnostic'!$AJ$8:$AJ$57,MATCH($H16,'3. AI Fit Diagnostic'!$AI$8:$AI$57,0)))</f>
        <v/>
      </c>
      <c r="C16" s="25" t="str">
        <f>IF($H16="","",INDEX('3. AI Fit Diagnostic'!$P$8:$P$57,MATCH($H16,'3. AI Fit Diagnostic'!$AI$8:$AI$57,0)))</f>
        <v/>
      </c>
      <c r="D16" s="25" t="str">
        <f>IF($H16="","",INDEX('3. AI Fit Diagnostic'!$R$8:$R$57,MATCH($H16,'3. AI Fit Diagnostic'!$AI$8:$AI$57,0)))</f>
        <v/>
      </c>
      <c r="E16" s="25" t="str">
        <f>IF($H16="","",INDEX('3. AI Fit Diagnostic'!$W$8:$W$57,MATCH($H16,'3. AI Fit Diagnostic'!$AI$8:$AI$57,0)))</f>
        <v/>
      </c>
      <c r="F16" s="38" t="str">
        <f>IF($H16="","",INDEX('3. AI Fit Diagnostic'!$Z$8:$Z$57,MATCH($H16,'3. AI Fit Diagnostic'!$AI$8:$AI$57,0)))</f>
        <v/>
      </c>
      <c r="G16" s="43" t="str">
        <f>IF($H16="","",INDEX('3. AI Fit Diagnostic'!$AE$8:$AE$57,MATCH($H16,'3. AI Fit Diagnostic'!$AI$8:$AI$57,0)))</f>
        <v/>
      </c>
      <c r="H16" t="str">
        <f>IF(IFERROR(SMALL('3. AI Fit Diagnostic'!$AI$8:$AI$57,COUNTIF('3. AI Fit Diagnostic'!$AI$8:$AI$57,"&lt;"&amp;100)+11),"")="","",IF(IFERROR(SMALL('3. AI Fit Diagnostic'!$AI$8:$AI$57,COUNTIF('3. AI Fit Diagnostic'!$AI$8:$AI$57,"&lt;"&amp;100)+11),"")&lt;200,IFERROR(SMALL('3. AI Fit Diagnostic'!$AI$8:$AI$57,COUNTIF('3. AI Fit Diagnostic'!$AI$8:$AI$57,"&lt;"&amp;100)+11),""),""))</f>
        <v/>
      </c>
    </row>
    <row r="17" ht="26" customHeight="1">
      <c r="A17" s="42" t="str">
        <f>IF($H17="","",INDEX('3. AI Fit Diagnostic'!$AC$8:$AC$57,MATCH($H17,'3. AI Fit Diagnostic'!$AI$8:$AI$57,0)))</f>
        <v/>
      </c>
      <c r="B17" s="26" t="str">
        <f>IF($H17="","",INDEX('3. AI Fit Diagnostic'!$AJ$8:$AJ$57,MATCH($H17,'3. AI Fit Diagnostic'!$AI$8:$AI$57,0)))</f>
        <v/>
      </c>
      <c r="C17" s="25" t="str">
        <f>IF($H17="","",INDEX('3. AI Fit Diagnostic'!$P$8:$P$57,MATCH($H17,'3. AI Fit Diagnostic'!$AI$8:$AI$57,0)))</f>
        <v/>
      </c>
      <c r="D17" s="25" t="str">
        <f>IF($H17="","",INDEX('3. AI Fit Diagnostic'!$R$8:$R$57,MATCH($H17,'3. AI Fit Diagnostic'!$AI$8:$AI$57,0)))</f>
        <v/>
      </c>
      <c r="E17" s="25" t="str">
        <f>IF($H17="","",INDEX('3. AI Fit Diagnostic'!$W$8:$W$57,MATCH($H17,'3. AI Fit Diagnostic'!$AI$8:$AI$57,0)))</f>
        <v/>
      </c>
      <c r="F17" s="38" t="str">
        <f>IF($H17="","",INDEX('3. AI Fit Diagnostic'!$Z$8:$Z$57,MATCH($H17,'3. AI Fit Diagnostic'!$AI$8:$AI$57,0)))</f>
        <v/>
      </c>
      <c r="G17" s="43" t="str">
        <f>IF($H17="","",INDEX('3. AI Fit Diagnostic'!$AE$8:$AE$57,MATCH($H17,'3. AI Fit Diagnostic'!$AI$8:$AI$57,0)))</f>
        <v/>
      </c>
      <c r="H17" t="str">
        <f>IF(IFERROR(SMALL('3. AI Fit Diagnostic'!$AI$8:$AI$57,COUNTIF('3. AI Fit Diagnostic'!$AI$8:$AI$57,"&lt;"&amp;100)+12),"")="","",IF(IFERROR(SMALL('3. AI Fit Diagnostic'!$AI$8:$AI$57,COUNTIF('3. AI Fit Diagnostic'!$AI$8:$AI$57,"&lt;"&amp;100)+12),"")&lt;200,IFERROR(SMALL('3. AI Fit Diagnostic'!$AI$8:$AI$57,COUNTIF('3. AI Fit Diagnostic'!$AI$8:$AI$57,"&lt;"&amp;100)+12),""),""))</f>
        <v/>
      </c>
    </row>
    <row r="18" ht="26" customHeight="1">
      <c r="A18" s="42" t="str">
        <f>IF($H18="","",INDEX('3. AI Fit Diagnostic'!$AC$8:$AC$57,MATCH($H18,'3. AI Fit Diagnostic'!$AI$8:$AI$57,0)))</f>
        <v/>
      </c>
      <c r="B18" s="26" t="str">
        <f>IF($H18="","",INDEX('3. AI Fit Diagnostic'!$AJ$8:$AJ$57,MATCH($H18,'3. AI Fit Diagnostic'!$AI$8:$AI$57,0)))</f>
        <v/>
      </c>
      <c r="C18" s="25" t="str">
        <f>IF($H18="","",INDEX('3. AI Fit Diagnostic'!$P$8:$P$57,MATCH($H18,'3. AI Fit Diagnostic'!$AI$8:$AI$57,0)))</f>
        <v/>
      </c>
      <c r="D18" s="25" t="str">
        <f>IF($H18="","",INDEX('3. AI Fit Diagnostic'!$R$8:$R$57,MATCH($H18,'3. AI Fit Diagnostic'!$AI$8:$AI$57,0)))</f>
        <v/>
      </c>
      <c r="E18" s="25" t="str">
        <f>IF($H18="","",INDEX('3. AI Fit Diagnostic'!$W$8:$W$57,MATCH($H18,'3. AI Fit Diagnostic'!$AI$8:$AI$57,0)))</f>
        <v/>
      </c>
      <c r="F18" s="38" t="str">
        <f>IF($H18="","",INDEX('3. AI Fit Diagnostic'!$Z$8:$Z$57,MATCH($H18,'3. AI Fit Diagnostic'!$AI$8:$AI$57,0)))</f>
        <v/>
      </c>
      <c r="G18" s="43" t="str">
        <f>IF($H18="","",INDEX('3. AI Fit Diagnostic'!$AE$8:$AE$57,MATCH($H18,'3. AI Fit Diagnostic'!$AI$8:$AI$57,0)))</f>
        <v/>
      </c>
      <c r="H18" t="str">
        <f>IF(IFERROR(SMALL('3. AI Fit Diagnostic'!$AI$8:$AI$57,COUNTIF('3. AI Fit Diagnostic'!$AI$8:$AI$57,"&lt;"&amp;100)+13),"")="","",IF(IFERROR(SMALL('3. AI Fit Diagnostic'!$AI$8:$AI$57,COUNTIF('3. AI Fit Diagnostic'!$AI$8:$AI$57,"&lt;"&amp;100)+13),"")&lt;200,IFERROR(SMALL('3. AI Fit Diagnostic'!$AI$8:$AI$57,COUNTIF('3. AI Fit Diagnostic'!$AI$8:$AI$57,"&lt;"&amp;100)+13),""),""))</f>
        <v/>
      </c>
    </row>
    <row r="19" ht="26" customHeight="1">
      <c r="A19" s="42" t="str">
        <f>IF($H19="","",INDEX('3. AI Fit Diagnostic'!$AC$8:$AC$57,MATCH($H19,'3. AI Fit Diagnostic'!$AI$8:$AI$57,0)))</f>
        <v/>
      </c>
      <c r="B19" s="26" t="str">
        <f>IF($H19="","",INDEX('3. AI Fit Diagnostic'!$AJ$8:$AJ$57,MATCH($H19,'3. AI Fit Diagnostic'!$AI$8:$AI$57,0)))</f>
        <v/>
      </c>
      <c r="C19" s="25" t="str">
        <f>IF($H19="","",INDEX('3. AI Fit Diagnostic'!$P$8:$P$57,MATCH($H19,'3. AI Fit Diagnostic'!$AI$8:$AI$57,0)))</f>
        <v/>
      </c>
      <c r="D19" s="25" t="str">
        <f>IF($H19="","",INDEX('3. AI Fit Diagnostic'!$R$8:$R$57,MATCH($H19,'3. AI Fit Diagnostic'!$AI$8:$AI$57,0)))</f>
        <v/>
      </c>
      <c r="E19" s="25" t="str">
        <f>IF($H19="","",INDEX('3. AI Fit Diagnostic'!$W$8:$W$57,MATCH($H19,'3. AI Fit Diagnostic'!$AI$8:$AI$57,0)))</f>
        <v/>
      </c>
      <c r="F19" s="38" t="str">
        <f>IF($H19="","",INDEX('3. AI Fit Diagnostic'!$Z$8:$Z$57,MATCH($H19,'3. AI Fit Diagnostic'!$AI$8:$AI$57,0)))</f>
        <v/>
      </c>
      <c r="G19" s="43" t="str">
        <f>IF($H19="","",INDEX('3. AI Fit Diagnostic'!$AE$8:$AE$57,MATCH($H19,'3. AI Fit Diagnostic'!$AI$8:$AI$57,0)))</f>
        <v/>
      </c>
      <c r="H19" t="str">
        <f>IF(IFERROR(SMALL('3. AI Fit Diagnostic'!$AI$8:$AI$57,COUNTIF('3. AI Fit Diagnostic'!$AI$8:$AI$57,"&lt;"&amp;100)+14),"")="","",IF(IFERROR(SMALL('3. AI Fit Diagnostic'!$AI$8:$AI$57,COUNTIF('3. AI Fit Diagnostic'!$AI$8:$AI$57,"&lt;"&amp;100)+14),"")&lt;200,IFERROR(SMALL('3. AI Fit Diagnostic'!$AI$8:$AI$57,COUNTIF('3. AI Fit Diagnostic'!$AI$8:$AI$57,"&lt;"&amp;100)+14),""),""))</f>
        <v/>
      </c>
    </row>
    <row r="20" ht="26" customHeight="1">
      <c r="A20" s="42" t="str">
        <f>IF($H20="","",INDEX('3. AI Fit Diagnostic'!$AC$8:$AC$57,MATCH($H20,'3. AI Fit Diagnostic'!$AI$8:$AI$57,0)))</f>
        <v/>
      </c>
      <c r="B20" s="26" t="str">
        <f>IF($H20="","",INDEX('3. AI Fit Diagnostic'!$AJ$8:$AJ$57,MATCH($H20,'3. AI Fit Diagnostic'!$AI$8:$AI$57,0)))</f>
        <v/>
      </c>
      <c r="C20" s="25" t="str">
        <f>IF($H20="","",INDEX('3. AI Fit Diagnostic'!$P$8:$P$57,MATCH($H20,'3. AI Fit Diagnostic'!$AI$8:$AI$57,0)))</f>
        <v/>
      </c>
      <c r="D20" s="25" t="str">
        <f>IF($H20="","",INDEX('3. AI Fit Diagnostic'!$R$8:$R$57,MATCH($H20,'3. AI Fit Diagnostic'!$AI$8:$AI$57,0)))</f>
        <v/>
      </c>
      <c r="E20" s="25" t="str">
        <f>IF($H20="","",INDEX('3. AI Fit Diagnostic'!$W$8:$W$57,MATCH($H20,'3. AI Fit Diagnostic'!$AI$8:$AI$57,0)))</f>
        <v/>
      </c>
      <c r="F20" s="38" t="str">
        <f>IF($H20="","",INDEX('3. AI Fit Diagnostic'!$Z$8:$Z$57,MATCH($H20,'3. AI Fit Diagnostic'!$AI$8:$AI$57,0)))</f>
        <v/>
      </c>
      <c r="G20" s="43" t="str">
        <f>IF($H20="","",INDEX('3. AI Fit Diagnostic'!$AE$8:$AE$57,MATCH($H20,'3. AI Fit Diagnostic'!$AI$8:$AI$57,0)))</f>
        <v/>
      </c>
      <c r="H20" t="str">
        <f>IF(IFERROR(SMALL('3. AI Fit Diagnostic'!$AI$8:$AI$57,COUNTIF('3. AI Fit Diagnostic'!$AI$8:$AI$57,"&lt;"&amp;100)+15),"")="","",IF(IFERROR(SMALL('3. AI Fit Diagnostic'!$AI$8:$AI$57,COUNTIF('3. AI Fit Diagnostic'!$AI$8:$AI$57,"&lt;"&amp;100)+15),"")&lt;200,IFERROR(SMALL('3. AI Fit Diagnostic'!$AI$8:$AI$57,COUNTIF('3. AI Fit Diagnostic'!$AI$8:$AI$57,"&lt;"&amp;100)+15),""),""))</f>
        <v/>
      </c>
    </row>
    <row r="21" ht="26" customHeight="1">
      <c r="A21" s="42" t="str">
        <f>IF($H21="","",INDEX('3. AI Fit Diagnostic'!$AC$8:$AC$57,MATCH($H21,'3. AI Fit Diagnostic'!$AI$8:$AI$57,0)))</f>
        <v/>
      </c>
      <c r="B21" s="26" t="str">
        <f>IF($H21="","",INDEX('3. AI Fit Diagnostic'!$AJ$8:$AJ$57,MATCH($H21,'3. AI Fit Diagnostic'!$AI$8:$AI$57,0)))</f>
        <v/>
      </c>
      <c r="C21" s="25" t="str">
        <f>IF($H21="","",INDEX('3. AI Fit Diagnostic'!$P$8:$P$57,MATCH($H21,'3. AI Fit Diagnostic'!$AI$8:$AI$57,0)))</f>
        <v/>
      </c>
      <c r="D21" s="25" t="str">
        <f>IF($H21="","",INDEX('3. AI Fit Diagnostic'!$R$8:$R$57,MATCH($H21,'3. AI Fit Diagnostic'!$AI$8:$AI$57,0)))</f>
        <v/>
      </c>
      <c r="E21" s="25" t="str">
        <f>IF($H21="","",INDEX('3. AI Fit Diagnostic'!$W$8:$W$57,MATCH($H21,'3. AI Fit Diagnostic'!$AI$8:$AI$57,0)))</f>
        <v/>
      </c>
      <c r="F21" s="38" t="str">
        <f>IF($H21="","",INDEX('3. AI Fit Diagnostic'!$Z$8:$Z$57,MATCH($H21,'3. AI Fit Diagnostic'!$AI$8:$AI$57,0)))</f>
        <v/>
      </c>
      <c r="G21" s="43" t="str">
        <f>IF($H21="","",INDEX('3. AI Fit Diagnostic'!$AE$8:$AE$57,MATCH($H21,'3. AI Fit Diagnostic'!$AI$8:$AI$57,0)))</f>
        <v/>
      </c>
      <c r="H21" t="str">
        <f>IF(IFERROR(SMALL('3. AI Fit Diagnostic'!$AI$8:$AI$57,COUNTIF('3. AI Fit Diagnostic'!$AI$8:$AI$57,"&lt;"&amp;100)+16),"")="","",IF(IFERROR(SMALL('3. AI Fit Diagnostic'!$AI$8:$AI$57,COUNTIF('3. AI Fit Diagnostic'!$AI$8:$AI$57,"&lt;"&amp;100)+16),"")&lt;200,IFERROR(SMALL('3. AI Fit Diagnostic'!$AI$8:$AI$57,COUNTIF('3. AI Fit Diagnostic'!$AI$8:$AI$57,"&lt;"&amp;100)+16),""),""))</f>
        <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t="str">
        <f>IF($H29="","",INDEX('3. AI Fit Diagnostic'!$AC$8:$AC$57,MATCH($H29,'3. AI Fit Diagnostic'!$AI$8:$AI$57,0)))</f>
        <v/>
      </c>
      <c r="B29" s="26" t="str">
        <f>IF($H29="","",INDEX('3. AI Fit Diagnostic'!$AJ$8:$AJ$57,MATCH($H29,'3. AI Fit Diagnostic'!$AI$8:$AI$57,0)))</f>
        <v/>
      </c>
      <c r="C29" s="25" t="str">
        <f>IF($H29="","",INDEX('3. AI Fit Diagnostic'!$P$8:$P$57,MATCH($H29,'3. AI Fit Diagnostic'!$AI$8:$AI$57,0)))</f>
        <v/>
      </c>
      <c r="D29" s="25" t="str">
        <f>IF($H29="","",INDEX('3. AI Fit Diagnostic'!$R$8:$R$57,MATCH($H29,'3. AI Fit Diagnostic'!$AI$8:$AI$57,0)))</f>
        <v/>
      </c>
      <c r="E29" s="25" t="str">
        <f>IF($H29="","",INDEX('3. AI Fit Diagnostic'!$W$8:$W$57,MATCH($H29,'3. AI Fit Diagnostic'!$AI$8:$AI$57,0)))</f>
        <v/>
      </c>
      <c r="F29" s="38" t="str">
        <f>IF($H29="","",INDEX('3. AI Fit Diagnostic'!$Z$8:$Z$57,MATCH($H29,'3. AI Fit Diagnostic'!$AI$8:$AI$57,0)))</f>
        <v/>
      </c>
      <c r="G29" s="43" t="str">
        <f>IF($H29="","",INDEX('3. AI Fit Diagnostic'!$AE$8:$AE$57,MATCH($H29,'3. AI Fit Diagnostic'!$AI$8:$AI$57,0)))</f>
        <v/>
      </c>
      <c r="H29" t="str">
        <f>IF(IFERROR(SMALL('3. AI Fit Diagnostic'!$AI$8:$AI$57,COUNTIF('3. AI Fit Diagnostic'!$AI$8:$AI$57,"&lt;"&amp;200)+1),"")="","",IF(IFERROR(SMALL('3. AI Fit Diagnostic'!$AI$8:$AI$57,COUNTIF('3. AI Fit Diagnostic'!$AI$8:$AI$57,"&lt;"&amp;200)+1),"")&lt;300,IFERROR(SMALL('3. AI Fit Diagnostic'!$AI$8:$AI$57,COUNTIF('3. AI Fit Diagnostic'!$AI$8:$AI$57,"&lt;"&amp;200)+1),""),""))</f>
        <v/>
      </c>
    </row>
    <row r="30" ht="26" customHeight="1">
      <c r="A30" s="42" t="str">
        <f>IF($H30="","",INDEX('3. AI Fit Diagnostic'!$AC$8:$AC$57,MATCH($H30,'3. AI Fit Diagnostic'!$AI$8:$AI$57,0)))</f>
        <v/>
      </c>
      <c r="B30" s="26" t="str">
        <f>IF($H30="","",INDEX('3. AI Fit Diagnostic'!$AJ$8:$AJ$57,MATCH($H30,'3. AI Fit Diagnostic'!$AI$8:$AI$57,0)))</f>
        <v/>
      </c>
      <c r="C30" s="25" t="str">
        <f>IF($H30="","",INDEX('3. AI Fit Diagnostic'!$P$8:$P$57,MATCH($H30,'3. AI Fit Diagnostic'!$AI$8:$AI$57,0)))</f>
        <v/>
      </c>
      <c r="D30" s="25" t="str">
        <f>IF($H30="","",INDEX('3. AI Fit Diagnostic'!$R$8:$R$57,MATCH($H30,'3. AI Fit Diagnostic'!$AI$8:$AI$57,0)))</f>
        <v/>
      </c>
      <c r="E30" s="25" t="str">
        <f>IF($H30="","",INDEX('3. AI Fit Diagnostic'!$W$8:$W$57,MATCH($H30,'3. AI Fit Diagnostic'!$AI$8:$AI$57,0)))</f>
        <v/>
      </c>
      <c r="F30" s="38" t="str">
        <f>IF($H30="","",INDEX('3. AI Fit Diagnostic'!$Z$8:$Z$57,MATCH($H30,'3. AI Fit Diagnostic'!$AI$8:$AI$57,0)))</f>
        <v/>
      </c>
      <c r="G30" s="43" t="str">
        <f>IF($H30="","",INDEX('3. AI Fit Diagnostic'!$AE$8:$AE$57,MATCH($H30,'3. AI Fit Diagnostic'!$AI$8:$AI$57,0)))</f>
        <v/>
      </c>
      <c r="H30" t="str">
        <f>IF(IFERROR(SMALL('3. AI Fit Diagnostic'!$AI$8:$AI$57,COUNTIF('3. AI Fit Diagnostic'!$AI$8:$AI$57,"&lt;"&amp;200)+2),"")="","",IF(IFERROR(SMALL('3. AI Fit Diagnostic'!$AI$8:$AI$57,COUNTIF('3. AI Fit Diagnostic'!$AI$8:$AI$57,"&lt;"&amp;200)+2),"")&lt;300,IFERROR(SMALL('3. AI Fit Diagnostic'!$AI$8:$AI$57,COUNTIF('3. AI Fit Diagnostic'!$AI$8:$AI$57,"&lt;"&amp;200)+2),""),""))</f>
        <v/>
      </c>
    </row>
    <row r="31" ht="26" customHeight="1">
      <c r="A31" s="42" t="str">
        <f>IF($H31="","",INDEX('3. AI Fit Diagnostic'!$AC$8:$AC$57,MATCH($H31,'3. AI Fit Diagnostic'!$AI$8:$AI$57,0)))</f>
        <v/>
      </c>
      <c r="B31" s="26" t="str">
        <f>IF($H31="","",INDEX('3. AI Fit Diagnostic'!$AJ$8:$AJ$57,MATCH($H31,'3. AI Fit Diagnostic'!$AI$8:$AI$57,0)))</f>
        <v/>
      </c>
      <c r="C31" s="25" t="str">
        <f>IF($H31="","",INDEX('3. AI Fit Diagnostic'!$P$8:$P$57,MATCH($H31,'3. AI Fit Diagnostic'!$AI$8:$AI$57,0)))</f>
        <v/>
      </c>
      <c r="D31" s="25" t="str">
        <f>IF($H31="","",INDEX('3. AI Fit Diagnostic'!$R$8:$R$57,MATCH($H31,'3. AI Fit Diagnostic'!$AI$8:$AI$57,0)))</f>
        <v/>
      </c>
      <c r="E31" s="25" t="str">
        <f>IF($H31="","",INDEX('3. AI Fit Diagnostic'!$W$8:$W$57,MATCH($H31,'3. AI Fit Diagnostic'!$AI$8:$AI$57,0)))</f>
        <v/>
      </c>
      <c r="F31" s="38" t="str">
        <f>IF($H31="","",INDEX('3. AI Fit Diagnostic'!$Z$8:$Z$57,MATCH($H31,'3. AI Fit Diagnostic'!$AI$8:$AI$57,0)))</f>
        <v/>
      </c>
      <c r="G31" s="43" t="str">
        <f>IF($H31="","",INDEX('3. AI Fit Diagnostic'!$AE$8:$AE$57,MATCH($H31,'3. AI Fit Diagnostic'!$AI$8:$AI$57,0)))</f>
        <v/>
      </c>
      <c r="H31" t="str">
        <f>IF(IFERROR(SMALL('3. AI Fit Diagnostic'!$AI$8:$AI$57,COUNTIF('3. AI Fit Diagnostic'!$AI$8:$AI$57,"&lt;"&amp;200)+3),"")="","",IF(IFERROR(SMALL('3. AI Fit Diagnostic'!$AI$8:$AI$57,COUNTIF('3. AI Fit Diagnostic'!$AI$8:$AI$57,"&lt;"&amp;200)+3),"")&lt;300,IFERROR(SMALL('3. AI Fit Diagnostic'!$AI$8:$AI$57,COUNTIF('3. AI Fit Diagnostic'!$AI$8:$AI$57,"&lt;"&amp;200)+3),""),""))</f>
        <v/>
      </c>
    </row>
    <row r="32" ht="26" customHeight="1">
      <c r="A32" s="42" t="str">
        <f>IF($H32="","",INDEX('3. AI Fit Diagnostic'!$AC$8:$AC$57,MATCH($H32,'3. AI Fit Diagnostic'!$AI$8:$AI$57,0)))</f>
        <v/>
      </c>
      <c r="B32" s="26" t="str">
        <f>IF($H32="","",INDEX('3. AI Fit Diagnostic'!$AJ$8:$AJ$57,MATCH($H32,'3. AI Fit Diagnostic'!$AI$8:$AI$57,0)))</f>
        <v/>
      </c>
      <c r="C32" s="25" t="str">
        <f>IF($H32="","",INDEX('3. AI Fit Diagnostic'!$P$8:$P$57,MATCH($H32,'3. AI Fit Diagnostic'!$AI$8:$AI$57,0)))</f>
        <v/>
      </c>
      <c r="D32" s="25" t="str">
        <f>IF($H32="","",INDEX('3. AI Fit Diagnostic'!$R$8:$R$57,MATCH($H32,'3. AI Fit Diagnostic'!$AI$8:$AI$57,0)))</f>
        <v/>
      </c>
      <c r="E32" s="25" t="str">
        <f>IF($H32="","",INDEX('3. AI Fit Diagnostic'!$W$8:$W$57,MATCH($H32,'3. AI Fit Diagnostic'!$AI$8:$AI$57,0)))</f>
        <v/>
      </c>
      <c r="F32" s="38" t="str">
        <f>IF($H32="","",INDEX('3. AI Fit Diagnostic'!$Z$8:$Z$57,MATCH($H32,'3. AI Fit Diagnostic'!$AI$8:$AI$57,0)))</f>
        <v/>
      </c>
      <c r="G32" s="43" t="str">
        <f>IF($H32="","",INDEX('3. AI Fit Diagnostic'!$AE$8:$AE$57,MATCH($H32,'3. AI Fit Diagnostic'!$AI$8:$AI$57,0)))</f>
        <v/>
      </c>
      <c r="H32" t="str">
        <f>IF(IFERROR(SMALL('3. AI Fit Diagnostic'!$AI$8:$AI$57,COUNTIF('3. AI Fit Diagnostic'!$AI$8:$AI$57,"&lt;"&amp;200)+4),"")="","",IF(IFERROR(SMALL('3. AI Fit Diagnostic'!$AI$8:$AI$57,COUNTIF('3. AI Fit Diagnostic'!$AI$8:$AI$57,"&lt;"&amp;200)+4),"")&lt;300,IFERROR(SMALL('3. AI Fit Diagnostic'!$AI$8:$AI$57,COUNTIF('3. AI Fit Diagnostic'!$AI$8:$AI$57,"&lt;"&amp;200)+4),""),""))</f>
        <v/>
      </c>
    </row>
    <row r="33" ht="26" customHeight="1">
      <c r="A33" s="42" t="str">
        <f>IF($H33="","",INDEX('3. AI Fit Diagnostic'!$AC$8:$AC$57,MATCH($H33,'3. AI Fit Diagnostic'!$AI$8:$AI$57,0)))</f>
        <v/>
      </c>
      <c r="B33" s="26" t="str">
        <f>IF($H33="","",INDEX('3. AI Fit Diagnostic'!$AJ$8:$AJ$57,MATCH($H33,'3. AI Fit Diagnostic'!$AI$8:$AI$57,0)))</f>
        <v/>
      </c>
      <c r="C33" s="25" t="str">
        <f>IF($H33="","",INDEX('3. AI Fit Diagnostic'!$P$8:$P$57,MATCH($H33,'3. AI Fit Diagnostic'!$AI$8:$AI$57,0)))</f>
        <v/>
      </c>
      <c r="D33" s="25" t="str">
        <f>IF($H33="","",INDEX('3. AI Fit Diagnostic'!$R$8:$R$57,MATCH($H33,'3. AI Fit Diagnostic'!$AI$8:$AI$57,0)))</f>
        <v/>
      </c>
      <c r="E33" s="25" t="str">
        <f>IF($H33="","",INDEX('3. AI Fit Diagnostic'!$W$8:$W$57,MATCH($H33,'3. AI Fit Diagnostic'!$AI$8:$AI$57,0)))</f>
        <v/>
      </c>
      <c r="F33" s="38" t="str">
        <f>IF($H33="","",INDEX('3. AI Fit Diagnostic'!$Z$8:$Z$57,MATCH($H33,'3. AI Fit Diagnostic'!$AI$8:$AI$57,0)))</f>
        <v/>
      </c>
      <c r="G33" s="43" t="str">
        <f>IF($H33="","",INDEX('3. AI Fit Diagnostic'!$AE$8:$AE$57,MATCH($H33,'3. AI Fit Diagnostic'!$AI$8:$AI$57,0)))</f>
        <v/>
      </c>
      <c r="H33" t="str">
        <f>IF(IFERROR(SMALL('3. AI Fit Diagnostic'!$AI$8:$AI$57,COUNTIF('3. AI Fit Diagnostic'!$AI$8:$AI$57,"&lt;"&amp;200)+5),"")="","",IF(IFERROR(SMALL('3. AI Fit Diagnostic'!$AI$8:$AI$57,COUNTIF('3. AI Fit Diagnostic'!$AI$8:$AI$57,"&lt;"&amp;200)+5),"")&lt;300,IFERROR(SMALL('3. AI Fit Diagnostic'!$AI$8:$AI$57,COUNTIF('3. AI Fit Diagnostic'!$AI$8:$AI$57,"&lt;"&amp;200)+5),""),""))</f>
        <v/>
      </c>
    </row>
    <row r="34" ht="26" customHeight="1">
      <c r="A34" s="42" t="str">
        <f>IF($H34="","",INDEX('3. AI Fit Diagnostic'!$AC$8:$AC$57,MATCH($H34,'3. AI Fit Diagnostic'!$AI$8:$AI$57,0)))</f>
        <v/>
      </c>
      <c r="B34" s="26" t="str">
        <f>IF($H34="","",INDEX('3. AI Fit Diagnostic'!$AJ$8:$AJ$57,MATCH($H34,'3. AI Fit Diagnostic'!$AI$8:$AI$57,0)))</f>
        <v/>
      </c>
      <c r="C34" s="25" t="str">
        <f>IF($H34="","",INDEX('3. AI Fit Diagnostic'!$P$8:$P$57,MATCH($H34,'3. AI Fit Diagnostic'!$AI$8:$AI$57,0)))</f>
        <v/>
      </c>
      <c r="D34" s="25" t="str">
        <f>IF($H34="","",INDEX('3. AI Fit Diagnostic'!$R$8:$R$57,MATCH($H34,'3. AI Fit Diagnostic'!$AI$8:$AI$57,0)))</f>
        <v/>
      </c>
      <c r="E34" s="25" t="str">
        <f>IF($H34="","",INDEX('3. AI Fit Diagnostic'!$W$8:$W$57,MATCH($H34,'3. AI Fit Diagnostic'!$AI$8:$AI$57,0)))</f>
        <v/>
      </c>
      <c r="F34" s="38" t="str">
        <f>IF($H34="","",INDEX('3. AI Fit Diagnostic'!$Z$8:$Z$57,MATCH($H34,'3. AI Fit Diagnostic'!$AI$8:$AI$57,0)))</f>
        <v/>
      </c>
      <c r="G34" s="43" t="str">
        <f>IF($H34="","",INDEX('3. AI Fit Diagnostic'!$AE$8:$AE$57,MATCH($H34,'3. AI Fit Diagnostic'!$AI$8:$AI$57,0)))</f>
        <v/>
      </c>
      <c r="H34" t="str">
        <f>IF(IFERROR(SMALL('3. AI Fit Diagnostic'!$AI$8:$AI$57,COUNTIF('3. AI Fit Diagnostic'!$AI$8:$AI$57,"&lt;"&amp;200)+6),"")="","",IF(IFERROR(SMALL('3. AI Fit Diagnostic'!$AI$8:$AI$57,COUNTIF('3. AI Fit Diagnostic'!$AI$8:$AI$57,"&lt;"&amp;200)+6),"")&lt;300,IFERROR(SMALL('3. AI Fit Diagnostic'!$AI$8:$AI$57,COUNTIF('3. AI Fit Diagnostic'!$AI$8:$AI$57,"&lt;"&amp;200)+6),""),""))</f>
        <v/>
      </c>
    </row>
    <row r="35" ht="26" customHeight="1">
      <c r="A35" s="42" t="str">
        <f>IF($H35="","",INDEX('3. AI Fit Diagnostic'!$AC$8:$AC$57,MATCH($H35,'3. AI Fit Diagnostic'!$AI$8:$AI$57,0)))</f>
        <v/>
      </c>
      <c r="B35" s="26" t="str">
        <f>IF($H35="","",INDEX('3. AI Fit Diagnostic'!$AJ$8:$AJ$57,MATCH($H35,'3. AI Fit Diagnostic'!$AI$8:$AI$57,0)))</f>
        <v/>
      </c>
      <c r="C35" s="25" t="str">
        <f>IF($H35="","",INDEX('3. AI Fit Diagnostic'!$P$8:$P$57,MATCH($H35,'3. AI Fit Diagnostic'!$AI$8:$AI$57,0)))</f>
        <v/>
      </c>
      <c r="D35" s="25" t="str">
        <f>IF($H35="","",INDEX('3. AI Fit Diagnostic'!$R$8:$R$57,MATCH($H35,'3. AI Fit Diagnostic'!$AI$8:$AI$57,0)))</f>
        <v/>
      </c>
      <c r="E35" s="25" t="str">
        <f>IF($H35="","",INDEX('3. AI Fit Diagnostic'!$W$8:$W$57,MATCH($H35,'3. AI Fit Diagnostic'!$AI$8:$AI$57,0)))</f>
        <v/>
      </c>
      <c r="F35" s="38" t="str">
        <f>IF($H35="","",INDEX('3. AI Fit Diagnostic'!$Z$8:$Z$57,MATCH($H35,'3. AI Fit Diagnostic'!$AI$8:$AI$57,0)))</f>
        <v/>
      </c>
      <c r="G35" s="43" t="str">
        <f>IF($H35="","",INDEX('3. AI Fit Diagnostic'!$AE$8:$AE$57,MATCH($H35,'3. AI Fit Diagnostic'!$AI$8:$AI$57,0)))</f>
        <v/>
      </c>
      <c r="H35" t="str">
        <f>IF(IFERROR(SMALL('3. AI Fit Diagnostic'!$AI$8:$AI$57,COUNTIF('3. AI Fit Diagnostic'!$AI$8:$AI$57,"&lt;"&amp;200)+7),"")="","",IF(IFERROR(SMALL('3. AI Fit Diagnostic'!$AI$8:$AI$57,COUNTIF('3. AI Fit Diagnostic'!$AI$8:$AI$57,"&lt;"&amp;200)+7),"")&lt;300,IFERROR(SMALL('3. AI Fit Diagnostic'!$AI$8:$AI$57,COUNTIF('3. AI Fit Diagnostic'!$AI$8:$AI$57,"&lt;"&amp;200)+7),""),""))</f>
        <v/>
      </c>
    </row>
    <row r="36" ht="26" customHeight="1">
      <c r="A36" s="42" t="str">
        <f>IF($H36="","",INDEX('3. AI Fit Diagnostic'!$AC$8:$AC$57,MATCH($H36,'3. AI Fit Diagnostic'!$AI$8:$AI$57,0)))</f>
        <v/>
      </c>
      <c r="B36" s="26" t="str">
        <f>IF($H36="","",INDEX('3. AI Fit Diagnostic'!$AJ$8:$AJ$57,MATCH($H36,'3. AI Fit Diagnostic'!$AI$8:$AI$57,0)))</f>
        <v/>
      </c>
      <c r="C36" s="25" t="str">
        <f>IF($H36="","",INDEX('3. AI Fit Diagnostic'!$P$8:$P$57,MATCH($H36,'3. AI Fit Diagnostic'!$AI$8:$AI$57,0)))</f>
        <v/>
      </c>
      <c r="D36" s="25" t="str">
        <f>IF($H36="","",INDEX('3. AI Fit Diagnostic'!$R$8:$R$57,MATCH($H36,'3. AI Fit Diagnostic'!$AI$8:$AI$57,0)))</f>
        <v/>
      </c>
      <c r="E36" s="25" t="str">
        <f>IF($H36="","",INDEX('3. AI Fit Diagnostic'!$W$8:$W$57,MATCH($H36,'3. AI Fit Diagnostic'!$AI$8:$AI$57,0)))</f>
        <v/>
      </c>
      <c r="F36" s="38" t="str">
        <f>IF($H36="","",INDEX('3. AI Fit Diagnostic'!$Z$8:$Z$57,MATCH($H36,'3. AI Fit Diagnostic'!$AI$8:$AI$57,0)))</f>
        <v/>
      </c>
      <c r="G36" s="43" t="str">
        <f>IF($H36="","",INDEX('3. AI Fit Diagnostic'!$AE$8:$AE$57,MATCH($H36,'3. AI Fit Diagnostic'!$AI$8:$AI$57,0)))</f>
        <v/>
      </c>
      <c r="H36" t="str">
        <f>IF(IFERROR(SMALL('3. AI Fit Diagnostic'!$AI$8:$AI$57,COUNTIF('3. AI Fit Diagnostic'!$AI$8:$AI$57,"&lt;"&amp;200)+8),"")="","",IF(IFERROR(SMALL('3. AI Fit Diagnostic'!$AI$8:$AI$57,COUNTIF('3. AI Fit Diagnostic'!$AI$8:$AI$57,"&lt;"&amp;200)+8),"")&lt;300,IFERROR(SMALL('3. AI Fit Diagnostic'!$AI$8:$AI$57,COUNTIF('3. AI Fit Diagnostic'!$AI$8:$AI$57,"&lt;"&amp;200)+8),""),""))</f>
        <v/>
      </c>
    </row>
    <row r="37" ht="26" customHeight="1">
      <c r="A37" s="42" t="str">
        <f>IF($H37="","",INDEX('3. AI Fit Diagnostic'!$AC$8:$AC$57,MATCH($H37,'3. AI Fit Diagnostic'!$AI$8:$AI$57,0)))</f>
        <v/>
      </c>
      <c r="B37" s="26" t="str">
        <f>IF($H37="","",INDEX('3. AI Fit Diagnostic'!$AJ$8:$AJ$57,MATCH($H37,'3. AI Fit Diagnostic'!$AI$8:$AI$57,0)))</f>
        <v/>
      </c>
      <c r="C37" s="25" t="str">
        <f>IF($H37="","",INDEX('3. AI Fit Diagnostic'!$P$8:$P$57,MATCH($H37,'3. AI Fit Diagnostic'!$AI$8:$AI$57,0)))</f>
        <v/>
      </c>
      <c r="D37" s="25" t="str">
        <f>IF($H37="","",INDEX('3. AI Fit Diagnostic'!$R$8:$R$57,MATCH($H37,'3. AI Fit Diagnostic'!$AI$8:$AI$57,0)))</f>
        <v/>
      </c>
      <c r="E37" s="25" t="str">
        <f>IF($H37="","",INDEX('3. AI Fit Diagnostic'!$W$8:$W$57,MATCH($H37,'3. AI Fit Diagnostic'!$AI$8:$AI$57,0)))</f>
        <v/>
      </c>
      <c r="F37" s="38" t="str">
        <f>IF($H37="","",INDEX('3. AI Fit Diagnostic'!$Z$8:$Z$57,MATCH($H37,'3. AI Fit Diagnostic'!$AI$8:$AI$57,0)))</f>
        <v/>
      </c>
      <c r="G37" s="43" t="str">
        <f>IF($H37="","",INDEX('3. AI Fit Diagnostic'!$AE$8:$AE$57,MATCH($H37,'3. AI Fit Diagnostic'!$AI$8:$AI$57,0)))</f>
        <v/>
      </c>
      <c r="H37" t="str">
        <f>IF(IFERROR(SMALL('3. AI Fit Diagnostic'!$AI$8:$AI$57,COUNTIF('3. AI Fit Diagnostic'!$AI$8:$AI$57,"&lt;"&amp;200)+9),"")="","",IF(IFERROR(SMALL('3. AI Fit Diagnostic'!$AI$8:$AI$57,COUNTIF('3. AI Fit Diagnostic'!$AI$8:$AI$57,"&lt;"&amp;200)+9),"")&lt;300,IFERROR(SMALL('3. AI Fit Diagnostic'!$AI$8:$AI$57,COUNTIF('3. AI Fit Diagnostic'!$AI$8:$AI$57,"&lt;"&amp;200)+9),""),""))</f>
        <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t="str">
        <f>IF($H44="","",INDEX('3. AI Fit Diagnostic'!$AC$8:$AC$57,MATCH($H44,'3. AI Fit Diagnostic'!$AI$8:$AI$57,0)))</f>
        <v/>
      </c>
      <c r="B44" s="26" t="str">
        <f>IF($H44="","",INDEX('3. AI Fit Diagnostic'!$AJ$8:$AJ$57,MATCH($H44,'3. AI Fit Diagnostic'!$AI$8:$AI$57,0)))</f>
        <v/>
      </c>
      <c r="C44" s="25" t="str">
        <f>IF($H44="","",INDEX('3. AI Fit Diagnostic'!$P$8:$P$57,MATCH($H44,'3. AI Fit Diagnostic'!$AI$8:$AI$57,0)))</f>
        <v/>
      </c>
      <c r="D44" s="25" t="str">
        <f>IF($H44="","",INDEX('3. AI Fit Diagnostic'!$R$8:$R$57,MATCH($H44,'3. AI Fit Diagnostic'!$AI$8:$AI$57,0)))</f>
        <v/>
      </c>
      <c r="E44" s="25" t="str">
        <f>IF($H44="","",INDEX('3. AI Fit Diagnostic'!$W$8:$W$57,MATCH($H44,'3. AI Fit Diagnostic'!$AI$8:$AI$57,0)))</f>
        <v/>
      </c>
      <c r="F44" s="38" t="str">
        <f>IF($H44="","",INDEX('3. AI Fit Diagnostic'!$Z$8:$Z$57,MATCH($H44,'3. AI Fit Diagnostic'!$AI$8:$AI$57,0)))</f>
        <v/>
      </c>
      <c r="G44" s="43" t="str">
        <f>IF($H44="","",INDEX('3. AI Fit Diagnostic'!$AE$8:$AE$57,MATCH($H44,'3. AI Fit Diagnostic'!$AI$8:$AI$57,0)))</f>
        <v/>
      </c>
      <c r="H44" t="str">
        <f>IF(IFERROR(SMALL('3. AI Fit Diagnostic'!$AI$8:$AI$57,COUNTIF('3. AI Fit Diagnostic'!$AI$8:$AI$57,"&lt;"&amp;300)+1),"")="","",IF(IFERROR(SMALL('3. AI Fit Diagnostic'!$AI$8:$AI$57,COUNTIF('3. AI Fit Diagnostic'!$AI$8:$AI$57,"&lt;"&amp;300)+1),"")&lt;400,IFERROR(SMALL('3. AI Fit Diagnostic'!$AI$8:$AI$57,COUNTIF('3. AI Fit Diagnostic'!$AI$8:$AI$57,"&lt;"&amp;300)+1),""),""))</f>
        <v/>
      </c>
    </row>
    <row r="45" ht="26" customHeight="1">
      <c r="A45" s="42" t="str">
        <f>IF($H45="","",INDEX('3. AI Fit Diagnostic'!$AC$8:$AC$57,MATCH($H45,'3. AI Fit Diagnostic'!$AI$8:$AI$57,0)))</f>
        <v/>
      </c>
      <c r="B45" s="26" t="str">
        <f>IF($H45="","",INDEX('3. AI Fit Diagnostic'!$AJ$8:$AJ$57,MATCH($H45,'3. AI Fit Diagnostic'!$AI$8:$AI$57,0)))</f>
        <v/>
      </c>
      <c r="C45" s="25" t="str">
        <f>IF($H45="","",INDEX('3. AI Fit Diagnostic'!$P$8:$P$57,MATCH($H45,'3. AI Fit Diagnostic'!$AI$8:$AI$57,0)))</f>
        <v/>
      </c>
      <c r="D45" s="25" t="str">
        <f>IF($H45="","",INDEX('3. AI Fit Diagnostic'!$R$8:$R$57,MATCH($H45,'3. AI Fit Diagnostic'!$AI$8:$AI$57,0)))</f>
        <v/>
      </c>
      <c r="E45" s="25" t="str">
        <f>IF($H45="","",INDEX('3. AI Fit Diagnostic'!$W$8:$W$57,MATCH($H45,'3. AI Fit Diagnostic'!$AI$8:$AI$57,0)))</f>
        <v/>
      </c>
      <c r="F45" s="38" t="str">
        <f>IF($H45="","",INDEX('3. AI Fit Diagnostic'!$Z$8:$Z$57,MATCH($H45,'3. AI Fit Diagnostic'!$AI$8:$AI$57,0)))</f>
        <v/>
      </c>
      <c r="G45" s="43" t="str">
        <f>IF($H45="","",INDEX('3. AI Fit Diagnostic'!$AE$8:$AE$57,MATCH($H45,'3. AI Fit Diagnostic'!$AI$8:$AI$57,0)))</f>
        <v/>
      </c>
      <c r="H45" t="str">
        <f>IF(IFERROR(SMALL('3. AI Fit Diagnostic'!$AI$8:$AI$57,COUNTIF('3. AI Fit Diagnostic'!$AI$8:$AI$57,"&lt;"&amp;300)+2),"")="","",IF(IFERROR(SMALL('3. AI Fit Diagnostic'!$AI$8:$AI$57,COUNTIF('3. AI Fit Diagnostic'!$AI$8:$AI$57,"&lt;"&amp;300)+2),"")&lt;400,IFERROR(SMALL('3. AI Fit Diagnostic'!$AI$8:$AI$57,COUNTIF('3. AI Fit Diagnostic'!$AI$8:$AI$57,"&lt;"&amp;300)+2),""),""))</f>
        <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t="str">
        <f>IF($H57="","",INDEX('3. AI Fit Diagnostic'!$AC$8:$AC$57,MATCH($H57,'3. AI Fit Diagnostic'!$AI$8:$AI$57,0)))</f>
        <v/>
      </c>
      <c r="B57" s="26" t="str">
        <f>IF($H57="","",INDEX('3. AI Fit Diagnostic'!$AJ$8:$AJ$57,MATCH($H57,'3. AI Fit Diagnostic'!$AI$8:$AI$57,0)))</f>
        <v/>
      </c>
      <c r="C57" s="25" t="str">
        <f>IF($H57="","",INDEX('3. AI Fit Diagnostic'!$P$8:$P$57,MATCH($H57,'3. AI Fit Diagnostic'!$AI$8:$AI$57,0)))</f>
        <v/>
      </c>
      <c r="D57" s="25" t="str">
        <f>IF($H57="","",INDEX('3. AI Fit Diagnostic'!$R$8:$R$57,MATCH($H57,'3. AI Fit Diagnostic'!$AI$8:$AI$57,0)))</f>
        <v/>
      </c>
      <c r="E57" s="25" t="str">
        <f>IF($H57="","",INDEX('3. AI Fit Diagnostic'!$W$8:$W$57,MATCH($H57,'3. AI Fit Diagnostic'!$AI$8:$AI$57,0)))</f>
        <v/>
      </c>
      <c r="F57" s="38" t="str">
        <f>IF($H57="","",INDEX('3. AI Fit Diagnostic'!$Z$8:$Z$57,MATCH($H57,'3. AI Fit Diagnostic'!$AI$8:$AI$57,0)))</f>
        <v/>
      </c>
      <c r="G57" s="43" t="str">
        <f>IF($H57="","",INDEX('3. AI Fit Diagnostic'!$AE$8:$AE$57,MATCH($H57,'3. AI Fit Diagnostic'!$AI$8:$AI$57,0)))</f>
        <v/>
      </c>
      <c r="H57" t="str">
        <f>IF(IFERROR(SMALL('3. AI Fit Diagnostic'!$AI$8:$AI$57,COUNTIF('3. AI Fit Diagnostic'!$AI$8:$AI$57,"&lt;"&amp;400)+1),"")="","",IF(IFERROR(SMALL('3. AI Fit Diagnostic'!$AI$8:$AI$57,COUNTIF('3. AI Fit Diagnostic'!$AI$8:$AI$57,"&lt;"&amp;400)+1),"")&lt;500,IFERROR(SMALL('3. AI Fit Diagnostic'!$AI$8:$AI$57,COUNTIF('3. AI Fit Diagnostic'!$AI$8:$AI$57,"&lt;"&amp;400)+1),""),""))</f>
        <v/>
      </c>
    </row>
    <row r="58" ht="26" customHeight="1">
      <c r="A58" s="42" t="str">
        <f>IF($H58="","",INDEX('3. AI Fit Diagnostic'!$AC$8:$AC$57,MATCH($H58,'3. AI Fit Diagnostic'!$AI$8:$AI$57,0)))</f>
        <v/>
      </c>
      <c r="B58" s="26" t="str">
        <f>IF($H58="","",INDEX('3. AI Fit Diagnostic'!$AJ$8:$AJ$57,MATCH($H58,'3. AI Fit Diagnostic'!$AI$8:$AI$57,0)))</f>
        <v/>
      </c>
      <c r="C58" s="25" t="str">
        <f>IF($H58="","",INDEX('3. AI Fit Diagnostic'!$P$8:$P$57,MATCH($H58,'3. AI Fit Diagnostic'!$AI$8:$AI$57,0)))</f>
        <v/>
      </c>
      <c r="D58" s="25" t="str">
        <f>IF($H58="","",INDEX('3. AI Fit Diagnostic'!$R$8:$R$57,MATCH($H58,'3. AI Fit Diagnostic'!$AI$8:$AI$57,0)))</f>
        <v/>
      </c>
      <c r="E58" s="25" t="str">
        <f>IF($H58="","",INDEX('3. AI Fit Diagnostic'!$W$8:$W$57,MATCH($H58,'3. AI Fit Diagnostic'!$AI$8:$AI$57,0)))</f>
        <v/>
      </c>
      <c r="F58" s="38" t="str">
        <f>IF($H58="","",INDEX('3. AI Fit Diagnostic'!$Z$8:$Z$57,MATCH($H58,'3. AI Fit Diagnostic'!$AI$8:$AI$57,0)))</f>
        <v/>
      </c>
      <c r="G58" s="43" t="str">
        <f>IF($H58="","",INDEX('3. AI Fit Diagnostic'!$AE$8:$AE$57,MATCH($H58,'3. AI Fit Diagnostic'!$AI$8:$AI$57,0)))</f>
        <v/>
      </c>
      <c r="H58" t="str">
        <f>IF(IFERROR(SMALL('3. AI Fit Diagnostic'!$AI$8:$AI$57,COUNTIF('3. AI Fit Diagnostic'!$AI$8:$AI$57,"&lt;"&amp;400)+2),"")="","",IF(IFERROR(SMALL('3. AI Fit Diagnostic'!$AI$8:$AI$57,COUNTIF('3. AI Fit Diagnostic'!$AI$8:$AI$57,"&lt;"&amp;400)+2),"")&lt;500,IFERROR(SMALL('3. AI Fit Diagnostic'!$AI$8:$AI$57,COUNTIF('3. AI Fit Diagnostic'!$AI$8:$AI$57,"&lt;"&amp;400)+2),""),""))</f>
        <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0 High-risk and 0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No processes are blocked by data gaps.</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No processes need redesign before automation.</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All AI opportunities are within the current position.</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t="str">
        <f>IFERROR(IF(INDEX('3. AI Fit Diagnostic'!$AC$8:$AC$57,MATCH($B$4,'3. AI Fit Diagnostic'!$A$8:$A$57,0))="","",INDEX('3. AI Fit Diagnostic'!$AC$8:$AC$57,MATCH($B$4,'3. AI Fit Diagnostic'!$A$8:$A$57,0))),"")</f>
        <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
      </c>
      <c r="C8" s="4" t="inlineStr">
        <is>
          <t>Function</t>
        </is>
      </c>
      <c r="D8" s="69" t="str">
        <f>IFERROR(IF(INDEX('3. AI Fit Diagnostic'!$P$8:$P$57,MATCH($B$4,'3. AI Fit Diagnostic'!$A$8:$A$57,0))="","",INDEX('3. AI Fit Diagnostic'!$P$8:$P$57,MATCH($B$4,'3. AI Fit Diagnostic'!$A$8:$A$57,0))),"")</f>
        <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
      </c>
    </row>
    <row r="10" ht="34" customHeight="1">
      <c r="A10" s="4" t="inlineStr">
        <is>
          <t>Volume</t>
        </is>
      </c>
      <c r="B10" s="69" t="str">
        <f>IFERROR(IF(INDEX('3. AI Fit Diagnostic'!$F$8:$F$57,MATCH($B$4,'3. AI Fit Diagnostic'!$A$8:$A$57,0))="","",INDEX('3. AI Fit Diagnostic'!$F$8:$F$57,MATCH($B$4,'3. AI Fit Diagnostic'!$A$8:$A$57,0))),"")</f>
        <v/>
      </c>
      <c r="C10" s="4" t="inlineStr">
        <is>
          <t>Effort today (hrs / month)</t>
        </is>
      </c>
      <c r="D10" s="69" t="str">
        <f>IFERROR(IF(INDEX('3. AI Fit Diagnostic'!$G$8:$G$57,MATCH($B$4,'3. AI Fit Diagnostic'!$A$8:$A$57,0))="","",INDEX('3. AI Fit Diagnostic'!$G$8:$G$57,MATCH($B$4,'3. AI Fit Diagnostic'!$A$8:$A$57,0))),"")</f>
        <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
      </c>
      <c r="C12" s="4" t="inlineStr">
        <is>
          <t>Solution family</t>
        </is>
      </c>
      <c r="D12" s="69" t="str">
        <f>IFERROR(IF(INDEX('3. AI Fit Diagnostic'!$R$8:$R$57,MATCH($B$4,'3. AI Fit Diagnostic'!$A$8:$A$57,0))="","",INDEX('3. AI Fit Diagnostic'!$R$8:$R$57,MATCH($B$4,'3. AI Fit Diagnostic'!$A$8:$A$57,0))),"")</f>
        <v/>
      </c>
    </row>
    <row r="13" ht="30" customHeight="1">
      <c r="A13" s="4" t="inlineStr">
        <is>
          <t>Data gate</t>
        </is>
      </c>
      <c r="B13" s="69" t="str">
        <f>IFERROR(IF(INDEX('3. AI Fit Diagnostic'!$U$8:$U$57,MATCH($B$4,'3. AI Fit Diagnostic'!$A$8:$A$57,0))="","",INDEX('3. AI Fit Diagnostic'!$U$8:$U$57,MATCH($B$4,'3. AI Fit Diagnostic'!$A$8:$A$57,0))),"")</f>
        <v/>
      </c>
      <c r="C13" s="4" t="inlineStr">
        <is>
          <t>Organisational fit</t>
        </is>
      </c>
      <c r="D13" s="69" t="str">
        <f>IFERROR(IF(INDEX('3. AI Fit Diagnostic'!$V$8:$V$57,MATCH($B$4,'3. AI Fit Diagnostic'!$A$8:$A$57,0))="","",INDEX('3. AI Fit Diagnostic'!$V$8:$V$57,MATCH($B$4,'3. AI Fit Diagnostic'!$A$8:$A$57,0))),"")</f>
        <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 /   ()</v>
      </c>
      <c r="C14" s="4" t="inlineStr">
        <is>
          <t>Horizon</t>
        </is>
      </c>
      <c r="D14" s="69" t="str">
        <f>IFERROR(IF(INDEX('3. AI Fit Diagnostic'!$AD$8:$AD$57,MATCH($B$4,'3. AI Fit Diagnostic'!$A$8:$A$57,0))="","",INDEX('3. AI Fit Diagnostic'!$AD$8:$AD$57,MATCH($B$4,'3. AI Fit Diagnostic'!$A$8:$A$57,0))),"")</f>
        <v/>
      </c>
    </row>
    <row r="15" ht="58" customHeight="1">
      <c r="A15" s="4" t="inlineStr">
        <is>
          <t>GT recommendation</t>
        </is>
      </c>
      <c r="B15" s="70" t="str">
        <f>IFERROR(IF(INDEX('3. AI Fit Diagnostic'!$AF$8:$AF$57,MATCH($B$4,'3. AI Fit Diagnostic'!$A$8:$A$57,0))="","",INDEX('3. AI Fit Diagnostic'!$AF$8:$AF$57,MATCH($B$4,'3. AI Fit Diagnostic'!$A$8:$A$57,0))),"")</f>
        <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
      </c>
      <c r="C16" s="15" t="n"/>
      <c r="D16" s="15" t="n"/>
    </row>
    <row r="17" ht="30" customHeight="1">
      <c r="A17" s="4" t="inlineStr">
        <is>
          <t>Typical solutions</t>
        </is>
      </c>
      <c r="B17" s="69" t="str">
        <f>IFERROR(INDEX(Lists!$G$2:$G$11,MATCH(INDEX('3. AI Fit Diagnostic'!$R$8:$R$57,MATCH($B$4,'3. AI Fit Diagnostic'!$A$8:$A$57,0)),Lists!$B$2:$B$11,0)),"")</f>
        <v/>
      </c>
      <c r="C17" s="15" t="n"/>
      <c r="D17" s="15" t="n"/>
    </row>
    <row r="18" ht="44" customHeight="1">
      <c r="A18" s="4" t="inlineStr">
        <is>
          <t>Design notes</t>
        </is>
      </c>
      <c r="B18" s="69" t="str">
        <f>IFERROR(INDEX(Lists!$I$2:$I$11,MATCH(INDEX('3. AI Fit Diagnostic'!$R$8:$R$57,MATCH($B$4,'3. AI Fit Diagnostic'!$A$8:$A$57,0)),Lists!$B$2:$B$11,0)),"")</f>
        <v/>
      </c>
      <c r="C18" s="15" t="n"/>
      <c r="D18" s="15" t="n"/>
    </row>
    <row r="19" ht="30" customHeight="1">
      <c r="A19" s="4" t="inlineStr">
        <is>
          <t>What this verdict means</t>
        </is>
      </c>
      <c r="B19" s="69" t="str">
        <f>IFERROR(INDEX(Lists!$AS$2:$AS$6,MATCH(B12,Lists!$AR$2:$AR$6,0)),"")</f>
        <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
      </c>
      <c r="C21" s="4" t="inlineStr">
        <is>
          <t>Library minimum tier</t>
        </is>
      </c>
      <c r="D21" s="21" t="str">
        <f>IFERROR(IF(INDEX('3. AI Fit Diagnostic'!$O$8:$O$57,MATCH($B$4,'3. AI Fit Diagnostic'!$A$8:$A$57,0))="Custom","-",INDEX('2. Use-Case Library'!$L$5:$L$244,MATCH(INDEX('3. AI Fit Diagnostic'!$O$8:$O$57,MATCH($B$4,'3. AI Fit Diagnostic'!$A$8:$A$57,0)),'2. Use-Case Library'!$A$5:$A$244,0))),"")</f>
        <v/>
      </c>
    </row>
    <row r="22" ht="44" customHeight="1">
      <c r="A22" s="4" t="inlineStr">
        <is>
          <t>Regulatory &amp; risk notes</t>
        </is>
      </c>
      <c r="B22" s="69" t="str">
        <f>IFERROR(IF(INDEX('3. AI Fit Diagnostic'!$AG$8:$AG$57,MATCH($B$4,'3. AI Fit Diagnostic'!$A$8:$A$57,0))="","",INDEX('3. AI Fit Diagnostic'!$AG$8:$AG$57,MATCH($B$4,'3. AI Fit Diagnostic'!$A$8:$A$57,0))),"")</f>
        <v/>
      </c>
      <c r="C22" s="15" t="n"/>
      <c r="D22" s="15" t="n"/>
    </row>
    <row r="23" ht="66" customHeight="1">
      <c r="A23" s="4" t="inlineStr">
        <is>
          <t>Minimum controls before go-live</t>
        </is>
      </c>
      <c r="B23" s="69" t="str">
        <f>IFERROR(INDEX(Lists!$AP$2:$AP$4,MATCH(B21,Lists!$AO$2:$AO$4,0)),"")</f>
        <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
      </c>
      <c r="C25" s="15" t="n"/>
      <c r="D25" s="15" t="n"/>
    </row>
    <row r="26">
      <c r="A26" s="4" t="inlineStr">
        <is>
          <t>Indicative hours released / yr</t>
        </is>
      </c>
      <c r="B26" s="49" t="str">
        <f>IFERROR(IF(INDEX('3. AI Fit Diagnostic'!$AE$8:$AE$57,MATCH($B$4,'3. AI Fit Diagnostic'!$A$8:$A$57,0))="","",INDEX('3. AI Fit Diagnostic'!$AE$8:$AE$57,MATCH($B$4,'3. AI Fit Diagnostic'!$A$8:$A$57,0))),"")</f>
        <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Not sized separately in the 2030 analysis - value from faster citizen services, application processing and translation (iGA AI Policy 2025)</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Not sized separately in the 2030 analysis - value from lease administration, tenant service and construction productivity</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Not sized separately in the 2030 analysis - value from student services, content development and timetabling</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Not sized separately in the 2030 analysis - value from audit, tax and advisory delivery (e.g., full-population auditing, predictive tax modelling, DD review)</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Value at stake: QuantumBlack &amp; PwC analysis - predictions for 2030 (as presented in GT Bahrain 'Introduction to Artificial Intelligence', 2026); insurance and capital markets share the financial-services figure; hospitality shares retail &amp; consumer. Sectors not sized separately in that analysis are described qualitatively.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 v1.1 and GT AI RCM v2.1</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BNK-01 | Retail customer onboarding (eKYC)</v>
      </c>
    </row>
    <row r="63">
      <c r="BA63" t="str">
        <f>IFERROR(INDEX('2. Use-Case Library'!$M$5:$M$244,MATCH(62,'2. Use-Case Library'!$O$5:$O$244,0)),"")</f>
        <v>BNK-02 | Sanctions &amp; PEP screening alert review</v>
      </c>
    </row>
    <row r="64">
      <c r="BA64" t="str">
        <f>IFERROR(INDEX('2. Use-Case Library'!$M$5:$M$244,MATCH(63,'2. Use-Case Library'!$O$5:$O$244,0)),"")</f>
        <v>BNK-03 | AML transaction-monitoring alert triage</v>
      </c>
    </row>
    <row r="65">
      <c r="BA65" t="str">
        <f>IFERROR(INDEX('2. Use-Case Library'!$M$5:$M$244,MATCH(64,'2. Use-Case Library'!$O$5:$O$244,0)),"")</f>
        <v>BNK-04 | Suspicious transaction report (STR) narratives</v>
      </c>
    </row>
    <row r="66">
      <c r="BA66" t="str">
        <f>IFERROR(INDEX('2. Use-Case Library'!$M$5:$M$244,MATCH(65,'2. Use-Case Library'!$O$5:$O$244,0)),"")</f>
        <v>BNK-05 | Retail credit decisioning</v>
      </c>
    </row>
    <row r="67">
      <c r="BA67" t="str">
        <f>IFERROR(INDEX('2. Use-Case Library'!$M$5:$M$244,MATCH(66,'2. Use-Case Library'!$O$5:$O$244,0)),"")</f>
        <v>BNK-06 | SME credit memo drafting</v>
      </c>
    </row>
    <row r="68">
      <c r="BA68" t="str">
        <f>IFERROR(INDEX('2. Use-Case Library'!$M$5:$M$244,MATCH(67,'2. Use-Case Library'!$O$5:$O$244,0)),"")</f>
        <v>BNK-07 | Trade-finance document checking (LCs)</v>
      </c>
    </row>
    <row r="69">
      <c r="BA69" t="str">
        <f>IFERROR(INDEX('2. Use-Case Library'!$M$5:$M$244,MATCH(68,'2. Use-Case Library'!$O$5:$O$244,0)),"")</f>
        <v>BNK-08 | Card &amp; payment fraud detection</v>
      </c>
    </row>
    <row r="70">
      <c r="BA70" t="str">
        <f>IFERROR(INDEX('2. Use-Case Library'!$M$5:$M$244,MATCH(69,'2. Use-Case Library'!$O$5:$O$244,0)),"")</f>
        <v>BNK-09 | Payment exceptions &amp; repairs</v>
      </c>
    </row>
    <row r="71">
      <c r="BA71" t="str">
        <f>IFERROR(INDEX('2. Use-Case Library'!$M$5:$M$244,MATCH(70,'2. Use-Case Library'!$O$5:$O$244,0)),"")</f>
        <v>BNK-10 | Banking virtual assistant</v>
      </c>
    </row>
    <row r="72">
      <c r="BA72" t="str">
        <f>IFERROR(INDEX('2. Use-Case Library'!$M$5:$M$244,MATCH(71,'2. Use-Case Library'!$O$5:$O$244,0)),"")</f>
        <v>BNK-11 | Complaints handling (CBB timelines)</v>
      </c>
    </row>
    <row r="73">
      <c r="BA73" t="str">
        <f>IFERROR(INDEX('2. Use-Case Library'!$M$5:$M$244,MATCH(72,'2. Use-Case Library'!$O$5:$O$244,0)),"")</f>
        <v>BNK-12 | Collections prioritisation</v>
      </c>
    </row>
    <row r="74">
      <c r="BA74" t="str">
        <f>IFERROR(INDEX('2. Use-Case Library'!$M$5:$M$244,MATCH(73,'2. Use-Case Library'!$O$5:$O$244,0)),"")</f>
        <v>BNK-13 | Regulatory reporting (CBB returns)</v>
      </c>
    </row>
    <row r="75">
      <c r="BA75" t="str">
        <f>IFERROR(INDEX('2. Use-Case Library'!$M$5:$M$244,MATCH(74,'2. Use-Case Library'!$O$5:$O$244,0)),"")</f>
        <v>BNK-14 | Liquidity &amp; cash forecasting (treasury)</v>
      </c>
    </row>
    <row r="76">
      <c r="BA76" t="str">
        <f>IFERROR(INDEX('2. Use-Case Library'!$M$5:$M$244,MATCH(75,'2. Use-Case Library'!$O$5:$O$244,0)),"")</f>
        <v>BNK-15 | ATM &amp; branch cash forecasting</v>
      </c>
    </row>
    <row r="77">
      <c r="BA77" t="str">
        <f>IFERROR(INDEX('2. Use-Case Library'!$M$5:$M$244,MATCH(76,'2. Use-Case Library'!$O$5:$O$244,0)),"")</f>
        <v>BNK-16 | Corporate onboarding (KYB)</v>
      </c>
    </row>
    <row r="78">
      <c r="BA78" t="str">
        <f>IFERROR(INDEX('2. Use-Case Library'!$M$5:$M$244,MATCH(77,'2. Use-Case Library'!$O$5:$O$244,0)),"")</f>
        <v>BNK-17 | Cheque &amp; instruction processing</v>
      </c>
    </row>
    <row r="79">
      <c r="BA79" t="str">
        <f>IFERROR(INDEX('2. Use-Case Library'!$M$5:$M$244,MATCH(78,'2. Use-Case Library'!$O$5:$O$244,0)),"")</f>
        <v>BNK-18 | Relationship-manager meeting preparation</v>
      </c>
    </row>
    <row r="80">
      <c r="BA80" t="str">
        <f>IFERROR(INDEX('2. Use-Case Library'!$M$5:$M$244,MATCH(79,'2. Use-Case Library'!$O$5:$O$244,0)),"")</f>
        <v>BNK-19 | Model documentation &amp; validation reports</v>
      </c>
    </row>
    <row r="81">
      <c r="BA81" t="str">
        <f>IFERROR(INDEX('2. Use-Case Library'!$M$5:$M$244,MATCH(80,'2. Use-Case Library'!$O$5:$O$244,0)),"")</f>
        <v>BNK-20 | Card dispute &amp; chargeback handling</v>
      </c>
    </row>
    <row r="82">
      <c r="BA82" t="str">
        <f>IFERROR(INDEX('2. Use-Case Library'!$M$5:$M$244,MATCH(81,'2. Use-Case Library'!$O$5:$O$244,0)),"")</f>
        <v>BNK-21 | IFRS 9 ECL staging &amp; overlays support</v>
      </c>
    </row>
    <row r="83">
      <c r="BA83" t="str">
        <f>IFERROR(INDEX('2. Use-Case Library'!$M$5:$M$244,MATCH(82,'2. Use-Case Library'!$O$5:$O$244,0)),"")</f>
        <v>BNK-22 | Periodic KYC refresh</v>
      </c>
    </row>
    <row r="84">
      <c r="BA84" t="str">
        <f>IFERROR(INDEX('2. Use-Case Library'!$M$5:$M$244,MATCH(83,'2. Use-Case Library'!$O$5:$O$244,0)),"")</f>
        <v>BNK-23 | Mortgage document verification</v>
      </c>
    </row>
    <row r="85">
      <c r="BA85" t="str">
        <f>IFERROR(INDEX('2. Use-Case Library'!$M$5:$M$244,MATCH(84,'2. Use-Case Library'!$O$5:$O$244,0)),"")</f>
        <v>INS-01 | Claims first notification of loss (FNOL)</v>
      </c>
    </row>
    <row r="86">
      <c r="BA86" t="str">
        <f>IFERROR(INDEX('2. Use-Case Library'!$M$5:$M$244,MATCH(85,'2. Use-Case Library'!$O$5:$O$244,0)),"")</f>
        <v>INS-02 | Motor damage assessment from photos</v>
      </c>
    </row>
    <row r="87">
      <c r="BA87" t="str">
        <f>IFERROR(INDEX('2. Use-Case Library'!$M$5:$M$244,MATCH(86,'2. Use-Case Library'!$O$5:$O$244,0)),"")</f>
        <v>INS-03 | Claims fraud detection</v>
      </c>
    </row>
    <row r="88">
      <c r="BA88" t="str">
        <f>IFERROR(INDEX('2. Use-Case Library'!$M$5:$M$244,MATCH(87,'2. Use-Case Library'!$O$5:$O$244,0)),"")</f>
        <v>INS-04 | Fast-track settlement of low-value claims</v>
      </c>
    </row>
    <row r="89">
      <c r="BA89" t="str">
        <f>IFERROR(INDEX('2. Use-Case Library'!$M$5:$M$244,MATCH(88,'2. Use-Case Library'!$O$5:$O$244,0)),"")</f>
        <v>INS-05 | Medical claims adjudication</v>
      </c>
    </row>
    <row r="90">
      <c r="BA90" t="str">
        <f>IFERROR(INDEX('2. Use-Case Library'!$M$5:$M$244,MATCH(89,'2. Use-Case Library'!$O$5:$O$244,0)),"")</f>
        <v>INS-06 | Commercial underwriting submissions</v>
      </c>
    </row>
    <row r="91">
      <c r="BA91" t="str">
        <f>IFERROR(INDEX('2. Use-Case Library'!$M$5:$M$244,MATCH(90,'2. Use-Case Library'!$O$5:$O$244,0)),"")</f>
        <v>INS-07 | Life &amp; health underwriting risk scoring</v>
      </c>
    </row>
    <row r="92">
      <c r="BA92" t="str">
        <f>IFERROR(INDEX('2. Use-Case Library'!$M$5:$M$244,MATCH(91,'2. Use-Case Library'!$O$5:$O$244,0)),"")</f>
        <v>INS-08 | Motor pricing &amp; renewal optimisation</v>
      </c>
    </row>
    <row r="93">
      <c r="BA93" t="str">
        <f>IFERROR(INDEX('2. Use-Case Library'!$M$5:$M$244,MATCH(92,'2. Use-Case Library'!$O$5:$O$244,0)),"")</f>
        <v>INS-09 | Policy servicing (endorsements, certificates)</v>
      </c>
    </row>
    <row r="94">
      <c r="BA94" t="str">
        <f>IFERROR(INDEX('2. Use-Case Library'!$M$5:$M$244,MATCH(93,'2. Use-Case Library'!$O$5:$O$244,0)),"")</f>
        <v>INS-10 | Policyholder virtual assistant</v>
      </c>
    </row>
    <row r="95">
      <c r="BA95" t="str">
        <f>IFERROR(INDEX('2. Use-Case Library'!$M$5:$M$244,MATCH(94,'2. Use-Case Library'!$O$5:$O$244,0)),"")</f>
        <v>INS-11 | Broker / agent support assistant</v>
      </c>
    </row>
    <row r="96">
      <c r="BA96" t="str">
        <f>IFERROR(INDEX('2. Use-Case Library'!$M$5:$M$244,MATCH(95,'2. Use-Case Library'!$O$5:$O$244,0)),"")</f>
        <v>INS-12 | Reinsurance bordereaux processing</v>
      </c>
    </row>
    <row r="97">
      <c r="BA97" t="str">
        <f>IFERROR(INDEX('2. Use-Case Library'!$M$5:$M$244,MATCH(96,'2. Use-Case Library'!$O$5:$O$244,0)),"")</f>
        <v>INS-13 | IFRS 17 data preparation &amp; reconciliation</v>
      </c>
    </row>
    <row r="98">
      <c r="BA98" t="str">
        <f>IFERROR(INDEX('2. Use-Case Library'!$M$5:$M$244,MATCH(97,'2. Use-Case Library'!$O$5:$O$244,0)),"")</f>
        <v>INS-14 | Policy wording comparison</v>
      </c>
    </row>
    <row r="99">
      <c r="BA99" t="str">
        <f>IFERROR(INDEX('2. Use-Case Library'!$M$5:$M$244,MATCH(98,'2. Use-Case Library'!$O$5:$O$244,0)),"")</f>
        <v>INS-15 | Subrogation &amp; recovery identification</v>
      </c>
    </row>
    <row r="100">
      <c r="BA100" t="str">
        <f>IFERROR(INDEX('2. Use-Case Library'!$M$5:$M$244,MATCH(99,'2. Use-Case Library'!$O$5:$O$244,0)),"")</f>
        <v>INS-16 | Takaful / Sharia-compliance research</v>
      </c>
    </row>
    <row r="101">
      <c r="BA101" t="str">
        <f>IFERROR(INDEX('2. Use-Case Library'!$M$5:$M$244,MATCH(100,'2. Use-Case Library'!$O$5:$O$244,0)),"")</f>
        <v>INS-17 | Catastrophe &amp; accumulation monitoring</v>
      </c>
    </row>
    <row r="102">
      <c r="BA102" t="str">
        <f>IFERROR(INDEX('2. Use-Case Library'!$M$5:$M$244,MATCH(101,'2. Use-Case Library'!$O$5:$O$244,0)),"")</f>
        <v>CAP-01 | Trade confirmation &amp; settlement exceptions</v>
      </c>
    </row>
    <row r="103">
      <c r="BA103" t="str">
        <f>IFERROR(INDEX('2. Use-Case Library'!$M$5:$M$244,MATCH(102,'2. Use-Case Library'!$O$5:$O$244,0)),"")</f>
        <v>CAP-02 | Market-abuse surveillance alert triage</v>
      </c>
    </row>
    <row r="104">
      <c r="BA104" t="str">
        <f>IFERROR(INDEX('2. Use-Case Library'!$M$5:$M$244,MATCH(103,'2. Use-Case Library'!$O$5:$O$244,0)),"")</f>
        <v>CAP-03 | Research summarisation &amp; earnings-call analysis</v>
      </c>
    </row>
    <row r="105">
      <c r="BA105" t="str">
        <f>IFERROR(INDEX('2. Use-Case Library'!$M$5:$M$244,MATCH(104,'2. Use-Case Library'!$O$5:$O$244,0)),"")</f>
        <v>CAP-04 | Fund NAV reconciliation</v>
      </c>
    </row>
    <row r="106">
      <c r="BA106" t="str">
        <f>IFERROR(INDEX('2. Use-Case Library'!$M$5:$M$244,MATCH(105,'2. Use-Case Library'!$O$5:$O$244,0)),"")</f>
        <v>CAP-05 | Client reporting &amp; factsheets</v>
      </c>
    </row>
    <row r="107">
      <c r="BA107" t="str">
        <f>IFERROR(INDEX('2. Use-Case Library'!$M$5:$M$244,MATCH(106,'2. Use-Case Library'!$O$5:$O$244,0)),"")</f>
        <v>CAP-06 | Investor onboarding &amp; KYC</v>
      </c>
    </row>
    <row r="108">
      <c r="BA108" t="str">
        <f>IFERROR(INDEX('2. Use-Case Library'!$M$5:$M$244,MATCH(107,'2. Use-Case Library'!$O$5:$O$244,0)),"")</f>
        <v>CAP-07 | ESG data extraction from reports</v>
      </c>
    </row>
    <row r="109">
      <c r="BA109" t="str">
        <f>IFERROR(INDEX('2. Use-Case Library'!$M$5:$M$244,MATCH(108,'2. Use-Case Library'!$O$5:$O$244,0)),"")</f>
        <v>CAP-08 | Portfolio compliance &amp; rebalancing alerts</v>
      </c>
    </row>
    <row r="110">
      <c r="BA110" t="str">
        <f>IFERROR(INDEX('2. Use-Case Library'!$M$5:$M$244,MATCH(109,'2. Use-Case Library'!$O$5:$O$244,0)),"")</f>
        <v>HLT-01 | Appointment booking &amp; reminders</v>
      </c>
    </row>
    <row r="111">
      <c r="BA111" t="str">
        <f>IFERROR(INDEX('2. Use-Case Library'!$M$5:$M$244,MATCH(110,'2. Use-Case Library'!$O$5:$O$244,0)),"")</f>
        <v>HLT-02 | Patient registration &amp; insurance eligibility</v>
      </c>
    </row>
    <row r="112">
      <c r="BA112" t="str">
        <f>IFERROR(INDEX('2. Use-Case Library'!$M$5:$M$244,MATCH(111,'2. Use-Case Library'!$O$5:$O$244,0)),"")</f>
        <v>HLT-03 | Prior-authorisation requests</v>
      </c>
    </row>
    <row r="113">
      <c r="BA113" t="str">
        <f>IFERROR(INDEX('2. Use-Case Library'!$M$5:$M$244,MATCH(112,'2. Use-Case Library'!$O$5:$O$244,0)),"")</f>
        <v>HLT-04 | Medical coding assistance (ICD-10 / CPT)</v>
      </c>
    </row>
    <row r="114">
      <c r="BA114" t="str">
        <f>IFERROR(INDEX('2. Use-Case Library'!$M$5:$M$244,MATCH(113,'2. Use-Case Library'!$O$5:$O$244,0)),"")</f>
        <v>HLT-05 | Claims submission &amp; denial management</v>
      </c>
    </row>
    <row r="115">
      <c r="BA115" t="str">
        <f>IFERROR(INDEX('2. Use-Case Library'!$M$5:$M$244,MATCH(114,'2. Use-Case Library'!$O$5:$O$244,0)),"")</f>
        <v>HLT-06 | Clinical documentation (ambient scribe)</v>
      </c>
    </row>
    <row r="116">
      <c r="BA116" t="str">
        <f>IFERROR(INDEX('2. Use-Case Library'!$M$5:$M$244,MATCH(115,'2. Use-Case Library'!$O$5:$O$244,0)),"")</f>
        <v>HLT-07 | Discharge summaries &amp; referral letters</v>
      </c>
    </row>
    <row r="117">
      <c r="BA117" t="str">
        <f>IFERROR(INDEX('2. Use-Case Library'!$M$5:$M$244,MATCH(116,'2. Use-Case Library'!$O$5:$O$244,0)),"")</f>
        <v>HLT-08 | Radiology image triage</v>
      </c>
    </row>
    <row r="118">
      <c r="BA118" t="str">
        <f>IFERROR(INDEX('2. Use-Case Library'!$M$5:$M$244,MATCH(117,'2. Use-Case Library'!$O$5:$O$244,0)),"")</f>
        <v>HLT-09 | Patient deterioration early warning</v>
      </c>
    </row>
    <row r="119">
      <c r="BA119" t="str">
        <f>IFERROR(INDEX('2. Use-Case Library'!$M$5:$M$244,MATCH(118,'2. Use-Case Library'!$O$5:$O$244,0)),"")</f>
        <v>HLT-10 | Bed &amp; capacity management</v>
      </c>
    </row>
    <row r="120">
      <c r="BA120" t="str">
        <f>IFERROR(INDEX('2. Use-Case Library'!$M$5:$M$244,MATCH(119,'2. Use-Case Library'!$O$5:$O$244,0)),"")</f>
        <v>HLT-11 | Pharmacy inventory &amp; expiry</v>
      </c>
    </row>
    <row r="121">
      <c r="BA121" t="str">
        <f>IFERROR(INDEX('2. Use-Case Library'!$M$5:$M$244,MATCH(120,'2. Use-Case Library'!$O$5:$O$244,0)),"")</f>
        <v>HLT-12 | Lab critical-value alerts &amp; result routing</v>
      </c>
    </row>
    <row r="122">
      <c r="BA122" t="str">
        <f>IFERROR(INDEX('2. Use-Case Library'!$M$5:$M$244,MATCH(121,'2. Use-Case Library'!$O$5:$O$244,0)),"")</f>
        <v>HLT-13 | Patient enquiries (non-clinical)</v>
      </c>
    </row>
    <row r="123">
      <c r="BA123" t="str">
        <f>IFERROR(INDEX('2. Use-Case Library'!$M$5:$M$244,MATCH(122,'2. Use-Case Library'!$O$5:$O$244,0)),"")</f>
        <v>HLT-14 | Clinical guideline Q&amp;A for staff</v>
      </c>
    </row>
    <row r="124">
      <c r="BA124" t="str">
        <f>IFERROR(INDEX('2. Use-Case Library'!$M$5:$M$244,MATCH(123,'2. Use-Case Library'!$O$5:$O$244,0)),"")</f>
        <v>HLT-15 | Revenue-cycle analytics</v>
      </c>
    </row>
    <row r="125">
      <c r="BA125" t="str">
        <f>IFERROR(INDEX('2. Use-Case Library'!$M$5:$M$244,MATCH(124,'2. Use-Case Library'!$O$5:$O$244,0)),"")</f>
        <v>HLT-16 | Medical-records digitisation</v>
      </c>
    </row>
    <row r="126">
      <c r="BA126" t="str">
        <f>IFERROR(INDEX('2. Use-Case Library'!$M$5:$M$244,MATCH(125,'2. Use-Case Library'!$O$5:$O$244,0)),"")</f>
        <v>HLT-17 | Staff rostering optimisation</v>
      </c>
    </row>
    <row r="127">
      <c r="BA127" t="str">
        <f>IFERROR(INDEX('2. Use-Case Library'!$M$5:$M$244,MATCH(126,'2. Use-Case Library'!$O$5:$O$244,0)),"")</f>
        <v>HLT-18 | Patient-feedback analysis</v>
      </c>
    </row>
    <row r="128">
      <c r="BA128" t="str">
        <f>IFERROR(INDEX('2. Use-Case Library'!$M$5:$M$244,MATCH(127,'2. Use-Case Library'!$O$5:$O$244,0)),"")</f>
        <v>HLT-19 | Research &amp; literature review</v>
      </c>
    </row>
    <row r="129">
      <c r="BA129" t="str">
        <f>IFERROR(INDEX('2. Use-Case Library'!$M$5:$M$244,MATCH(128,'2. Use-Case Library'!$O$5:$O$244,0)),"")</f>
        <v>HLT-20 | Post-discharge follow-up</v>
      </c>
    </row>
    <row r="130">
      <c r="BA130" t="str">
        <f>IFERROR(INDEX('2. Use-Case Library'!$M$5:$M$244,MATCH(129,'2. Use-Case Library'!$O$5:$O$244,0)),"")</f>
        <v>TEL-01 | Network fault prediction &amp; predictive maintenance</v>
      </c>
    </row>
    <row r="131">
      <c r="BA131" t="str">
        <f>IFERROR(INDEX('2. Use-Case Library'!$M$5:$M$244,MATCH(130,'2. Use-Case Library'!$O$5:$O$244,0)),"")</f>
        <v>TEL-02 | Alarm correlation &amp; root cause (AIOps)</v>
      </c>
    </row>
    <row r="132">
      <c r="BA132" t="str">
        <f>IFERROR(INDEX('2. Use-Case Library'!$M$5:$M$244,MATCH(131,'2. Use-Case Library'!$O$5:$O$244,0)),"")</f>
        <v>TEL-03 | Churn prediction &amp; retention offers</v>
      </c>
    </row>
    <row r="133">
      <c r="BA133" t="str">
        <f>IFERROR(INDEX('2. Use-Case Library'!$M$5:$M$244,MATCH(132,'2. Use-Case Library'!$O$5:$O$244,0)),"")</f>
        <v>TEL-04 | Customer-care virtual agent</v>
      </c>
    </row>
    <row r="134">
      <c r="BA134" t="str">
        <f>IFERROR(INDEX('2. Use-Case Library'!$M$5:$M$244,MATCH(133,'2. Use-Case Library'!$O$5:$O$244,0)),"")</f>
        <v>TEL-05 | Field-force dispatch &amp; scheduling</v>
      </c>
    </row>
    <row r="135">
      <c r="BA135" t="str">
        <f>IFERROR(INDEX('2. Use-Case Library'!$M$5:$M$244,MATCH(134,'2. Use-Case Library'!$O$5:$O$244,0)),"")</f>
        <v>TEL-06 | Order-to-activation provisioning</v>
      </c>
    </row>
    <row r="136">
      <c r="BA136" t="str">
        <f>IFERROR(INDEX('2. Use-Case Library'!$M$5:$M$244,MATCH(135,'2. Use-Case Library'!$O$5:$O$244,0)),"")</f>
        <v>TEL-07 | Billing disputes &amp; adjustments</v>
      </c>
    </row>
    <row r="137">
      <c r="BA137" t="str">
        <f>IFERROR(INDEX('2. Use-Case Library'!$M$5:$M$244,MATCH(136,'2. Use-Case Library'!$O$5:$O$244,0)),"")</f>
        <v>TEL-08 | Revenue assurance &amp; leakage detection</v>
      </c>
    </row>
    <row r="138">
      <c r="BA138" t="str">
        <f>IFERROR(INDEX('2. Use-Case Library'!$M$5:$M$244,MATCH(137,'2. Use-Case Library'!$O$5:$O$244,0)),"")</f>
        <v>TEL-09 | Telecom fraud detection (SIM-swap, IRSF, wangiri)</v>
      </c>
    </row>
    <row r="139">
      <c r="BA139" t="str">
        <f>IFERROR(INDEX('2. Use-Case Library'!$M$5:$M$244,MATCH(138,'2. Use-Case Library'!$O$5:$O$244,0)),"")</f>
        <v>TEL-10 | Next-best offer &amp; personalisation</v>
      </c>
    </row>
    <row r="140">
      <c r="BA140" t="str">
        <f>IFERROR(INDEX('2. Use-Case Library'!$M$5:$M$244,MATCH(139,'2. Use-Case Library'!$O$5:$O$244,0)),"")</f>
        <v>TEL-11 | Contact-centre speech analytics</v>
      </c>
    </row>
    <row r="141">
      <c r="BA141" t="str">
        <f>IFERROR(INDEX('2. Use-Case Library'!$M$5:$M$244,MATCH(140,'2. Use-Case Library'!$O$5:$O$244,0)),"")</f>
        <v>TEL-12 | Network capacity planning</v>
      </c>
    </row>
    <row r="142">
      <c r="BA142" t="str">
        <f>IFERROR(INDEX('2. Use-Case Library'!$M$5:$M$244,MATCH(141,'2. Use-Case Library'!$O$5:$O$244,0)),"")</f>
        <v>TEL-13 | Site lease &amp; tower document management</v>
      </c>
    </row>
    <row r="143">
      <c r="BA143" t="str">
        <f>IFERROR(INDEX('2. Use-Case Library'!$M$5:$M$244,MATCH(142,'2. Use-Case Library'!$O$5:$O$244,0)),"")</f>
        <v>TEL-14 | Regulatory &amp; QoS reporting (TRA)</v>
      </c>
    </row>
    <row r="144">
      <c r="BA144" t="str">
        <f>IFERROR(INDEX('2. Use-Case Library'!$M$5:$M$244,MATCH(143,'2. Use-Case Library'!$O$5:$O$244,0)),"")</f>
        <v>TEL-15 | Agentic self-service (plan changes, troubleshooting)</v>
      </c>
    </row>
    <row r="145">
      <c r="BA145" t="str">
        <f>IFERROR(INDEX('2. Use-Case Library'!$M$5:$M$244,MATCH(144,'2. Use-Case Library'!$O$5:$O$244,0)),"")</f>
        <v>TEL-16 | SIM registration &amp; ID verification</v>
      </c>
    </row>
    <row r="146">
      <c r="BA146" t="str">
        <f>IFERROR(INDEX('2. Use-Case Library'!$M$5:$M$244,MATCH(145,'2. Use-Case Library'!$O$5:$O$244,0)),"")</f>
        <v>TEL-17 | Network-configuration change co-pilot</v>
      </c>
    </row>
    <row r="147">
      <c r="BA147" t="str">
        <f>IFERROR(INDEX('2. Use-Case Library'!$M$5:$M$244,MATCH(146,'2. Use-Case Library'!$O$5:$O$244,0)),"")</f>
        <v>GOV-01 | Citizen enquiries (multi-channel)</v>
      </c>
    </row>
    <row r="148">
      <c r="BA148" t="str">
        <f>IFERROR(INDEX('2. Use-Case Library'!$M$5:$M$244,MATCH(147,'2. Use-Case Library'!$O$5:$O$244,0)),"")</f>
        <v>GOV-02 | Permit &amp; licence application processing</v>
      </c>
    </row>
    <row r="149">
      <c r="BA149" t="str">
        <f>IFERROR(INDEX('2. Use-Case Library'!$M$5:$M$244,MATCH(148,'2. Use-Case Library'!$O$5:$O$244,0)),"")</f>
        <v>GOV-03 | Eligibility assessment for services / benefits</v>
      </c>
    </row>
    <row r="150">
      <c r="BA150" t="str">
        <f>IFERROR(INDEX('2. Use-Case Library'!$M$5:$M$244,MATCH(149,'2. Use-Case Library'!$O$5:$O$244,0)),"")</f>
        <v>GOV-04 | Risk-based inspection targeting</v>
      </c>
    </row>
    <row r="151">
      <c r="BA151" t="str">
        <f>IFERROR(INDEX('2. Use-Case Library'!$M$5:$M$244,MATCH(150,'2. Use-Case Library'!$O$5:$O$244,0)),"")</f>
        <v>GOV-05 | Correspondence &amp; briefing notes</v>
      </c>
    </row>
    <row r="152">
      <c r="BA152" t="str">
        <f>IFERROR(INDEX('2. Use-Case Library'!$M$5:$M$244,MATCH(151,'2. Use-Case Library'!$O$5:$O$244,0)),"")</f>
        <v>GOV-06 | Policy &amp; legislation research</v>
      </c>
    </row>
    <row r="153">
      <c r="BA153" t="str">
        <f>IFERROR(INDEX('2. Use-Case Library'!$M$5:$M$244,MATCH(152,'2. Use-Case Library'!$O$5:$O$244,0)),"")</f>
        <v>GOV-07 | Official translation (Arabic / English)</v>
      </c>
    </row>
    <row r="154">
      <c r="BA154" t="str">
        <f>IFERROR(INDEX('2. Use-Case Library'!$M$5:$M$244,MATCH(153,'2. Use-Case Library'!$O$5:$O$244,0)),"")</f>
        <v>GOV-08 | Government tender evaluation support</v>
      </c>
    </row>
    <row r="155">
      <c r="BA155" t="str">
        <f>IFERROR(INDEX('2. Use-Case Library'!$M$5:$M$244,MATCH(154,'2. Use-Case Library'!$O$5:$O$244,0)),"")</f>
        <v>GOV-09 | Records digitisation &amp; archiving</v>
      </c>
    </row>
    <row r="156">
      <c r="BA156" t="str">
        <f>IFERROR(INDEX('2. Use-Case Library'!$M$5:$M$244,MATCH(155,'2. Use-Case Library'!$O$5:$O$244,0)),"")</f>
        <v>GOV-10 | Fraud &amp; error detection in payments / subsidies</v>
      </c>
    </row>
    <row r="157">
      <c r="BA157" t="str">
        <f>IFERROR(INDEX('2. Use-Case Library'!$M$5:$M$244,MATCH(156,'2. Use-Case Library'!$O$5:$O$244,0)),"")</f>
        <v>GOV-11 | Traffic &amp; mobility analytics</v>
      </c>
    </row>
    <row r="158">
      <c r="BA158" t="str">
        <f>IFERROR(INDEX('2. Use-Case Library'!$M$5:$M$244,MATCH(157,'2. Use-Case Library'!$O$5:$O$244,0)),"")</f>
        <v>GOV-12 | Complaints &amp; suggestions analysis (Tawasul)</v>
      </c>
    </row>
    <row r="159">
      <c r="BA159" t="str">
        <f>IFERROR(INDEX('2. Use-Case Library'!$M$5:$M$244,MATCH(158,'2. Use-Case Library'!$O$5:$O$244,0)),"")</f>
        <v>GOV-13 | Civil-service HR &amp; payroll transactions</v>
      </c>
    </row>
    <row r="160">
      <c r="BA160" t="str">
        <f>IFERROR(INDEX('2. Use-Case Library'!$M$5:$M$244,MATCH(159,'2. Use-Case Library'!$O$5:$O$244,0)),"")</f>
        <v>GOV-14 | Open data &amp; statistics publication</v>
      </c>
    </row>
    <row r="161">
      <c r="BA161" t="str">
        <f>IFERROR(INDEX('2. Use-Case Library'!$M$5:$M$244,MATCH(160,'2. Use-Case Library'!$O$5:$O$244,0)),"")</f>
        <v>GOV-15 | Emergency-call prioritisation</v>
      </c>
    </row>
    <row r="162">
      <c r="BA162" t="str">
        <f>IFERROR(INDEX('2. Use-Case Library'!$M$5:$M$244,MATCH(161,'2. Use-Case Library'!$O$5:$O$244,0)),"")</f>
        <v>RET-01 | Demand forecasting &amp; replenishment</v>
      </c>
    </row>
    <row r="163">
      <c r="BA163" t="str">
        <f>IFERROR(INDEX('2. Use-Case Library'!$M$5:$M$244,MATCH(162,'2. Use-Case Library'!$O$5:$O$244,0)),"")</f>
        <v>RET-02 | Dynamic pricing &amp; markdowns</v>
      </c>
    </row>
    <row r="164">
      <c r="BA164" t="str">
        <f>IFERROR(INDEX('2. Use-Case Library'!$M$5:$M$244,MATCH(163,'2. Use-Case Library'!$O$5:$O$244,0)),"")</f>
        <v>RET-03 | Product content (Arabic / English)</v>
      </c>
    </row>
    <row r="165">
      <c r="BA165" t="str">
        <f>IFERROR(INDEX('2. Use-Case Library'!$M$5:$M$244,MATCH(164,'2. Use-Case Library'!$O$5:$O$244,0)),"")</f>
        <v>RET-04 | Customer service &amp; order tracking</v>
      </c>
    </row>
    <row r="166">
      <c r="BA166" t="str">
        <f>IFERROR(INDEX('2. Use-Case Library'!$M$5:$M$244,MATCH(165,'2. Use-Case Library'!$O$5:$O$244,0)),"")</f>
        <v>RET-05 | Personalised recommendations</v>
      </c>
    </row>
    <row r="167">
      <c r="BA167" t="str">
        <f>IFERROR(INDEX('2. Use-Case Library'!$M$5:$M$244,MATCH(166,'2. Use-Case Library'!$O$5:$O$244,0)),"")</f>
        <v>RET-06 | Returns &amp; refunds</v>
      </c>
    </row>
    <row r="168">
      <c r="BA168" t="str">
        <f>IFERROR(INDEX('2. Use-Case Library'!$M$5:$M$244,MATCH(167,'2. Use-Case Library'!$O$5:$O$244,0)),"")</f>
        <v>RET-07 | Loyalty analytics &amp; segmentation</v>
      </c>
    </row>
    <row r="169">
      <c r="BA169" t="str">
        <f>IFERROR(INDEX('2. Use-Case Library'!$M$5:$M$244,MATCH(168,'2. Use-Case Library'!$O$5:$O$244,0)),"")</f>
        <v>RET-08 | Shelf monitoring &amp; planogram compliance</v>
      </c>
    </row>
    <row r="170">
      <c r="BA170" t="str">
        <f>IFERROR(INDEX('2. Use-Case Library'!$M$5:$M$244,MATCH(169,'2. Use-Case Library'!$O$5:$O$244,0)),"")</f>
        <v>RET-09 | Store footfall analytics</v>
      </c>
    </row>
    <row r="171">
      <c r="BA171" t="str">
        <f>IFERROR(INDEX('2. Use-Case Library'!$M$5:$M$244,MATCH(170,'2. Use-Case Library'!$O$5:$O$244,0)),"")</f>
        <v>RET-10 | Supplier orders &amp; invoices</v>
      </c>
    </row>
    <row r="172">
      <c r="BA172" t="str">
        <f>IFERROR(INDEX('2. Use-Case Library'!$M$5:$M$244,MATCH(171,'2. Use-Case Library'!$O$5:$O$244,0)),"")</f>
        <v>RET-11 | Fraud &amp; promotion abuse detection</v>
      </c>
    </row>
    <row r="173">
      <c r="BA173" t="str">
        <f>IFERROR(INDEX('2. Use-Case Library'!$M$5:$M$244,MATCH(172,'2. Use-Case Library'!$O$5:$O$244,0)),"")</f>
        <v>HOS-01 | Revenue management &amp; dynamic pricing</v>
      </c>
    </row>
    <row r="174">
      <c r="BA174" t="str">
        <f>IFERROR(INDEX('2. Use-Case Library'!$M$5:$M$244,MATCH(173,'2. Use-Case Library'!$O$5:$O$244,0)),"")</f>
        <v>HOS-02 | Guest messaging &amp; concierge (WhatsApp)</v>
      </c>
    </row>
    <row r="175">
      <c r="BA175" t="str">
        <f>IFERROR(INDEX('2. Use-Case Library'!$M$5:$M$244,MATCH(174,'2. Use-Case Library'!$O$5:$O$244,0)),"")</f>
        <v>HOS-03 | Reservations &amp; channel updates</v>
      </c>
    </row>
    <row r="176">
      <c r="BA176" t="str">
        <f>IFERROR(INDEX('2. Use-Case Library'!$M$5:$M$244,MATCH(175,'2. Use-Case Library'!$O$5:$O$244,0)),"")</f>
        <v>HOS-04 | Review &amp; reputation management</v>
      </c>
    </row>
    <row r="177">
      <c r="BA177" t="str">
        <f>IFERROR(INDEX('2. Use-Case Library'!$M$5:$M$244,MATCH(176,'2. Use-Case Library'!$O$5:$O$244,0)),"")</f>
        <v>HOS-05 | Housekeeping scheduling</v>
      </c>
    </row>
    <row r="178">
      <c r="BA178" t="str">
        <f>IFERROR(INDEX('2. Use-Case Library'!$M$5:$M$244,MATCH(177,'2. Use-Case Library'!$O$5:$O$244,0)),"")</f>
        <v>HOS-06 | F&amp;B demand forecasting &amp; waste reduction</v>
      </c>
    </row>
    <row r="179">
      <c r="BA179" t="str">
        <f>IFERROR(INDEX('2. Use-Case Library'!$M$5:$M$244,MATCH(178,'2. Use-Case Library'!$O$5:$O$244,0)),"")</f>
        <v>HOS-07 | Event &amp; MICE proposals</v>
      </c>
    </row>
    <row r="180">
      <c r="BA180" t="str">
        <f>IFERROR(INDEX('2. Use-Case Library'!$M$5:$M$244,MATCH(179,'2. Use-Case Library'!$O$5:$O$244,0)),"")</f>
        <v>HOS-08 | Guest check-in &amp; ID capture</v>
      </c>
    </row>
    <row r="181">
      <c r="BA181" t="str">
        <f>IFERROR(INDEX('2. Use-Case Library'!$M$5:$M$244,MATCH(180,'2. Use-Case Library'!$O$5:$O$244,0)),"")</f>
        <v>HOS-09 | Hotel energy management</v>
      </c>
    </row>
    <row r="182">
      <c r="BA182" t="str">
        <f>IFERROR(INDEX('2. Use-Case Library'!$M$5:$M$244,MATCH(181,'2. Use-Case Library'!$O$5:$O$244,0)),"")</f>
        <v>HOS-10 | Personalised upsell offers</v>
      </c>
    </row>
    <row r="183">
      <c r="BA183" t="str">
        <f>IFERROR(INDEX('2. Use-Case Library'!$M$5:$M$244,MATCH(182,'2. Use-Case Library'!$O$5:$O$244,0)),"")</f>
        <v>MFG-01 | Predictive maintenance</v>
      </c>
    </row>
    <row r="184">
      <c r="BA184" t="str">
        <f>IFERROR(INDEX('2. Use-Case Library'!$M$5:$M$244,MATCH(183,'2. Use-Case Library'!$O$5:$O$244,0)),"")</f>
        <v>MFG-02 | Visual quality inspection</v>
      </c>
    </row>
    <row r="185">
      <c r="BA185" t="str">
        <f>IFERROR(INDEX('2. Use-Case Library'!$M$5:$M$244,MATCH(184,'2. Use-Case Library'!$O$5:$O$244,0)),"")</f>
        <v>MFG-03 | Production scheduling optimisation</v>
      </c>
    </row>
    <row r="186">
      <c r="BA186" t="str">
        <f>IFERROR(INDEX('2. Use-Case Library'!$M$5:$M$244,MATCH(185,'2. Use-Case Library'!$O$5:$O$244,0)),"")</f>
        <v>MFG-04 | Energy optimisation</v>
      </c>
    </row>
    <row r="187">
      <c r="BA187" t="str">
        <f>IFERROR(INDEX('2. Use-Case Library'!$M$5:$M$244,MATCH(186,'2. Use-Case Library'!$O$5:$O$244,0)),"")</f>
        <v>MFG-05 | Supplier certificates &amp; quality documents</v>
      </c>
    </row>
    <row r="188">
      <c r="BA188" t="str">
        <f>IFERROR(INDEX('2. Use-Case Library'!$M$5:$M$244,MATCH(187,'2. Use-Case Library'!$O$5:$O$244,0)),"")</f>
        <v>MFG-06 | Maintenance troubleshooting assistant</v>
      </c>
    </row>
    <row r="189">
      <c r="BA189" t="str">
        <f>IFERROR(INDEX('2. Use-Case Library'!$M$5:$M$244,MATCH(188,'2. Use-Case Library'!$O$5:$O$244,0)),"")</f>
        <v>MFG-07 | Health &amp; safety monitoring (PPE)</v>
      </c>
    </row>
    <row r="190">
      <c r="BA190" t="str">
        <f>IFERROR(INDEX('2. Use-Case Library'!$M$5:$M$244,MATCH(189,'2. Use-Case Library'!$O$5:$O$244,0)),"")</f>
        <v>MFG-08 | Spare-parts &amp; inventory optimisation</v>
      </c>
    </row>
    <row r="191">
      <c r="BA191" t="str">
        <f>IFERROR(INDEX('2. Use-Case Library'!$M$5:$M$244,MATCH(190,'2. Use-Case Library'!$O$5:$O$244,0)),"")</f>
        <v>MFG-09 | Customer order entry</v>
      </c>
    </row>
    <row r="192">
      <c r="BA192" t="str">
        <f>IFERROR(INDEX('2. Use-Case Library'!$M$5:$M$244,MATCH(191,'2. Use-Case Library'!$O$5:$O$244,0)),"")</f>
        <v>MFG-10 | Process yield optimisation</v>
      </c>
    </row>
    <row r="193">
      <c r="BA193" t="str">
        <f>IFERROR(INDEX('2. Use-Case Library'!$M$5:$M$244,MATCH(192,'2. Use-Case Library'!$O$5:$O$244,0)),"")</f>
        <v>MFG-11 | Export documentation</v>
      </c>
    </row>
    <row r="194">
      <c r="BA194" t="str">
        <f>IFERROR(INDEX('2. Use-Case Library'!$M$5:$M$244,MATCH(193,'2. Use-Case Library'!$O$5:$O$244,0)),"")</f>
        <v>ENR-01 | Asset integrity &amp; corrosion prediction</v>
      </c>
    </row>
    <row r="195">
      <c r="BA195" t="str">
        <f>IFERROR(INDEX('2. Use-Case Library'!$M$5:$M$244,MATCH(194,'2. Use-Case Library'!$O$5:$O$244,0)),"")</f>
        <v>ENR-02 | Drone &amp; visual inspection of assets</v>
      </c>
    </row>
    <row r="196">
      <c r="BA196" t="str">
        <f>IFERROR(INDEX('2. Use-Case Library'!$M$5:$M$244,MATCH(195,'2. Use-Case Library'!$O$5:$O$244,0)),"")</f>
        <v>ENR-03 | Meter-reading &amp; billing exceptions</v>
      </c>
    </row>
    <row r="197">
      <c r="BA197" t="str">
        <f>IFERROR(INDEX('2. Use-Case Library'!$M$5:$M$244,MATCH(196,'2. Use-Case Library'!$O$5:$O$244,0)),"")</f>
        <v>ENR-04 | Load / demand forecasting</v>
      </c>
    </row>
    <row r="198">
      <c r="BA198" t="str">
        <f>IFERROR(INDEX('2. Use-Case Library'!$M$5:$M$244,MATCH(197,'2. Use-Case Library'!$O$5:$O$244,0)),"")</f>
        <v>ENR-05 | Outage notifications</v>
      </c>
    </row>
    <row r="199">
      <c r="BA199" t="str">
        <f>IFERROR(INDEX('2. Use-Case Library'!$M$5:$M$244,MATCH(198,'2. Use-Case Library'!$O$5:$O$244,0)),"")</f>
        <v>ENR-06 | Permit-to-work checks</v>
      </c>
    </row>
    <row r="200">
      <c r="BA200" t="str">
        <f>IFERROR(INDEX('2. Use-Case Library'!$M$5:$M$244,MATCH(199,'2. Use-Case Library'!$O$5:$O$244,0)),"")</f>
        <v>ENR-07 | Engineering document search</v>
      </c>
    </row>
    <row r="201">
      <c r="BA201" t="str">
        <f>IFERROR(INDEX('2. Use-Case Library'!$M$5:$M$244,MATCH(200,'2. Use-Case Library'!$O$5:$O$244,0)),"")</f>
        <v>ENR-08 | Leak &amp; loss detection</v>
      </c>
    </row>
    <row r="202">
      <c r="BA202" t="str">
        <f>IFERROR(INDEX('2. Use-Case Library'!$M$5:$M$244,MATCH(201,'2. Use-Case Library'!$O$5:$O$244,0)),"")</f>
        <v>ENR-09 | Emissions monitoring &amp; ESG reporting</v>
      </c>
    </row>
    <row r="203">
      <c r="BA203" t="str">
        <f>IFERROR(INDEX('2. Use-Case Library'!$M$5:$M$244,MATCH(202,'2. Use-Case Library'!$O$5:$O$244,0)),"")</f>
        <v>ENR-10 | Field technician assistant</v>
      </c>
    </row>
    <row r="204">
      <c r="BA204" t="str">
        <f>IFERROR(INDEX('2. Use-Case Library'!$M$5:$M$244,MATCH(203,'2. Use-Case Library'!$O$5:$O$244,0)),"")</f>
        <v>LOG-01 | Route optimisation</v>
      </c>
    </row>
    <row r="205">
      <c r="BA205" t="str">
        <f>IFERROR(INDEX('2. Use-Case Library'!$M$5:$M$244,MATCH(204,'2. Use-Case Library'!$O$5:$O$244,0)),"")</f>
        <v>LOG-02 | Customs declaration preparation</v>
      </c>
    </row>
    <row r="206">
      <c r="BA206" t="str">
        <f>IFERROR(INDEX('2. Use-Case Library'!$M$5:$M$244,MATCH(205,'2. Use-Case Library'!$O$5:$O$244,0)),"")</f>
        <v>LOG-03 | Shipment tracking &amp; updates</v>
      </c>
    </row>
    <row r="207">
      <c r="BA207" t="str">
        <f>IFERROR(INDEX('2. Use-Case Library'!$M$5:$M$244,MATCH(206,'2. Use-Case Library'!$O$5:$O$244,0)),"")</f>
        <v>LOG-04 | Warehouse slotting &amp; picking</v>
      </c>
    </row>
    <row r="208">
      <c r="BA208" t="str">
        <f>IFERROR(INDEX('2. Use-Case Library'!$M$5:$M$244,MATCH(207,'2. Use-Case Library'!$O$5:$O$244,0)),"")</f>
        <v>LOG-05 | Freight invoice audit</v>
      </c>
    </row>
    <row r="209">
      <c r="BA209" t="str">
        <f>IFERROR(INDEX('2. Use-Case Library'!$M$5:$M$244,MATCH(208,'2. Use-Case Library'!$O$5:$O$244,0)),"")</f>
        <v>LOG-06 | Fleet predictive maintenance</v>
      </c>
    </row>
    <row r="210">
      <c r="BA210" t="str">
        <f>IFERROR(INDEX('2. Use-Case Library'!$M$5:$M$244,MATCH(209,'2. Use-Case Library'!$O$5:$O$244,0)),"")</f>
        <v>LOG-07 | Airport / terminal passenger-flow forecasting</v>
      </c>
    </row>
    <row r="211">
      <c r="BA211" t="str">
        <f>IFERROR(INDEX('2. Use-Case Library'!$M$5:$M$244,MATCH(210,'2. Use-Case Library'!$O$5:$O$244,0)),"")</f>
        <v>LOG-08 | Driver safety monitoring</v>
      </c>
    </row>
    <row r="212">
      <c r="BA212" t="str">
        <f>IFERROR(INDEX('2. Use-Case Library'!$M$5:$M$244,MATCH(211,'2. Use-Case Library'!$O$5:$O$244,0)),"")</f>
        <v>LOG-09 | Quote &amp; booking requests</v>
      </c>
    </row>
    <row r="213">
      <c r="BA213" t="str">
        <f>IFERROR(INDEX('2. Use-Case Library'!$M$5:$M$244,MATCH(212,'2. Use-Case Library'!$O$5:$O$244,0)),"")</f>
        <v>REC-01 | Lease abstraction</v>
      </c>
    </row>
    <row r="214">
      <c r="BA214" t="str">
        <f>IFERROR(INDEX('2. Use-Case Library'!$M$5:$M$244,MATCH(213,'2. Use-Case Library'!$O$5:$O$244,0)),"")</f>
        <v>REC-02 | Tenant service requests</v>
      </c>
    </row>
    <row r="215">
      <c r="BA215" t="str">
        <f>IFERROR(INDEX('2. Use-Case Library'!$M$5:$M$244,MATCH(214,'2. Use-Case Library'!$O$5:$O$244,0)),"")</f>
        <v>REC-03 | Rent collection &amp; reminders</v>
      </c>
    </row>
    <row r="216">
      <c r="BA216" t="str">
        <f>IFERROR(INDEX('2. Use-Case Library'!$M$5:$M$244,MATCH(215,'2. Use-Case Library'!$O$5:$O$244,0)),"")</f>
        <v>REC-04 | Property valuation support</v>
      </c>
    </row>
    <row r="217">
      <c r="BA217" t="str">
        <f>IFERROR(INDEX('2. Use-Case Library'!$M$5:$M$244,MATCH(216,'2. Use-Case Library'!$O$5:$O$244,0)),"")</f>
        <v>REC-05 | Construction progress monitoring</v>
      </c>
    </row>
    <row r="218">
      <c r="BA218" t="str">
        <f>IFERROR(INDEX('2. Use-Case Library'!$M$5:$M$244,MATCH(217,'2. Use-Case Library'!$O$5:$O$244,0)),"")</f>
        <v>REC-06 | Tender &amp; BOQ analysis</v>
      </c>
    </row>
    <row r="219">
      <c r="BA219" t="str">
        <f>IFERROR(INDEX('2. Use-Case Library'!$M$5:$M$244,MATCH(218,'2. Use-Case Library'!$O$5:$O$244,0)),"")</f>
        <v>REC-07 | Site safety monitoring</v>
      </c>
    </row>
    <row r="220">
      <c r="BA220" t="str">
        <f>IFERROR(INDEX('2. Use-Case Library'!$M$5:$M$244,MATCH(219,'2. Use-Case Library'!$O$5:$O$244,0)),"")</f>
        <v>EDU-01 | Student enquiries &amp; admissions support</v>
      </c>
    </row>
    <row r="221">
      <c r="BA221" t="str">
        <f>IFERROR(INDEX('2. Use-Case Library'!$M$5:$M$244,MATCH(220,'2. Use-Case Library'!$O$5:$O$244,0)),"")</f>
        <v>EDU-02 | Admission document processing</v>
      </c>
    </row>
    <row r="222">
      <c r="BA222" t="str">
        <f>IFERROR(INDEX('2. Use-Case Library'!$M$5:$M$244,MATCH(221,'2. Use-Case Library'!$O$5:$O$244,0)),"")</f>
        <v>EDU-03 | Assessment &amp; marking support</v>
      </c>
    </row>
    <row r="223">
      <c r="BA223" t="str">
        <f>IFERROR(INDEX('2. Use-Case Library'!$M$5:$M$244,MATCH(222,'2. Use-Case Library'!$O$5:$O$244,0)),"")</f>
        <v>EDU-04 | Course content &amp; quiz generation</v>
      </c>
    </row>
    <row r="224">
      <c r="BA224" t="str">
        <f>IFERROR(INDEX('2. Use-Case Library'!$M$5:$M$244,MATCH(223,'2. Use-Case Library'!$O$5:$O$244,0)),"")</f>
        <v>EDU-05 | Student at-risk early warning</v>
      </c>
    </row>
    <row r="225">
      <c r="BA225" t="str">
        <f>IFERROR(INDEX('2. Use-Case Library'!$M$5:$M$244,MATCH(224,'2. Use-Case Library'!$O$5:$O$244,0)),"")</f>
        <v>EDU-06 | Timetabling optimisation</v>
      </c>
    </row>
    <row r="226">
      <c r="BA226" t="str">
        <f>IFERROR(INDEX('2. Use-Case Library'!$M$5:$M$244,MATCH(225,'2. Use-Case Library'!$O$5:$O$244,0)),"")</f>
        <v>EDU-07 | Library &amp; research assistant</v>
      </c>
    </row>
    <row r="227">
      <c r="BA227" t="str">
        <f>IFERROR(INDEX('2. Use-Case Library'!$M$5:$M$244,MATCH(226,'2. Use-Case Library'!$O$5:$O$244,0)),"")</f>
        <v>PRO-01 | Audit - journal-entry testing (full population)</v>
      </c>
    </row>
    <row r="228">
      <c r="BA228" t="str">
        <f>IFERROR(INDEX('2. Use-Case Library'!$M$5:$M$244,MATCH(227,'2. Use-Case Library'!$O$5:$O$244,0)),"")</f>
        <v>PRO-02 | Audit - working papers &amp; memo drafting</v>
      </c>
    </row>
    <row r="229">
      <c r="BA229" t="str">
        <f>IFERROR(INDEX('2. Use-Case Library'!$M$5:$M$244,MATCH(228,'2. Use-Case Library'!$O$5:$O$244,0)),"")</f>
        <v>PRO-03 | Audit - bank &amp; external confirmations</v>
      </c>
    </row>
    <row r="230">
      <c r="BA230" t="str">
        <f>IFERROR(INDEX('2. Use-Case Library'!$M$5:$M$244,MATCH(229,'2. Use-Case Library'!$O$5:$O$244,0)),"")</f>
        <v>PRO-04 | Tax research &amp; technical Q&amp;A</v>
      </c>
    </row>
    <row r="231">
      <c r="BA231" t="str">
        <f>IFERROR(INDEX('2. Use-Case Library'!$M$5:$M$244,MATCH(230,'2. Use-Case Library'!$O$5:$O$244,0)),"")</f>
        <v>PRO-05 | Tax - VAT / tax return data preparation</v>
      </c>
    </row>
    <row r="232">
      <c r="BA232" t="str">
        <f>IFERROR(INDEX('2. Use-Case Library'!$M$5:$M$244,MATCH(231,'2. Use-Case Library'!$O$5:$O$244,0)),"")</f>
        <v>PRO-06 | Predictive tax scenario modelling</v>
      </c>
    </row>
    <row r="233">
      <c r="BA233" t="str">
        <f>IFERROR(INDEX('2. Use-Case Library'!$M$5:$M$244,MATCH(232,'2. Use-Case Library'!$O$5:$O$244,0)),"")</f>
        <v>PRO-07 | Advisory - due-diligence data-room review</v>
      </c>
    </row>
    <row r="234">
      <c r="BA234" t="str">
        <f>IFERROR(INDEX('2. Use-Case Library'!$M$5:$M$244,MATCH(233,'2. Use-Case Library'!$O$5:$O$244,0)),"")</f>
        <v>PRO-08 | Client acceptance &amp; independence checks</v>
      </c>
    </row>
    <row r="235">
      <c r="BA235" t="str">
        <f>IFERROR(INDEX('2. Use-Case Library'!$M$5:$M$244,MATCH(234,'2. Use-Case Library'!$O$5:$O$244,0)),"")</f>
        <v>PRO-09 | Timesheets, WIP &amp; billing</v>
      </c>
    </row>
    <row r="236">
      <c r="BA236" t="str">
        <f>IFERROR(INDEX('2. Use-Case Library'!$M$5:$M$244,MATCH(235,'2. Use-Case Library'!$O$5:$O$244,0)),"")</f>
        <v>PRO-10 | Engagement workflow coordination</v>
      </c>
    </row>
    <row r="237">
      <c r="BA237" t="str">
        <f>IFERROR(INDEX('2. Use-Case Library'!$M$5:$M$244,MATCH(236,'2. Use-Case Library'!$O$5:$O$244,0)),"")</f>
        <v>PRO-11 | Financial statements preparation (GT AI FS tool - in preparation)</v>
      </c>
    </row>
    <row r="238">
      <c r="BA238" t="str">
        <f>IFERROR(INDEX('2. Use-Case Library'!$M$5:$M$244,MATCH(237,'2. Use-Case Library'!$O$5:$O$244,0)),"")</f>
        <v>PRO-12 | Client BCP &amp; business impact analysis (GT AI BCP tool - in preparation)</v>
      </c>
    </row>
    <row r="239">
      <c r="BA239" t="str">
        <f>IFERROR(INDEX('2. Use-Case Library'!$M$5:$M$244,MATCH(238,'2. Use-Case Library'!$O$5:$O$244,0)),"")</f>
        <v>PRO-13 | Assessment &amp; maturity report production</v>
      </c>
    </row>
    <row r="240">
      <c r="BA240" t="str">
        <f>IFERROR(INDEX('2. Use-Case Library'!$M$5:$M$244,MATCH(239,'2. Use-Case Library'!$O$5:$O$244,0)),"")</f>
        <v>PRO-14 | Governance 'tone at the top' analysis</v>
      </c>
    </row>
    <row r="241">
      <c r="BA241" t="str">
        <f>IFERROR(INDEX('2. Use-Case Library'!$M$5:$M$244,MATCH(240,'2. Use-Case Library'!$O$5:$O$244,0)),"")</f>
        <v>PRO-15 | Methodology &amp; knowledge Q&amp;A</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2026-10-04T06:07:33Z</dcterms:created>
  <dcterms:modified xmlns:dcterms="http://purl.org/dc/terms/" xmlns:xsi="http://www.w3.org/2001/XMLSchema-instance" xsi:type="dcterms:W3CDTF">2026-10-04T06:07:33Z</dcterms:modified>
</cp:coreProperties>
</file>