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Process Library" sheetId="3" state="visible" r:id="rId3"/>
    <sheet xmlns:r="http://schemas.openxmlformats.org/officeDocument/2006/relationships" name="3. AI Fit Diagnostic" sheetId="4" state="visible" r:id="rId4"/>
    <sheet xmlns:r="http://schemas.openxmlformats.org/officeDocument/2006/relationships" name="4. Opportunity Map"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Reference" sheetId="8" state="visible" r:id="rId8"/>
    <sheet xmlns:r="http://schemas.openxmlformats.org/officeDocument/2006/relationships" name="Lists" sheetId="9" state="hidden" r:id="rId9"/>
  </sheets>
  <definedNames>
    <definedName name="_xlnm.Print_Area" localSheetId="0">'Guide'!$A$1:$C$28</definedName>
    <definedName name="_xlnm.Print_Area" localSheetId="1">'1. AI Position'!$A$1:$E$40</definedName>
    <definedName name="_xlnm.Print_Titles" localSheetId="2">'2. Process Library'!$4:$4</definedName>
    <definedName name="_xlnm.Print_Area" localSheetId="2">'2. Process Library'!$A$1:$F$67</definedName>
    <definedName name="_xlnm.Print_Titles" localSheetId="3">'3. AI Fit Diagnostic'!$6:$7</definedName>
    <definedName name="_xlnm.Print_Area" localSheetId="3">'3. AI Fit Diagnostic'!$A$1:$AB$57</definedName>
    <definedName name="_xlnm.Print_Area" localSheetId="4">'4. Opportunity Map'!$A$1:$K$68</definedName>
    <definedName name="_xlnm.Print_Area" localSheetId="5">'5. Roadmap'!$A$1:$G$73</definedName>
    <definedName name="_xlnm.Print_Area" localSheetId="6">'6. Use-Case Canvas'!$A$1:$D$27</definedName>
    <definedName name="_xlnm.Print_Area" localSheetId="7">'Reference'!$A$1:$F$62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color rgb="00000000"/>
      <sz val="8.5"/>
    </font>
    <font>
      <b val="1"/>
      <color rgb="00FFFFFF"/>
      <sz val="8.5"/>
    </font>
    <font>
      <b val="1"/>
      <color rgb="00000000"/>
      <sz val="8.5"/>
    </font>
    <font>
      <b val="1"/>
      <i val="1"/>
      <color rgb="004F2D7F"/>
      <sz val="9.5"/>
    </font>
    <font>
      <color rgb="00000000"/>
      <sz val="8"/>
    </font>
    <font>
      <i val="1"/>
      <color rgb="00595959"/>
      <sz val="8"/>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69">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5" fillId="0" borderId="0" applyAlignment="1" pivotButton="0" quotePrefix="0" xfId="0">
      <alignment vertical="center"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4" fillId="0" borderId="1" applyAlignment="1" pivotButton="0" quotePrefix="0" xfId="0">
      <alignment vertical="top" wrapText="1"/>
    </xf>
    <xf numFmtId="0" fontId="9" fillId="0" borderId="1" applyAlignment="1" pivotButton="0" quotePrefix="0" xfId="0">
      <alignment vertical="top" wrapText="1"/>
    </xf>
    <xf numFmtId="0" fontId="5" fillId="3" borderId="0" applyAlignment="1" pivotButton="0" quotePrefix="0" xfId="0">
      <alignment vertical="center" wrapText="1"/>
    </xf>
    <xf numFmtId="0" fontId="0" fillId="3" borderId="1" pivotButton="0" quotePrefix="0" xfId="0"/>
    <xf numFmtId="0" fontId="4" fillId="6" borderId="1" applyAlignment="1" pivotButton="0" quotePrefix="0" xfId="0">
      <alignment vertical="center" wrapText="1"/>
    </xf>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0" fillId="2" borderId="1" applyAlignment="1" pivotButton="0" quotePrefix="0" xfId="0">
      <alignment horizontal="center" vertical="center" wrapText="1"/>
    </xf>
    <xf numFmtId="0" fontId="10" fillId="8" borderId="1" applyAlignment="1" pivotButton="0" quotePrefix="0" xfId="0">
      <alignment horizontal="center" vertical="center" wrapText="1"/>
    </xf>
    <xf numFmtId="0" fontId="9" fillId="4" borderId="1" applyAlignment="1" pivotButton="0" quotePrefix="0" xfId="0">
      <alignment vertical="top" wrapText="1"/>
    </xf>
    <xf numFmtId="0" fontId="9" fillId="0" borderId="1" applyAlignment="1" pivotButton="0" quotePrefix="0" xfId="0">
      <alignment vertical="center" wrapText="1"/>
    </xf>
    <xf numFmtId="0" fontId="9" fillId="0" borderId="1" applyAlignment="1" pivotButton="0" quotePrefix="0" xfId="0">
      <alignment horizontal="center" vertical="center" wrapText="1"/>
    </xf>
    <xf numFmtId="0" fontId="11" fillId="0" borderId="1" applyAlignment="1" pivotButton="0" quotePrefix="0" xfId="0">
      <alignment vertical="center" wrapText="1"/>
    </xf>
    <xf numFmtId="2" fontId="9" fillId="0" borderId="1" applyAlignment="1" pivotButton="0" quotePrefix="0" xfId="0">
      <alignment horizontal="center" vertical="center" wrapText="1"/>
    </xf>
    <xf numFmtId="0" fontId="11" fillId="0" borderId="1" applyAlignment="1" pivotButton="0" quotePrefix="0" xfId="0">
      <alignment horizontal="center" vertical="center" wrapText="1"/>
    </xf>
    <xf numFmtId="3" fontId="9"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2" fillId="0" borderId="1" applyAlignment="1" pivotButton="0" quotePrefix="0" xfId="0">
      <alignment vertical="top" wrapText="1"/>
    </xf>
    <xf numFmtId="0" fontId="11" fillId="3" borderId="1" applyAlignment="1" pivotButton="0" quotePrefix="0" xfId="0">
      <alignment vertical="center" wrapText="1"/>
    </xf>
    <xf numFmtId="0" fontId="4" fillId="0" borderId="1" applyAlignment="1" pivotButton="0" quotePrefix="0" xfId="0">
      <alignment horizontal="center" vertical="center" wrapText="1"/>
    </xf>
    <xf numFmtId="0" fontId="11" fillId="0" borderId="1" applyAlignment="1" pivotButton="0" quotePrefix="0" xfId="0">
      <alignment vertical="top" wrapText="1"/>
    </xf>
    <xf numFmtId="0" fontId="13" fillId="0" borderId="1" applyAlignment="1" pivotButton="0" quotePrefix="0" xfId="0">
      <alignment vertical="top" wrapText="1"/>
    </xf>
    <xf numFmtId="2" fontId="5" fillId="0" borderId="1" applyAlignment="1" pivotButton="0" quotePrefix="0" xfId="0">
      <alignment horizontal="center" vertical="center" wrapText="1"/>
    </xf>
    <xf numFmtId="0" fontId="14" fillId="0" borderId="1" applyAlignment="1" pivotButton="0" quotePrefix="0" xfId="0">
      <alignment vertical="top" wrapText="1"/>
    </xf>
    <xf numFmtId="0" fontId="11"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15" fillId="4" borderId="1" applyAlignment="1" pivotButton="0" quotePrefix="0" xfId="0">
      <alignment horizontal="center" vertical="center" wrapText="1"/>
    </xf>
    <xf numFmtId="0" fontId="15"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A9D08E"/>
        </patternFill>
      </fill>
    </dxf>
    <dxf>
      <fill>
        <patternFill patternType="solid">
          <fgColor rgb="009BC2E6"/>
        </patternFill>
      </fill>
    </dxf>
    <dxf>
      <fill>
        <patternFill patternType="solid">
          <fgColor rgb="00FFE699"/>
        </patternFill>
      </fill>
    </dxf>
    <dxf>
      <fill>
        <patternFill patternType="solid">
          <fgColor rgb="00F4B183"/>
        </patternFill>
      </fill>
    </dxf>
    <dxf>
      <fill>
        <patternFill patternType="solid">
          <fgColor rgb="00D9D9D9"/>
        </patternFill>
      </fill>
    </dxf>
    <dxf>
      <fill>
        <patternFill patternType="solid">
          <fgColor rgb="00C6E0B4"/>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Map'!C22</f>
            </strRef>
          </tx>
          <spPr>
            <a:solidFill xmlns:a="http://schemas.openxmlformats.org/drawingml/2006/main">
              <a:srgbClr val="A9D08E"/>
            </a:solidFill>
            <a:ln xmlns:a="http://schemas.openxmlformats.org/drawingml/2006/main">
              <a:solidFill>
                <a:srgbClr val="A9D08E"/>
              </a:solidFill>
              <a:prstDash val="solid"/>
            </a:ln>
          </spPr>
          <cat>
            <numRef>
              <f>'4. Opportunity Map'!$B$23:$B$32</f>
            </numRef>
          </cat>
          <val>
            <numRef>
              <f>'4. Opportunity Map'!$C$23:$C$32</f>
            </numRef>
          </val>
        </ser>
        <ser>
          <idx val="1"/>
          <order val="1"/>
          <tx>
            <strRef>
              <f>'4. Opportunity Map'!D22</f>
            </strRef>
          </tx>
          <spPr>
            <a:solidFill xmlns:a="http://schemas.openxmlformats.org/drawingml/2006/main">
              <a:srgbClr val="F4B183"/>
            </a:solidFill>
            <a:ln xmlns:a="http://schemas.openxmlformats.org/drawingml/2006/main">
              <a:solidFill>
                <a:srgbClr val="F4B183"/>
              </a:solidFill>
              <a:prstDash val="solid"/>
            </a:ln>
          </spPr>
          <cat>
            <numRef>
              <f>'4. Opportunity Map'!$B$23:$B$32</f>
            </numRef>
          </cat>
          <val>
            <numRef>
              <f>'4. Opportunity Map'!$D$23:$D$32</f>
            </numRef>
          </val>
        </ser>
        <ser>
          <idx val="2"/>
          <order val="2"/>
          <tx>
            <strRef>
              <f>'4. Opportunity Map'!E22</f>
            </strRef>
          </tx>
          <spPr>
            <a:solidFill xmlns:a="http://schemas.openxmlformats.org/drawingml/2006/main">
              <a:srgbClr val="FFE699"/>
            </a:solidFill>
            <a:ln xmlns:a="http://schemas.openxmlformats.org/drawingml/2006/main">
              <a:solidFill>
                <a:srgbClr val="FFE699"/>
              </a:solidFill>
              <a:prstDash val="solid"/>
            </a:ln>
          </spPr>
          <cat>
            <numRef>
              <f>'4. Opportunity Map'!$B$23:$B$32</f>
            </numRef>
          </cat>
          <val>
            <numRef>
              <f>'4. Opportunity Map'!$E$23:$E$32</f>
            </numRef>
          </val>
        </ser>
        <ser>
          <idx val="3"/>
          <order val="3"/>
          <tx>
            <strRef>
              <f>'4. Opportunity Map'!F22</f>
            </strRef>
          </tx>
          <spPr>
            <a:solidFill xmlns:a="http://schemas.openxmlformats.org/drawingml/2006/main">
              <a:srgbClr val="9BC2E6"/>
            </a:solidFill>
            <a:ln xmlns:a="http://schemas.openxmlformats.org/drawingml/2006/main">
              <a:solidFill>
                <a:srgbClr val="9BC2E6"/>
              </a:solidFill>
              <a:prstDash val="solid"/>
            </a:ln>
          </spPr>
          <cat>
            <numRef>
              <f>'4. Opportunity Map'!$B$23:$B$32</f>
            </numRef>
          </cat>
          <val>
            <numRef>
              <f>'4. Opportunity Map'!$F$23:$F$32</f>
            </numRef>
          </val>
        </ser>
        <ser>
          <idx val="4"/>
          <order val="4"/>
          <tx>
            <strRef>
              <f>'4. Opportunity Map'!G22</f>
            </strRef>
          </tx>
          <spPr>
            <a:solidFill xmlns:a="http://schemas.openxmlformats.org/drawingml/2006/main">
              <a:srgbClr val="D9D9D9"/>
            </a:solidFill>
            <a:ln xmlns:a="http://schemas.openxmlformats.org/drawingml/2006/main">
              <a:solidFill>
                <a:srgbClr val="D9D9D9"/>
              </a:solidFill>
              <a:prstDash val="solid"/>
            </a:ln>
          </spPr>
          <cat>
            <numRef>
              <f>'4. Opportunity Map'!$B$23:$B$32</f>
            </numRef>
          </cat>
          <val>
            <numRef>
              <f>'4. Opportunity Map'!$G$23:$G$32</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34</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28"/>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what kind of work is it, which solution family fits (digitise, automate, off-the-shelf AI, configured AI, custom / agentic AI), is the data there, and what is the risk tier?</t>
        </is>
      </c>
    </row>
    <row r="7" ht="44" customHeight="1">
      <c r="B7" s="4" t="inlineStr">
        <is>
          <t>3. What should be done first?</t>
        </is>
      </c>
      <c r="C7" s="5" t="inlineStr">
        <is>
          <t>Value x feasibility, risk-adjusted priority, horizon (H1 / H2 / H3), opportunity map, roadmap lanes and one-page use-case canvases.</t>
        </is>
      </c>
    </row>
    <row r="8" ht="44" customHeight="1">
      <c r="B8" s="4" t="inlineStr">
        <is>
          <t>Not a readiness test</t>
        </is>
      </c>
      <c r="C8" s="5" t="inlineStr">
        <is>
          <t>Governance and capability maturity are measured by the GT AI Readiness &amp; Risk Assessment (AI Ready7-based). This toolkit does not score readiness - it locates the opportunities and the right type of solution for each.</t>
        </is>
      </c>
    </row>
    <row r="10" ht="22" customHeight="1">
      <c r="B10" s="3" t="inlineStr">
        <is>
          <t>HOW TO USE IT (WORKSHOP SEQUENCE)</t>
        </is>
      </c>
    </row>
    <row r="11" ht="34" customHeight="1">
      <c r="B11" s="4" t="inlineStr">
        <is>
          <t>1. AI Position</t>
        </is>
      </c>
      <c r="C11" s="5" t="inlineStr">
        <is>
          <t>Answer 12 questions with leadership, IT and finance (about 30 minutes). Data Position and Scale &amp; Capacity scores place the organisation in an archetype.</t>
        </is>
      </c>
    </row>
    <row r="12" ht="34" customHeight="1">
      <c r="B12" s="4" t="inlineStr">
        <is>
          <t>2. Process Library</t>
        </is>
      </c>
      <c r="C12" s="5" t="inlineStr">
        <is>
          <t>Use the 60+ cross-industry and sector processes (Bahrain priority sectors) as prompts in discovery workshops with each function.</t>
        </is>
      </c>
    </row>
    <row r="13" ht="34" customHeight="1">
      <c r="B13" s="4" t="inlineStr">
        <is>
          <t>3. AI Fit Diagnostic</t>
        </is>
      </c>
      <c r="C13" s="5" t="inlineStr">
        <is>
          <t>List up to 50 processes / pain points and answer 10 inputs each (yellow cells). Solution family, data gate, verdict, value, feasibility, risk tier, quadrant, priority rank, horizon and indicative hours saved calculate automatically.</t>
        </is>
      </c>
    </row>
    <row r="14" ht="34" customHeight="1">
      <c r="B14" s="4" t="inlineStr">
        <is>
          <t>4. Opportunity Map</t>
        </is>
      </c>
      <c r="C14" s="5" t="inlineStr">
        <is>
          <t>Where AI fits by function, the verdict mix, hours released and the top 10 ranked opportunities - the headline output for the client.</t>
        </is>
      </c>
    </row>
    <row r="15" ht="34" customHeight="1">
      <c r="B15" s="4" t="inlineStr">
        <is>
          <t>5. Roadmap</t>
        </is>
      </c>
      <c r="C15" s="5" t="inlineStr">
        <is>
          <t>Opportunities placed automatically in H1 / H2 / H3 lanes plus the enabling foundations they depend on.</t>
        </is>
      </c>
    </row>
    <row r="16" ht="34" customHeight="1">
      <c r="B16" s="4" t="inlineStr">
        <is>
          <t>6. Use-Case Canvas</t>
        </is>
      </c>
      <c r="C16" s="5" t="inlineStr">
        <is>
          <t>Pick an opportunity number; a one-page canvas is produced (solution, data, risk tier, minimum controls, KPIs, next step) for sign-off.</t>
        </is>
      </c>
    </row>
    <row r="17" ht="34" customHeight="1">
      <c r="B17" s="4" t="inlineStr">
        <is>
          <t>Reference</t>
        </is>
      </c>
      <c r="C17" s="5" t="inlineStr">
        <is>
          <t>Solution families, archetypes, verdicts, minimum controls by risk tier and the standards behind each step.</t>
        </is>
      </c>
    </row>
    <row r="18" ht="34" customHeight="1">
      <c r="B18" s="4" t="inlineStr">
        <is>
          <t>Colour legend</t>
        </is>
      </c>
      <c r="C18" s="5" t="inlineStr">
        <is>
          <t>Yellow = input  |  Purple / lavender = header or calculated  |  Verdict colours: green = AI fit now, blue = automate, yellow = data gap, orange = stretch, grey = redesign first</t>
        </is>
      </c>
    </row>
    <row r="20" ht="22" customHeight="1">
      <c r="B20" s="3" t="inlineStr">
        <is>
          <t>DECISION LOGIC (SUMMARY)</t>
        </is>
      </c>
    </row>
    <row r="21" ht="32" customHeight="1">
      <c r="B21" s="4" t="inlineStr">
        <is>
          <t>Solution family</t>
        </is>
      </c>
      <c r="C21" s="5" t="inlineStr">
        <is>
          <t>Determined by the nature of the task (10 task types, ISO/IEC 22989 / OECD-based). Each family has a complexity level 1-5 and a minimum data requirement.</t>
        </is>
      </c>
    </row>
    <row r="22" ht="32" customHeight="1">
      <c r="B22" s="4" t="inlineStr">
        <is>
          <t>Data gate</t>
        </is>
      </c>
      <c r="C22" s="5" t="inlineStr">
        <is>
          <t>Data available for the process &gt;= the family's minimum requirement -&gt; 'Data ready', otherwise 'Data gap'.</t>
        </is>
      </c>
    </row>
    <row r="23" ht="32" customHeight="1">
      <c r="B23" s="4" t="inlineStr">
        <is>
          <t>Organisational fit</t>
        </is>
      </c>
      <c r="C23" s="5" t="inlineStr">
        <is>
          <t>Family level &lt;= the archetype's ceiling -&gt; 'Within current position', otherwise 'Beyond current position'.</t>
        </is>
      </c>
    </row>
    <row r="24" ht="32" customHeight="1">
      <c r="B24" s="4" t="inlineStr">
        <is>
          <t>Verdict (in order)</t>
        </is>
      </c>
      <c r="C24" s="5" t="inlineStr">
        <is>
          <t>Process not standardised -&gt; Redesign first;  family needs no AI -&gt; Automate;  data gap -&gt; AI later;  beyond position -&gt; Stretch;  otherwise -&gt; AI fit now.</t>
        </is>
      </c>
    </row>
    <row r="25" ht="32" customHeight="1">
      <c r="B25" s="4" t="inlineStr">
        <is>
          <t>Value (1-5)</t>
        </is>
      </c>
      <c r="C25" s="5" t="inlineStr">
        <is>
          <t>30% volume + 25% effort (hours / month) + 25% strategic importance + 20% customer / quality impact.</t>
        </is>
      </c>
    </row>
    <row r="26" ht="32" customHeight="1">
      <c r="B26" s="4" t="inlineStr">
        <is>
          <t>Feasibility (1-5)</t>
        </is>
      </c>
      <c r="C26" s="5" t="inlineStr">
        <is>
          <t>30% data fit + 25% process standardisation + 25% solution simplicity + 20% organisational fit.</t>
        </is>
      </c>
    </row>
    <row r="27" ht="32" customHeight="1">
      <c r="B27" s="4" t="inlineStr">
        <is>
          <t>Risk tier</t>
        </is>
      </c>
      <c r="C27" s="5" t="inlineStr">
        <is>
          <t>AIAF-style inherent risk: affects individuals' rights / access (+2), personal or confidential data (+1), autonomy (+0 to +2), customer / quality impact of errors (+1 if 4, +2 if 5). 4+ = High, 2-3 = Medium, 0-1 = Low; non-AI automation is Low unless it affects individuals.</t>
        </is>
      </c>
    </row>
    <row r="28" ht="32" customHeight="1">
      <c r="B28" s="4" t="inlineStr">
        <is>
          <t>Priority</t>
        </is>
      </c>
      <c r="C28" s="5" t="inlineStr">
        <is>
          <t>Value x Feasibility, reduced 15% for High risk and 20% where the process must be redesigned first. Ranked 1..n.</t>
        </is>
      </c>
    </row>
  </sheetData>
  <mergeCells count="5">
    <mergeCell ref="A1:C1"/>
    <mergeCell ref="B20:C20"/>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one answer per question (yellow). This screen does not measure governance maturity.</t>
        </is>
      </c>
    </row>
    <row r="4">
      <c r="A4" s="6" t="inlineStr"/>
      <c r="B4" s="4" t="inlineStr">
        <is>
          <t>Organisation</t>
        </is>
      </c>
      <c r="C4" s="7" t="inlineStr"/>
      <c r="D4" s="8" t="n"/>
    </row>
    <row r="5">
      <c r="A5" s="6" t="inlineStr"/>
      <c r="B5" s="4" t="inlineStr">
        <is>
          <t>Sector</t>
        </is>
      </c>
      <c r="C5" s="7" t="inlineStr"/>
      <c r="D5" s="8" t="n"/>
    </row>
    <row r="6">
      <c r="A6" s="6" t="inlineStr"/>
      <c r="B6" s="4" t="inlineStr">
        <is>
          <t>Scope of discovery</t>
        </is>
      </c>
      <c r="C6" s="7" t="inlineStr"/>
      <c r="D6" s="8" t="n"/>
    </row>
    <row r="7">
      <c r="A7" s="6" t="inlineStr"/>
      <c r="B7" s="4" t="inlineStr">
        <is>
          <t>Assessment date</t>
        </is>
      </c>
      <c r="C7" s="7" t="inlineStr"/>
      <c r="D7" s="8" t="n"/>
    </row>
    <row r="8">
      <c r="A8" s="6" t="inlineStr"/>
      <c r="B8" s="4" t="inlineStr">
        <is>
          <t>Facilitated by</t>
        </is>
      </c>
      <c r="C8" s="7" t="inlineStr"/>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c r="D12" s="13" t="inlineStr">
        <is>
          <t>Think of the 3-5 processes that generate most of your revenue or workload.</t>
        </is>
      </c>
      <c r="E12" s="14" t="str">
        <f>IFERROR(MATCH(C12,Lists!$S$2:$S$5,0),"")</f>
        <v/>
      </c>
    </row>
    <row r="13" ht="42" customHeight="1">
      <c r="A13" s="11" t="inlineStr">
        <is>
          <t>D2</t>
        </is>
      </c>
      <c r="B13" s="5" t="inlineStr">
        <is>
          <t>How much digital history do you keep for your core activities (transactions, customers, cases, operations)?</t>
        </is>
      </c>
      <c r="C13" s="12" t="inlineStr"/>
      <c r="D13" s="13" t="inlineStr">
        <is>
          <t>AI that predicts, scores or detects patterns learns from history.</t>
        </is>
      </c>
      <c r="E13" s="14" t="str">
        <f>IFERROR(MATCH(C13,Lists!$T$2:$T$5,0),"")</f>
        <v/>
      </c>
    </row>
    <row r="14" ht="42" customHeight="1">
      <c r="A14" s="11" t="inlineStr">
        <is>
          <t>D3</t>
        </is>
      </c>
      <c r="B14" s="5" t="inlineStr">
        <is>
          <t>How reliable is that data, and does it have owners?</t>
        </is>
      </c>
      <c r="C14" s="12" t="inlineStr"/>
      <c r="D14" s="13" t="inlineStr">
        <is>
          <t>Data quality and ownership - ISO/IEC 5259 / ISO/IEC 42001 Annex A.7.</t>
        </is>
      </c>
      <c r="E14" s="14" t="str">
        <f>IFERROR(MATCH(C14,Lists!$U$2:$U$5,0),"")</f>
        <v/>
      </c>
    </row>
    <row r="15" ht="42" customHeight="1">
      <c r="A15" s="11" t="inlineStr">
        <is>
          <t>D4</t>
        </is>
      </c>
      <c r="B15" s="5" t="inlineStr">
        <is>
          <t>Where do your documents and knowledge live (contracts, policies, reports, emails, manuals)?</t>
        </is>
      </c>
      <c r="C15" s="12" t="inlineStr"/>
      <c r="D15" s="13" t="inlineStr">
        <is>
          <t>Generative AI and knowledge assistants work on documents rather than tables.</t>
        </is>
      </c>
      <c r="E15" s="14" t="str">
        <f>IFERROR(MATCH(C15,Lists!$V$2:$V$5,0),"")</f>
        <v/>
      </c>
    </row>
    <row r="16" ht="42" customHeight="1">
      <c r="A16" s="11" t="inlineStr">
        <is>
          <t>D5</t>
        </is>
      </c>
      <c r="B16" s="5" t="inlineStr">
        <is>
          <t>Can data move between your systems?</t>
        </is>
      </c>
      <c r="C16" s="12" t="inlineStr"/>
      <c r="D16" s="13" t="inlineStr">
        <is>
          <t>Integration determines whether AI outputs can be used inside the workflow.</t>
        </is>
      </c>
      <c r="E16" s="14" t="str">
        <f>IFERROR(MATCH(C16,Lists!$W$2:$W$5,0),"")</f>
        <v/>
      </c>
    </row>
    <row r="17" ht="42" customHeight="1">
      <c r="A17" s="11" t="inlineStr">
        <is>
          <t>D6</t>
        </is>
      </c>
      <c r="B17" s="5" t="inlineStr">
        <is>
          <t>Do you record outcomes against your data (e.g., fraud confirmed, claim paid, customer churned, invoice disputed)?</t>
        </is>
      </c>
      <c r="C17" s="12" t="inlineStr"/>
      <c r="D17" s="13" t="inlineStr">
        <is>
          <t>Recorded outcomes ('labels') are what supervised machine learning needs.</t>
        </is>
      </c>
      <c r="E17" s="14" t="str">
        <f>IFERROR(MATCH(C17,Lists!$X$2:$X$5,0),"")</f>
        <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c r="D19" s="13" t="inlineStr">
        <is>
          <t>Scale drives the size of the prize and what can be sustained.</t>
        </is>
      </c>
      <c r="E19" s="14" t="str">
        <f>IFERROR(MATCH(C19,Lists!$Y$2:$Y$5,0),"")</f>
        <v/>
      </c>
    </row>
    <row r="20" ht="42" customHeight="1">
      <c r="A20" s="11" t="inlineStr">
        <is>
          <t>S2</t>
        </is>
      </c>
      <c r="B20" s="5" t="inlineStr">
        <is>
          <t>How many repetitive transactions / cases does your largest process handle per month?</t>
        </is>
      </c>
      <c r="C20" s="12" t="inlineStr"/>
      <c r="D20" s="13" t="inlineStr">
        <is>
          <t>e.g., invoices, applications, claims, customer requests, bookings.</t>
        </is>
      </c>
      <c r="E20" s="14" t="str">
        <f>IFERROR(MATCH(C20,Lists!$Z$2:$Z$5,0),"")</f>
        <v/>
      </c>
    </row>
    <row r="21" ht="42" customHeight="1">
      <c r="A21" s="11" t="inlineStr">
        <is>
          <t>S3</t>
        </is>
      </c>
      <c r="B21" s="5" t="inlineStr">
        <is>
          <t>What technology capability do you have in-house?</t>
        </is>
      </c>
      <c r="C21" s="12" t="inlineStr"/>
      <c r="D21" s="13" t="inlineStr">
        <is>
          <t>Who would configure, integrate and run a solution?</t>
        </is>
      </c>
      <c r="E21" s="14" t="str">
        <f>IFERROR(MATCH(C21,Lists!$AA$2:$AA$5,0),"")</f>
        <v/>
      </c>
    </row>
    <row r="22" ht="42" customHeight="1">
      <c r="A22" s="11" t="inlineStr">
        <is>
          <t>S4</t>
        </is>
      </c>
      <c r="B22" s="5" t="inlineStr">
        <is>
          <t>What budget could be made available for digital / AI initiatives in the next 12 months?</t>
        </is>
      </c>
      <c r="C22" s="12" t="inlineStr"/>
      <c r="D22" s="13" t="inlineStr">
        <is>
          <t>Indicative only - used to size the type of solution that is realistic.</t>
        </is>
      </c>
      <c r="E22" s="14" t="str">
        <f>IFERROR(MATCH(C22,Lists!$AB$2:$AB$5,0),"")</f>
        <v/>
      </c>
    </row>
    <row r="23" ht="42" customHeight="1">
      <c r="A23" s="11" t="inlineStr">
        <is>
          <t>S5</t>
        </is>
      </c>
      <c r="B23" s="5" t="inlineStr">
        <is>
          <t>How many customer / citizen interactions do you handle through digital channels?</t>
        </is>
      </c>
      <c r="C23" s="12" t="inlineStr"/>
      <c r="D23" s="13" t="inlineStr">
        <is>
          <t>Web, app, email, WhatsApp, call centre.</t>
        </is>
      </c>
      <c r="E23" s="14" t="str">
        <f>IFERROR(MATCH(C23,Lists!$AC$2:$AC$5,0),"")</f>
        <v/>
      </c>
    </row>
    <row r="24" ht="42" customHeight="1">
      <c r="A24" s="11" t="inlineStr">
        <is>
          <t>S6</t>
        </is>
      </c>
      <c r="B24" s="5" t="inlineStr">
        <is>
          <t>What capacity do you have to run change projects alongside day-to-day work?</t>
        </is>
      </c>
      <c r="C24" s="12" t="inlineStr"/>
      <c r="D24" s="13" t="inlineStr">
        <is>
          <t>Leadership bandwidth, project management, change management.</t>
        </is>
      </c>
      <c r="E24" s="14" t="str">
        <f>IFERROR(MATCH(C24,Lists!$AD$2:$AD$5,0),"")</f>
        <v/>
      </c>
    </row>
    <row r="26" ht="22" customHeight="1">
      <c r="A26" s="3" t="inlineStr">
        <is>
          <t>RESULT - AI POSITION</t>
        </is>
      </c>
    </row>
    <row r="27" ht="20" customHeight="1">
      <c r="B27" s="4" t="inlineStr">
        <is>
          <t>Answered</t>
        </is>
      </c>
      <c r="C27" s="5" t="str">
        <f>COUNT(E12,E13,E14,E15,E16,E17)+COUNT(E19,E20,E21,E22,E23,E24)&amp;" of 12"</f>
        <v>0 of 12</v>
      </c>
      <c r="D27" s="15" t="n"/>
      <c r="E27" s="15" t="n"/>
    </row>
    <row r="28" ht="20" customHeight="1">
      <c r="B28" s="4" t="inlineStr">
        <is>
          <t>Data Position score</t>
        </is>
      </c>
      <c r="C28" s="16" t="str">
        <f>IF(COUNT(E12,E13,E14,E15,E16,E17)=6,(N(E12)+N(E13)+N(E14)+N(E15)+N(E16)+N(E17)-6)/18,"")</f>
        <v/>
      </c>
      <c r="D28" s="15" t="n"/>
      <c r="E28" s="15" t="n"/>
    </row>
    <row r="29" ht="20" customHeight="1">
      <c r="B29" s="4" t="inlineStr">
        <is>
          <t>Scale &amp; Capacity score</t>
        </is>
      </c>
      <c r="C29" s="16" t="str">
        <f>IF(COUNT(E19,E20,E21,E22,E23,E24)=6,(N(E19)+N(E20)+N(E21)+N(E22)+N(E23)+N(E24)-6)/18,"")</f>
        <v/>
      </c>
      <c r="D29" s="15" t="n"/>
      <c r="E29" s="15" t="n"/>
    </row>
    <row r="30" ht="20" customHeight="1">
      <c r="B30" s="4" t="inlineStr">
        <is>
          <t>Archetype</t>
        </is>
      </c>
      <c r="C30" s="5" t="str">
        <f>IF(OR(C28="",C29=""),"",IF(C28&lt;0.5,IF(C29&lt;0.5,1,2),IF(C29&lt;0.5,3,4)))</f>
        <v/>
      </c>
      <c r="D30" s="15" t="n"/>
      <c r="E30" s="15" t="n"/>
    </row>
    <row r="31" ht="20" customHeight="1">
      <c r="B31" s="4" t="inlineStr">
        <is>
          <t>AI position</t>
        </is>
      </c>
      <c r="C31" s="17" t="str">
        <f>IF(C30="","Complete all 12 questions",INDEX(Lists!$AH$2:$AH$5,C30))</f>
        <v>Complete all 12 questions</v>
      </c>
      <c r="D31" s="18" t="n"/>
      <c r="E31" s="18" t="n"/>
    </row>
    <row r="32" ht="20" customHeight="1">
      <c r="B32" s="4" t="inlineStr">
        <is>
          <t>Solution ceiling today</t>
        </is>
      </c>
      <c r="C32" s="19" t="str">
        <f>IF(C30="","",INDEX(Lists!$AI$2:$AI$5,C30)&amp;" - "&amp;INDEX(Lists!$AM$2:$AM$6,INDEX(Lists!$AI$2:$AI$5,C30)))</f>
        <v/>
      </c>
      <c r="D32" s="18" t="n"/>
      <c r="E32" s="18" t="n"/>
    </row>
    <row r="33" ht="44" customHeight="1">
      <c r="B33" s="4" t="inlineStr">
        <is>
          <t>What it means</t>
        </is>
      </c>
      <c r="C33" s="5" t="str">
        <f>IF(C30="","",INDEX(Lists!$AJ$2:$AJ$5,C30))</f>
        <v/>
      </c>
      <c r="D33" s="15" t="n"/>
      <c r="E33" s="15" t="n"/>
    </row>
    <row r="34" ht="58" customHeight="1">
      <c r="B34" s="4" t="inlineStr">
        <is>
          <t>Detail</t>
        </is>
      </c>
      <c r="C34" s="5" t="str">
        <f>IF(C30="","",INDEX(Lists!$AK$2:$AK$5,C30))</f>
        <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A38" s="20" t="inlineStr"/>
      <c r="B38" s="21" t="inlineStr">
        <is>
          <t>Data Position HIGH  (&gt;= 50%)</t>
        </is>
      </c>
      <c r="C38" s="22" t="inlineStr">
        <is>
          <t>C. Buy and configure AI
Good data, limited scale / capacity: adopt and configure proven AI products rather than build.</t>
        </is>
      </c>
      <c r="D38" s="22" t="inlineStr">
        <is>
          <t>D. Build and scale AI
Data and scale support custom AI: build a portfolio, including advanced analytics and governed agentic AI.</t>
        </is>
      </c>
    </row>
    <row r="39" ht="66" customHeight="1">
      <c r="B39" s="21" t="inlineStr">
        <is>
          <t>Data Position LOW  (&lt; 50%)</t>
        </is>
      </c>
      <c r="C39" s="22" t="inlineStr">
        <is>
          <t>A. Automation is enough - for now
Digitise and automate first; use AI that is already built into everyday tools.</t>
        </is>
      </c>
      <c r="D39" s="22" t="inlineStr">
        <is>
          <t>B. Data foundations first
Scale is there but the data is not: fix data foundations while automating and adopting off-the-shelf AI.</t>
        </is>
      </c>
    </row>
    <row r="40" ht="22" customHeight="1">
      <c r="C40" s="21" t="inlineStr">
        <is>
          <t>Scale &amp; Capacity LOW  (&lt; 50%)</t>
        </is>
      </c>
      <c r="D40" s="21"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=Lists!$Q$2:$Q$15</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7"/>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40" customWidth="1" min="3" max="3"/>
    <col width="40" customWidth="1" min="4" max="4"/>
    <col width="46" customWidth="1" min="5" max="5"/>
    <col width="30" customWidth="1" min="6" max="6"/>
  </cols>
  <sheetData>
    <row r="1" ht="32" customHeight="1">
      <c r="A1" s="1" t="inlineStr">
        <is>
          <t>2. Process Library - discovery prompts</t>
        </is>
      </c>
    </row>
    <row r="2" ht="32" customHeight="1">
      <c r="A2" s="2" t="inlineStr">
        <is>
          <t>Cross-industry processes (APQC-style functions) plus Bahrain priority-sector processes. Use in workshops as prompts; copy relevant processes into the AI Fit Diagnostic and adapt the pain point. The suggested task nature is typical - confirm it with the process owner.</t>
        </is>
      </c>
    </row>
    <row r="4">
      <c r="A4" s="9" t="inlineStr">
        <is>
          <t>#</t>
        </is>
      </c>
      <c r="B4" s="9" t="inlineStr">
        <is>
          <t>Function</t>
        </is>
      </c>
      <c r="C4" s="9" t="inlineStr">
        <is>
          <t>Process / activity</t>
        </is>
      </c>
      <c r="D4" s="9" t="inlineStr">
        <is>
          <t>Typical pain point</t>
        </is>
      </c>
      <c r="E4" s="9" t="inlineStr">
        <is>
          <t>Typical task nature -&gt; solution family</t>
        </is>
      </c>
      <c r="F4" s="9" t="inlineStr">
        <is>
          <t>Typical sectors</t>
        </is>
      </c>
    </row>
    <row r="5" ht="30" customHeight="1">
      <c r="A5" s="22" t="n">
        <v>1</v>
      </c>
      <c r="B5" s="5" t="inlineStr">
        <is>
          <t>Finance &amp; accounting</t>
        </is>
      </c>
      <c r="C5" s="23" t="inlineStr">
        <is>
          <t>Supplier invoice processing (AP)</t>
        </is>
      </c>
      <c r="D5" s="5" t="inlineStr">
        <is>
          <t>Manual keying of invoices from PDF / email into the ERP</t>
        </is>
      </c>
      <c r="E5" s="24" t="inlineStr">
        <is>
          <t>Extract information from documents, forms or emails  -&gt;  Intelligent document processing (IDP)</t>
        </is>
      </c>
      <c r="F5" s="24" t="inlineStr">
        <is>
          <t>All</t>
        </is>
      </c>
    </row>
    <row r="6" ht="30" customHeight="1">
      <c r="A6" s="22" t="n">
        <v>2</v>
      </c>
      <c r="B6" s="5" t="inlineStr">
        <is>
          <t>Finance &amp; accounting</t>
        </is>
      </c>
      <c r="C6" s="23" t="inlineStr">
        <is>
          <t>Three-way match and payment approval</t>
        </is>
      </c>
      <c r="D6" s="5" t="inlineStr">
        <is>
          <t>Checking PO, GRN and invoice by hand</t>
        </is>
      </c>
      <c r="E6" s="24" t="inlineStr">
        <is>
          <t>Check or approve items against fixed criteria (rules, thresholds, checklists)  -&gt;  Rules engine / workflow automation</t>
        </is>
      </c>
      <c r="F6" s="24" t="inlineStr">
        <is>
          <t>All</t>
        </is>
      </c>
    </row>
    <row r="7" ht="30" customHeight="1">
      <c r="A7" s="22" t="n">
        <v>3</v>
      </c>
      <c r="B7" s="5" t="inlineStr">
        <is>
          <t>Finance &amp; accounting</t>
        </is>
      </c>
      <c r="C7" s="23" t="inlineStr">
        <is>
          <t>Bank and intercompany reconciliations</t>
        </is>
      </c>
      <c r="D7" s="5" t="inlineStr">
        <is>
          <t>Spreadsheet-based matching each month</t>
        </is>
      </c>
      <c r="E7" s="24" t="inlineStr">
        <is>
          <t>Produce reports, dashboards or reconciliations from existing data  -&gt;  BI, dashboards &amp; reconciliation automation</t>
        </is>
      </c>
      <c r="F7" s="24" t="inlineStr">
        <is>
          <t>All</t>
        </is>
      </c>
    </row>
    <row r="8" ht="30" customHeight="1">
      <c r="A8" s="22" t="n">
        <v>4</v>
      </c>
      <c r="B8" s="5" t="inlineStr">
        <is>
          <t>Finance &amp; accounting</t>
        </is>
      </c>
      <c r="C8" s="23" t="inlineStr">
        <is>
          <t>Month-end close and management reporting</t>
        </is>
      </c>
      <c r="D8" s="5" t="inlineStr">
        <is>
          <t>Late, manual report packs</t>
        </is>
      </c>
      <c r="E8" s="24" t="inlineStr">
        <is>
          <t>Produce reports, dashboards or reconciliations from existing data  -&gt;  BI, dashboards &amp; reconciliation automation</t>
        </is>
      </c>
      <c r="F8" s="24" t="inlineStr">
        <is>
          <t>All</t>
        </is>
      </c>
    </row>
    <row r="9" ht="30" customHeight="1">
      <c r="A9" s="22" t="n">
        <v>5</v>
      </c>
      <c r="B9" s="5" t="inlineStr">
        <is>
          <t>Finance &amp; accounting</t>
        </is>
      </c>
      <c r="C9" s="23" t="inlineStr">
        <is>
          <t>Expense claims</t>
        </is>
      </c>
      <c r="D9" s="5" t="inlineStr">
        <is>
          <t>Receipt checking and policy compliance</t>
        </is>
      </c>
      <c r="E9" s="24" t="inlineStr">
        <is>
          <t>Extract information from documents, forms or emails  -&gt;  Intelligent document processing (IDP)</t>
        </is>
      </c>
      <c r="F9" s="24" t="inlineStr">
        <is>
          <t>All</t>
        </is>
      </c>
    </row>
    <row r="10" ht="30" customHeight="1">
      <c r="A10" s="22" t="n">
        <v>6</v>
      </c>
      <c r="B10" s="5" t="inlineStr">
        <is>
          <t>Finance &amp; accounting</t>
        </is>
      </c>
      <c r="C10" s="23" t="inlineStr">
        <is>
          <t>Cash-flow forecasting</t>
        </is>
      </c>
      <c r="D10" s="5" t="inlineStr">
        <is>
          <t>Forecasts in spreadsheets, poor accuracy</t>
        </is>
      </c>
      <c r="E10" s="24" t="inlineStr">
        <is>
          <t>Forecast, score, classify or detect anomalies from historical data  -&gt;  Predictive analytics / machine learning</t>
        </is>
      </c>
      <c r="F10" s="24" t="inlineStr">
        <is>
          <t>All</t>
        </is>
      </c>
    </row>
    <row r="11" ht="30" customHeight="1">
      <c r="A11" s="22" t="n">
        <v>7</v>
      </c>
      <c r="B11" s="5" t="inlineStr">
        <is>
          <t>Finance &amp; accounting</t>
        </is>
      </c>
      <c r="C11" s="23" t="inlineStr">
        <is>
          <t>Credit control and collections</t>
        </is>
      </c>
      <c r="D11" s="5" t="inlineStr">
        <is>
          <t>Chasing overdue invoices manually</t>
        </is>
      </c>
      <c r="E11" s="24" t="inlineStr">
        <is>
          <t>Move or re-key data between systems following fixed rules  -&gt;  Workflow automation / RPA</t>
        </is>
      </c>
      <c r="F11" s="24" t="inlineStr">
        <is>
          <t>All</t>
        </is>
      </c>
    </row>
    <row r="12" ht="30" customHeight="1">
      <c r="A12" s="22" t="n">
        <v>8</v>
      </c>
      <c r="B12" s="5" t="inlineStr">
        <is>
          <t>Finance &amp; accounting</t>
        </is>
      </c>
      <c r="C12" s="23" t="inlineStr">
        <is>
          <t>VAT return preparation</t>
        </is>
      </c>
      <c r="D12" s="5" t="inlineStr">
        <is>
          <t>Collating transactions and VAT codes manually</t>
        </is>
      </c>
      <c r="E12" s="24" t="inlineStr">
        <is>
          <t>Move or re-key data between systems following fixed rules  -&gt;  Workflow automation / RPA</t>
        </is>
      </c>
      <c r="F12" s="24" t="inlineStr">
        <is>
          <t>All</t>
        </is>
      </c>
    </row>
    <row r="13" ht="30" customHeight="1">
      <c r="A13" s="22" t="n">
        <v>9</v>
      </c>
      <c r="B13" s="5" t="inlineStr">
        <is>
          <t>Finance &amp; accounting</t>
        </is>
      </c>
      <c r="C13" s="23" t="inlineStr">
        <is>
          <t>Financial statements and disclosure drafting</t>
        </is>
      </c>
      <c r="D13" s="5" t="inlineStr">
        <is>
          <t>Mapping trial balance and drafting notes manually</t>
        </is>
      </c>
      <c r="E13" s="24" t="inlineStr">
        <is>
          <t>Draft, summarise, translate or review text  -&gt;  Generative AI assistant (off-the-shelf)</t>
        </is>
      </c>
      <c r="F13" s="24" t="inlineStr">
        <is>
          <t>All</t>
        </is>
      </c>
    </row>
    <row r="14" ht="30" customHeight="1">
      <c r="A14" s="22" t="n">
        <v>10</v>
      </c>
      <c r="B14" s="5" t="inlineStr">
        <is>
          <t>HR &amp; people</t>
        </is>
      </c>
      <c r="C14" s="23" t="inlineStr">
        <is>
          <t>Recruitment - CV screening and shortlisting</t>
        </is>
      </c>
      <c r="D14" s="5" t="inlineStr">
        <is>
          <t>High application volumes, slow shortlisting</t>
        </is>
      </c>
      <c r="E14" s="24" t="inlineStr">
        <is>
          <t>Forecast, score, classify or detect anomalies from historical data  -&gt;  Predictive analytics / machine learning</t>
        </is>
      </c>
      <c r="F14" s="24" t="inlineStr">
        <is>
          <t>All</t>
        </is>
      </c>
    </row>
    <row r="15" ht="30" customHeight="1">
      <c r="A15" s="22" t="n">
        <v>11</v>
      </c>
      <c r="B15" s="5" t="inlineStr">
        <is>
          <t>HR &amp; people</t>
        </is>
      </c>
      <c r="C15" s="23" t="inlineStr">
        <is>
          <t>Employee HR queries (leave, policies, payslips)</t>
        </is>
      </c>
      <c r="D15" s="5" t="inlineStr">
        <is>
          <t>HR team answering the same questions</t>
        </is>
      </c>
      <c r="E15" s="24" t="inlineStr">
        <is>
          <t>Converse with customers, citizens or staff (chat, voice, WhatsApp)  -&gt;  Conversational AI / virtual agent</t>
        </is>
      </c>
      <c r="F15" s="24" t="inlineStr">
        <is>
          <t>All</t>
        </is>
      </c>
    </row>
    <row r="16" ht="30" customHeight="1">
      <c r="A16" s="22" t="n">
        <v>12</v>
      </c>
      <c r="B16" s="5" t="inlineStr">
        <is>
          <t>HR &amp; people</t>
        </is>
      </c>
      <c r="C16" s="23" t="inlineStr">
        <is>
          <t>Onboarding and offboarding</t>
        </is>
      </c>
      <c r="D16" s="5" t="inlineStr">
        <is>
          <t>Many hand-offs across HR, IT and facilities</t>
        </is>
      </c>
      <c r="E16" s="24" t="inlineStr">
        <is>
          <t>Move or re-key data between systems following fixed rules  -&gt;  Workflow automation / RPA</t>
        </is>
      </c>
      <c r="F16" s="24" t="inlineStr">
        <is>
          <t>All</t>
        </is>
      </c>
    </row>
    <row r="17" ht="30" customHeight="1">
      <c r="A17" s="22" t="n">
        <v>13</v>
      </c>
      <c r="B17" s="5" t="inlineStr">
        <is>
          <t>HR &amp; people</t>
        </is>
      </c>
      <c r="C17" s="23" t="inlineStr">
        <is>
          <t>Payroll inputs and validation</t>
        </is>
      </c>
      <c r="D17" s="5" t="inlineStr">
        <is>
          <t>Manual collation of attendance and allowances</t>
        </is>
      </c>
      <c r="E17" s="24" t="inlineStr">
        <is>
          <t>Check or approve items against fixed criteria (rules, thresholds, checklists)  -&gt;  Rules engine / workflow automation</t>
        </is>
      </c>
      <c r="F17" s="24" t="inlineStr">
        <is>
          <t>All</t>
        </is>
      </c>
    </row>
    <row r="18" ht="30" customHeight="1">
      <c r="A18" s="22" t="n">
        <v>14</v>
      </c>
      <c r="B18" s="5" t="inlineStr">
        <is>
          <t>HR &amp; people</t>
        </is>
      </c>
      <c r="C18" s="23" t="inlineStr">
        <is>
          <t>Job descriptions, policies and training content</t>
        </is>
      </c>
      <c r="D18" s="5" t="inlineStr">
        <is>
          <t>Time-consuming drafting</t>
        </is>
      </c>
      <c r="E18" s="24" t="inlineStr">
        <is>
          <t>Draft, summarise, translate or review text  -&gt;  Generative AI assistant (off-the-shelf)</t>
        </is>
      </c>
      <c r="F18" s="24" t="inlineStr">
        <is>
          <t>All</t>
        </is>
      </c>
    </row>
    <row r="19" ht="30" customHeight="1">
      <c r="A19" s="22" t="n">
        <v>15</v>
      </c>
      <c r="B19" s="5" t="inlineStr">
        <is>
          <t>HR &amp; people</t>
        </is>
      </c>
      <c r="C19" s="23" t="inlineStr">
        <is>
          <t>Attrition risk analysis</t>
        </is>
      </c>
      <c r="D19" s="5" t="inlineStr">
        <is>
          <t>Losing key staff without warning</t>
        </is>
      </c>
      <c r="E19" s="24" t="inlineStr">
        <is>
          <t>Forecast, score, classify or detect anomalies from historical data  -&gt;  Predictive analytics / machine learning</t>
        </is>
      </c>
      <c r="F19" s="24" t="inlineStr">
        <is>
          <t>Medium-large organisations</t>
        </is>
      </c>
    </row>
    <row r="20" ht="30" customHeight="1">
      <c r="A20" s="22" t="n">
        <v>16</v>
      </c>
      <c r="B20" s="5" t="inlineStr">
        <is>
          <t>Customer service &amp; sales</t>
        </is>
      </c>
      <c r="C20" s="23" t="inlineStr">
        <is>
          <t>Customer enquiries (web, WhatsApp, phone)</t>
        </is>
      </c>
      <c r="D20" s="5" t="inlineStr">
        <is>
          <t>Long waits for routine questions</t>
        </is>
      </c>
      <c r="E20" s="24" t="inlineStr">
        <is>
          <t>Converse with customers, citizens or staff (chat, voice, WhatsApp)  -&gt;  Conversational AI / virtual agent</t>
        </is>
      </c>
      <c r="F20" s="24" t="inlineStr">
        <is>
          <t>All</t>
        </is>
      </c>
    </row>
    <row r="21" ht="30" customHeight="1">
      <c r="A21" s="22" t="n">
        <v>17</v>
      </c>
      <c r="B21" s="5" t="inlineStr">
        <is>
          <t>Customer service &amp; sales</t>
        </is>
      </c>
      <c r="C21" s="23" t="inlineStr">
        <is>
          <t>Complaint handling and categorisation</t>
        </is>
      </c>
      <c r="D21" s="5" t="inlineStr">
        <is>
          <t>Manual triage and late responses</t>
        </is>
      </c>
      <c r="E21" s="24" t="inlineStr">
        <is>
          <t>Draft, summarise, translate or review text  -&gt;  Generative AI assistant (off-the-shelf)</t>
        </is>
      </c>
      <c r="F21" s="24" t="inlineStr">
        <is>
          <t>All</t>
        </is>
      </c>
    </row>
    <row r="22" ht="30" customHeight="1">
      <c r="A22" s="22" t="n">
        <v>18</v>
      </c>
      <c r="B22" s="5" t="inlineStr">
        <is>
          <t>Customer service &amp; sales</t>
        </is>
      </c>
      <c r="C22" s="23" t="inlineStr">
        <is>
          <t>Proposal, quotation and tender responses</t>
        </is>
      </c>
      <c r="D22" s="5" t="inlineStr">
        <is>
          <t>Re-writing similar content</t>
        </is>
      </c>
      <c r="E22" s="24" t="inlineStr">
        <is>
          <t>Draft, summarise, translate or review text  -&gt;  Generative AI assistant (off-the-shelf)</t>
        </is>
      </c>
      <c r="F22" s="24" t="inlineStr">
        <is>
          <t>All</t>
        </is>
      </c>
    </row>
    <row r="23" ht="30" customHeight="1">
      <c r="A23" s="22" t="n">
        <v>19</v>
      </c>
      <c r="B23" s="5" t="inlineStr">
        <is>
          <t>Customer service &amp; sales</t>
        </is>
      </c>
      <c r="C23" s="23" t="inlineStr">
        <is>
          <t>Lead scoring and next-best offer</t>
        </is>
      </c>
      <c r="D23" s="5" t="inlineStr">
        <is>
          <t>Sales effort spread evenly across leads</t>
        </is>
      </c>
      <c r="E23" s="24" t="inlineStr">
        <is>
          <t>Forecast, score, classify or detect anomalies from historical data  -&gt;  Predictive analytics / machine learning</t>
        </is>
      </c>
      <c r="F23" s="24" t="inlineStr">
        <is>
          <t>Banking, telecom, retail</t>
        </is>
      </c>
    </row>
    <row r="24" ht="30" customHeight="1">
      <c r="A24" s="22" t="n">
        <v>20</v>
      </c>
      <c r="B24" s="5" t="inlineStr">
        <is>
          <t>Customer service &amp; sales</t>
        </is>
      </c>
      <c r="C24" s="23" t="inlineStr">
        <is>
          <t>Customer churn prediction</t>
        </is>
      </c>
      <c r="D24" s="5" t="inlineStr">
        <is>
          <t>Customers leave without warning</t>
        </is>
      </c>
      <c r="E24" s="24" t="inlineStr">
        <is>
          <t>Forecast, score, classify or detect anomalies from historical data  -&gt;  Predictive analytics / machine learning</t>
        </is>
      </c>
      <c r="F24" s="24" t="inlineStr">
        <is>
          <t>Banking, telecom, insurance</t>
        </is>
      </c>
    </row>
    <row r="25" ht="30" customHeight="1">
      <c r="A25" s="22" t="n">
        <v>21</v>
      </c>
      <c r="B25" s="5" t="inlineStr">
        <is>
          <t>Customer service &amp; sales</t>
        </is>
      </c>
      <c r="C25" s="23" t="inlineStr">
        <is>
          <t>Call summarisation and quality review</t>
        </is>
      </c>
      <c r="D25" s="5" t="inlineStr">
        <is>
          <t>Supervisors sample only a few calls</t>
        </is>
      </c>
      <c r="E25" s="24" t="inlineStr">
        <is>
          <t>Draft, summarise, translate or review text  -&gt;  Generative AI assistant (off-the-shelf)</t>
        </is>
      </c>
      <c r="F25" s="24" t="inlineStr">
        <is>
          <t>Contact centres</t>
        </is>
      </c>
    </row>
    <row r="26" ht="30" customHeight="1">
      <c r="A26" s="22" t="n">
        <v>22</v>
      </c>
      <c r="B26" s="5" t="inlineStr">
        <is>
          <t>Marketing &amp; communications</t>
        </is>
      </c>
      <c r="C26" s="23" t="inlineStr">
        <is>
          <t>Marketing content and social media</t>
        </is>
      </c>
      <c r="D26" s="5" t="inlineStr">
        <is>
          <t>Slow content production</t>
        </is>
      </c>
      <c r="E26" s="24" t="inlineStr">
        <is>
          <t>Draft, summarise, translate or review text  -&gt;  Generative AI assistant (off-the-shelf)</t>
        </is>
      </c>
      <c r="F26" s="24" t="inlineStr">
        <is>
          <t>All</t>
        </is>
      </c>
    </row>
    <row r="27" ht="30" customHeight="1">
      <c r="A27" s="22" t="n">
        <v>23</v>
      </c>
      <c r="B27" s="5" t="inlineStr">
        <is>
          <t>Marketing &amp; communications</t>
        </is>
      </c>
      <c r="C27" s="23" t="inlineStr">
        <is>
          <t>Arabic / English translation</t>
        </is>
      </c>
      <c r="D27" s="5" t="inlineStr">
        <is>
          <t>External translation cost and delays</t>
        </is>
      </c>
      <c r="E27" s="24" t="inlineStr">
        <is>
          <t>Draft, summarise, translate or review text  -&gt;  Generative AI assistant (off-the-shelf)</t>
        </is>
      </c>
      <c r="F27" s="24" t="inlineStr">
        <is>
          <t>All</t>
        </is>
      </c>
    </row>
    <row r="28" ht="30" customHeight="1">
      <c r="A28" s="22" t="n">
        <v>24</v>
      </c>
      <c r="B28" s="5" t="inlineStr">
        <is>
          <t>Marketing &amp; communications</t>
        </is>
      </c>
      <c r="C28" s="23" t="inlineStr">
        <is>
          <t>Customer review and sentiment analysis</t>
        </is>
      </c>
      <c r="D28" s="5" t="inlineStr">
        <is>
          <t>Feedback not analysed</t>
        </is>
      </c>
      <c r="E28" s="24" t="inlineStr">
        <is>
          <t>Draft, summarise, translate or review text  -&gt;  Generative AI assistant (off-the-shelf)</t>
        </is>
      </c>
      <c r="F28" s="24" t="inlineStr">
        <is>
          <t>Hospitality, retail, healthcare</t>
        </is>
      </c>
    </row>
    <row r="29" ht="30" customHeight="1">
      <c r="A29" s="22" t="n">
        <v>25</v>
      </c>
      <c r="B29" s="5" t="inlineStr">
        <is>
          <t>Procurement &amp; supply chain</t>
        </is>
      </c>
      <c r="C29" s="23" t="inlineStr">
        <is>
          <t>Purchase requisition to order</t>
        </is>
      </c>
      <c r="D29" s="5" t="inlineStr">
        <is>
          <t>Approvals chased by email</t>
        </is>
      </c>
      <c r="E29" s="24" t="inlineStr">
        <is>
          <t>Check or approve items against fixed criteria (rules, thresholds, checklists)  -&gt;  Rules engine / workflow automation</t>
        </is>
      </c>
      <c r="F29" s="24" t="inlineStr">
        <is>
          <t>All</t>
        </is>
      </c>
    </row>
    <row r="30" ht="30" customHeight="1">
      <c r="A30" s="22" t="n">
        <v>26</v>
      </c>
      <c r="B30" s="5" t="inlineStr">
        <is>
          <t>Procurement &amp; supply chain</t>
        </is>
      </c>
      <c r="C30" s="23" t="inlineStr">
        <is>
          <t>Supplier onboarding and due diligence</t>
        </is>
      </c>
      <c r="D30" s="5" t="inlineStr">
        <is>
          <t>Collecting documents and checks manually</t>
        </is>
      </c>
      <c r="E30" s="24" t="inlineStr">
        <is>
          <t>Extract information from documents, forms or emails  -&gt;  Intelligent document processing (IDP)</t>
        </is>
      </c>
      <c r="F30" s="24" t="inlineStr">
        <is>
          <t>All</t>
        </is>
      </c>
    </row>
    <row r="31" ht="30" customHeight="1">
      <c r="A31" s="22" t="n">
        <v>27</v>
      </c>
      <c r="B31" s="5" t="inlineStr">
        <is>
          <t>Procurement &amp; supply chain</t>
        </is>
      </c>
      <c r="C31" s="23" t="inlineStr">
        <is>
          <t>Contract review and obligation tracking</t>
        </is>
      </c>
      <c r="D31" s="5" t="inlineStr">
        <is>
          <t>Missed renewal dates and terms</t>
        </is>
      </c>
      <c r="E31" s="24" t="inlineStr">
        <is>
          <t>Draft, summarise, translate or review text  -&gt;  Generative AI assistant (off-the-shelf)</t>
        </is>
      </c>
      <c r="F31" s="24" t="inlineStr">
        <is>
          <t>All</t>
        </is>
      </c>
    </row>
    <row r="32" ht="30" customHeight="1">
      <c r="A32" s="22" t="n">
        <v>28</v>
      </c>
      <c r="B32" s="5" t="inlineStr">
        <is>
          <t>Procurement &amp; supply chain</t>
        </is>
      </c>
      <c r="C32" s="23" t="inlineStr">
        <is>
          <t>Demand forecasting and inventory planning</t>
        </is>
      </c>
      <c r="D32" s="5" t="inlineStr">
        <is>
          <t>Stock-outs and excess stock</t>
        </is>
      </c>
      <c r="E32" s="24" t="inlineStr">
        <is>
          <t>Forecast, score, classify or detect anomalies from historical data  -&gt;  Predictive analytics / machine learning</t>
        </is>
      </c>
      <c r="F32" s="24" t="inlineStr">
        <is>
          <t>Retail, manufacturing, hospitality</t>
        </is>
      </c>
    </row>
    <row r="33" ht="30" customHeight="1">
      <c r="A33" s="22" t="n">
        <v>29</v>
      </c>
      <c r="B33" s="5" t="inlineStr">
        <is>
          <t>Procurement &amp; supply chain</t>
        </is>
      </c>
      <c r="C33" s="23" t="inlineStr">
        <is>
          <t>Route and delivery optimisation</t>
        </is>
      </c>
      <c r="D33" s="5" t="inlineStr">
        <is>
          <t>Inefficient routes, late deliveries</t>
        </is>
      </c>
      <c r="E33" s="24" t="inlineStr">
        <is>
          <t>Forecast, score, classify or detect anomalies from historical data  -&gt;  Predictive analytics / machine learning</t>
        </is>
      </c>
      <c r="F33" s="24" t="inlineStr">
        <is>
          <t>Logistics, retail</t>
        </is>
      </c>
    </row>
    <row r="34" ht="30" customHeight="1">
      <c r="A34" s="22" t="n">
        <v>30</v>
      </c>
      <c r="B34" s="5" t="inlineStr">
        <is>
          <t>Risk, compliance &amp; legal</t>
        </is>
      </c>
      <c r="C34" s="23" t="inlineStr">
        <is>
          <t>KYC / customer due diligence</t>
        </is>
      </c>
      <c r="D34" s="5" t="inlineStr">
        <is>
          <t>Manual document checks and screening</t>
        </is>
      </c>
      <c r="E34" s="24" t="inlineStr">
        <is>
          <t>Extract information from documents, forms or emails  -&gt;  Intelligent document processing (IDP)</t>
        </is>
      </c>
      <c r="F34" s="24" t="inlineStr">
        <is>
          <t>Banking, insurance, professional services</t>
        </is>
      </c>
    </row>
    <row r="35" ht="30" customHeight="1">
      <c r="A35" s="22" t="n">
        <v>31</v>
      </c>
      <c r="B35" s="5" t="inlineStr">
        <is>
          <t>Risk, compliance &amp; legal</t>
        </is>
      </c>
      <c r="C35" s="23" t="inlineStr">
        <is>
          <t>AML transaction monitoring alert triage</t>
        </is>
      </c>
      <c r="D35" s="5" t="inlineStr">
        <is>
          <t>High false-positive alert volumes</t>
        </is>
      </c>
      <c r="E35" s="24" t="inlineStr">
        <is>
          <t>Forecast, score, classify or detect anomalies from historical data  -&gt;  Predictive analytics / machine learning</t>
        </is>
      </c>
      <c r="F35" s="24" t="inlineStr">
        <is>
          <t>Banking, payments</t>
        </is>
      </c>
    </row>
    <row r="36" ht="30" customHeight="1">
      <c r="A36" s="22" t="n">
        <v>32</v>
      </c>
      <c r="B36" s="5" t="inlineStr">
        <is>
          <t>Risk, compliance &amp; legal</t>
        </is>
      </c>
      <c r="C36" s="23" t="inlineStr">
        <is>
          <t>Regulatory change monitoring (CBB, PDPL, NBR)</t>
        </is>
      </c>
      <c r="D36" s="5" t="inlineStr">
        <is>
          <t>Tracking new rules manually</t>
        </is>
      </c>
      <c r="E36" s="24" t="inlineStr">
        <is>
          <t>Answer questions from internal knowledge, policies or past work  -&gt;  GenAI knowledge assistant (RAG on own content)</t>
        </is>
      </c>
      <c r="F36" s="24" t="inlineStr">
        <is>
          <t>Regulated sectors</t>
        </is>
      </c>
    </row>
    <row r="37" ht="30" customHeight="1">
      <c r="A37" s="22" t="n">
        <v>33</v>
      </c>
      <c r="B37" s="5" t="inlineStr">
        <is>
          <t>Risk, compliance &amp; legal</t>
        </is>
      </c>
      <c r="C37" s="23" t="inlineStr">
        <is>
          <t>Policy and procedure Q&amp;A</t>
        </is>
      </c>
      <c r="D37" s="5" t="inlineStr">
        <is>
          <t>Staff unsure where rules are</t>
        </is>
      </c>
      <c r="E37" s="24" t="inlineStr">
        <is>
          <t>Answer questions from internal knowledge, policies or past work  -&gt;  GenAI knowledge assistant (RAG on own content)</t>
        </is>
      </c>
      <c r="F37" s="24" t="inlineStr">
        <is>
          <t>All</t>
        </is>
      </c>
    </row>
    <row r="38" ht="30" customHeight="1">
      <c r="A38" s="22" t="n">
        <v>34</v>
      </c>
      <c r="B38" s="5" t="inlineStr">
        <is>
          <t>Risk, compliance &amp; legal</t>
        </is>
      </c>
      <c r="C38" s="23" t="inlineStr">
        <is>
          <t>Internal audit testing and sampling</t>
        </is>
      </c>
      <c r="D38" s="5" t="inlineStr">
        <is>
          <t>Sample-based testing of large populations</t>
        </is>
      </c>
      <c r="E38" s="24" t="inlineStr">
        <is>
          <t>Forecast, score, classify or detect anomalies from historical data  -&gt;  Predictive analytics / machine learning</t>
        </is>
      </c>
      <c r="F38" s="24" t="inlineStr">
        <is>
          <t>Medium-large organisations</t>
        </is>
      </c>
    </row>
    <row r="39" ht="30" customHeight="1">
      <c r="A39" s="22" t="n">
        <v>35</v>
      </c>
      <c r="B39" s="5" t="inlineStr">
        <is>
          <t>Risk, compliance &amp; legal</t>
        </is>
      </c>
      <c r="C39" s="23" t="inlineStr">
        <is>
          <t>Business continuity plans and BIA</t>
        </is>
      </c>
      <c r="D39" s="5" t="inlineStr">
        <is>
          <t>Plans outdated and generic</t>
        </is>
      </c>
      <c r="E39" s="24" t="inlineStr">
        <is>
          <t>Draft, summarise, translate or review text  -&gt;  Generative AI assistant (off-the-shelf)</t>
        </is>
      </c>
      <c r="F39" s="24" t="inlineStr">
        <is>
          <t>Regulated sectors</t>
        </is>
      </c>
    </row>
    <row r="40" ht="30" customHeight="1">
      <c r="A40" s="22" t="n">
        <v>36</v>
      </c>
      <c r="B40" s="5" t="inlineStr">
        <is>
          <t>IT &amp; security</t>
        </is>
      </c>
      <c r="C40" s="23" t="inlineStr">
        <is>
          <t>IT service desk tickets</t>
        </is>
      </c>
      <c r="D40" s="5" t="inlineStr">
        <is>
          <t>Repetitive password and access requests</t>
        </is>
      </c>
      <c r="E40" s="24" t="inlineStr">
        <is>
          <t>Converse with customers, citizens or staff (chat, voice, WhatsApp)  -&gt;  Conversational AI / virtual agent</t>
        </is>
      </c>
      <c r="F40" s="24" t="inlineStr">
        <is>
          <t>All</t>
        </is>
      </c>
    </row>
    <row r="41" ht="30" customHeight="1">
      <c r="A41" s="22" t="n">
        <v>37</v>
      </c>
      <c r="B41" s="5" t="inlineStr">
        <is>
          <t>IT &amp; security</t>
        </is>
      </c>
      <c r="C41" s="23" t="inlineStr">
        <is>
          <t>User access reviews</t>
        </is>
      </c>
      <c r="D41" s="5" t="inlineStr">
        <is>
          <t>Manual reconciliation of access lists</t>
        </is>
      </c>
      <c r="E41" s="24" t="inlineStr">
        <is>
          <t>Check or approve items against fixed criteria (rules, thresholds, checklists)  -&gt;  Rules engine / workflow automation</t>
        </is>
      </c>
      <c r="F41" s="24" t="inlineStr">
        <is>
          <t>All</t>
        </is>
      </c>
    </row>
    <row r="42" ht="30" customHeight="1">
      <c r="A42" s="22" t="n">
        <v>38</v>
      </c>
      <c r="B42" s="5" t="inlineStr">
        <is>
          <t>IT &amp; security</t>
        </is>
      </c>
      <c r="C42" s="23" t="inlineStr">
        <is>
          <t>Security alert triage (SOC)</t>
        </is>
      </c>
      <c r="D42" s="5" t="inlineStr">
        <is>
          <t>Alert fatigue</t>
        </is>
      </c>
      <c r="E42" s="24" t="inlineStr">
        <is>
          <t>Coordinate multi-step work across systems that needs judgement  -&gt;  Agentic AI (supervised agents)</t>
        </is>
      </c>
      <c r="F42" s="24" t="inlineStr">
        <is>
          <t>Medium-large organisations</t>
        </is>
      </c>
    </row>
    <row r="43" ht="30" customHeight="1">
      <c r="A43" s="22" t="n">
        <v>39</v>
      </c>
      <c r="B43" s="5" t="inlineStr">
        <is>
          <t>IT &amp; security</t>
        </is>
      </c>
      <c r="C43" s="23" t="inlineStr">
        <is>
          <t>Code and script development</t>
        </is>
      </c>
      <c r="D43" s="5" t="inlineStr">
        <is>
          <t>Slow development, little documentation</t>
        </is>
      </c>
      <c r="E43" s="24" t="inlineStr">
        <is>
          <t>Draft, summarise, translate or review text  -&gt;  Generative AI assistant (off-the-shelf)</t>
        </is>
      </c>
      <c r="F43" s="24" t="inlineStr">
        <is>
          <t>Organisations with IT teams</t>
        </is>
      </c>
    </row>
    <row r="44" ht="30" customHeight="1">
      <c r="A44" s="22" t="n">
        <v>40</v>
      </c>
      <c r="B44" s="5" t="inlineStr">
        <is>
          <t>Management &amp; reporting</t>
        </is>
      </c>
      <c r="C44" s="23" t="inlineStr">
        <is>
          <t>Board and management packs</t>
        </is>
      </c>
      <c r="D44" s="5" t="inlineStr">
        <is>
          <t>Data gathered by hand from many sources</t>
        </is>
      </c>
      <c r="E44" s="24" t="inlineStr">
        <is>
          <t>Produce reports, dashboards or reconciliations from existing data  -&gt;  BI, dashboards &amp; reconciliation automation</t>
        </is>
      </c>
      <c r="F44" s="24" t="inlineStr">
        <is>
          <t>All</t>
        </is>
      </c>
    </row>
    <row r="45" ht="30" customHeight="1">
      <c r="A45" s="22" t="n">
        <v>41</v>
      </c>
      <c r="B45" s="5" t="inlineStr">
        <is>
          <t>Management &amp; reporting</t>
        </is>
      </c>
      <c r="C45" s="23" t="inlineStr">
        <is>
          <t>KPI dashboards</t>
        </is>
      </c>
      <c r="D45" s="5" t="inlineStr">
        <is>
          <t>No single view of performance</t>
        </is>
      </c>
      <c r="E45" s="24" t="inlineStr">
        <is>
          <t>Produce reports, dashboards or reconciliations from existing data  -&gt;  BI, dashboards &amp; reconciliation automation</t>
        </is>
      </c>
      <c r="F45" s="24" t="inlineStr">
        <is>
          <t>All</t>
        </is>
      </c>
    </row>
    <row r="46" ht="30" customHeight="1">
      <c r="A46" s="22" t="n">
        <v>42</v>
      </c>
      <c r="B46" s="5" t="inlineStr">
        <is>
          <t>Management &amp; reporting</t>
        </is>
      </c>
      <c r="C46" s="23" t="inlineStr">
        <is>
          <t>Meeting minutes and action tracking</t>
        </is>
      </c>
      <c r="D46" s="5" t="inlineStr">
        <is>
          <t>Minutes late, actions lost</t>
        </is>
      </c>
      <c r="E46" s="24" t="inlineStr">
        <is>
          <t>Draft, summarise, translate or review text  -&gt;  Generative AI assistant (off-the-shelf)</t>
        </is>
      </c>
      <c r="F46" s="24" t="inlineStr">
        <is>
          <t>All</t>
        </is>
      </c>
    </row>
    <row r="47" ht="30" customHeight="1">
      <c r="A47" s="22" t="n">
        <v>43</v>
      </c>
      <c r="B47" s="5" t="inlineStr">
        <is>
          <t>Knowledge &amp; collaboration</t>
        </is>
      </c>
      <c r="C47" s="23" t="inlineStr">
        <is>
          <t>Internal knowledge search</t>
        </is>
      </c>
      <c r="D47" s="5" t="inlineStr">
        <is>
          <t>Time lost looking for documents</t>
        </is>
      </c>
      <c r="E47" s="24" t="inlineStr">
        <is>
          <t>Answer questions from internal knowledge, policies or past work  -&gt;  GenAI knowledge assistant (RAG on own content)</t>
        </is>
      </c>
      <c r="F47" s="24" t="inlineStr">
        <is>
          <t>All</t>
        </is>
      </c>
    </row>
    <row r="48" ht="30" customHeight="1">
      <c r="A48" s="22" t="n">
        <v>44</v>
      </c>
      <c r="B48" s="5" t="inlineStr">
        <is>
          <t>Knowledge &amp; collaboration</t>
        </is>
      </c>
      <c r="C48" s="23" t="inlineStr">
        <is>
          <t>Email and document drafting</t>
        </is>
      </c>
      <c r="D48" s="5" t="inlineStr">
        <is>
          <t>Routine drafting effort</t>
        </is>
      </c>
      <c r="E48" s="24" t="inlineStr">
        <is>
          <t>Draft, summarise, translate or review text  -&gt;  Generative AI assistant (off-the-shelf)</t>
        </is>
      </c>
      <c r="F48" s="24" t="inlineStr">
        <is>
          <t>All</t>
        </is>
      </c>
    </row>
    <row r="49" ht="30" customHeight="1">
      <c r="A49" s="22" t="n">
        <v>45</v>
      </c>
      <c r="B49" s="5" t="inlineStr">
        <is>
          <t>Core service delivery / operations</t>
        </is>
      </c>
      <c r="C49" s="23" t="inlineStr">
        <is>
          <t>Banking - trade-finance document checking</t>
        </is>
      </c>
      <c r="D49" s="5" t="inlineStr">
        <is>
          <t>Manual checking of LCs and shipping documents</t>
        </is>
      </c>
      <c r="E49" s="24" t="inlineStr">
        <is>
          <t>Extract information from documents, forms or emails  -&gt;  Intelligent document processing (IDP)</t>
        </is>
      </c>
      <c r="F49" s="24" t="inlineStr">
        <is>
          <t>Banking</t>
        </is>
      </c>
    </row>
    <row r="50" ht="30" customHeight="1">
      <c r="A50" s="22" t="n">
        <v>46</v>
      </c>
      <c r="B50" s="5" t="inlineStr">
        <is>
          <t>Core service delivery / operations</t>
        </is>
      </c>
      <c r="C50" s="23" t="inlineStr">
        <is>
          <t>Banking - credit application assessment</t>
        </is>
      </c>
      <c r="D50" s="5" t="inlineStr">
        <is>
          <t>Slow credit decisions</t>
        </is>
      </c>
      <c r="E50" s="24" t="inlineStr">
        <is>
          <t>Forecast, score, classify or detect anomalies from historical data  -&gt;  Predictive analytics / machine learning</t>
        </is>
      </c>
      <c r="F50" s="24" t="inlineStr">
        <is>
          <t>Banking (high-risk: individuals)</t>
        </is>
      </c>
    </row>
    <row r="51" ht="30" customHeight="1">
      <c r="A51" s="22" t="n">
        <v>47</v>
      </c>
      <c r="B51" s="5" t="inlineStr">
        <is>
          <t>Core service delivery / operations</t>
        </is>
      </c>
      <c r="C51" s="23" t="inlineStr">
        <is>
          <t>Insurance - claims intake (FNOL)</t>
        </is>
      </c>
      <c r="D51" s="5" t="inlineStr">
        <is>
          <t>Claims forms keyed manually</t>
        </is>
      </c>
      <c r="E51" s="24" t="inlineStr">
        <is>
          <t>Extract information from documents, forms or emails  -&gt;  Intelligent document processing (IDP)</t>
        </is>
      </c>
      <c r="F51" s="24" t="inlineStr">
        <is>
          <t>Insurance</t>
        </is>
      </c>
    </row>
    <row r="52" ht="30" customHeight="1">
      <c r="A52" s="22" t="n">
        <v>48</v>
      </c>
      <c r="B52" s="5" t="inlineStr">
        <is>
          <t>Core service delivery / operations</t>
        </is>
      </c>
      <c r="C52" s="23" t="inlineStr">
        <is>
          <t>Insurance - claims fraud detection</t>
        </is>
      </c>
      <c r="D52" s="5" t="inlineStr">
        <is>
          <t>Fraud found late or not at all</t>
        </is>
      </c>
      <c r="E52" s="24" t="inlineStr">
        <is>
          <t>Forecast, score, classify or detect anomalies from historical data  -&gt;  Predictive analytics / machine learning</t>
        </is>
      </c>
      <c r="F52" s="24" t="inlineStr">
        <is>
          <t>Insurance</t>
        </is>
      </c>
    </row>
    <row r="53" ht="30" customHeight="1">
      <c r="A53" s="22" t="n">
        <v>49</v>
      </c>
      <c r="B53" s="5" t="inlineStr">
        <is>
          <t>Core service delivery / operations</t>
        </is>
      </c>
      <c r="C53" s="23" t="inlineStr">
        <is>
          <t>Insurance - underwriting submissions</t>
        </is>
      </c>
      <c r="D53" s="5" t="inlineStr">
        <is>
          <t>Broker submissions read manually</t>
        </is>
      </c>
      <c r="E53" s="24" t="inlineStr">
        <is>
          <t>Extract information from documents, forms or emails  -&gt;  Intelligent document processing (IDP)</t>
        </is>
      </c>
      <c r="F53" s="24" t="inlineStr">
        <is>
          <t>Insurance</t>
        </is>
      </c>
    </row>
    <row r="54" ht="30" customHeight="1">
      <c r="A54" s="22" t="n">
        <v>50</v>
      </c>
      <c r="B54" s="5" t="inlineStr">
        <is>
          <t>Core service delivery / operations</t>
        </is>
      </c>
      <c r="C54" s="23" t="inlineStr">
        <is>
          <t>Government - permit and licence applications</t>
        </is>
      </c>
      <c r="D54" s="5" t="inlineStr">
        <is>
          <t>Paper-heavy applications and checks</t>
        </is>
      </c>
      <c r="E54" s="24" t="inlineStr">
        <is>
          <t>Check or approve items against fixed criteria (rules, thresholds, checklists)  -&gt;  Rules engine / workflow automation</t>
        </is>
      </c>
      <c r="F54" s="24" t="inlineStr">
        <is>
          <t>Government</t>
        </is>
      </c>
    </row>
    <row r="55" ht="30" customHeight="1">
      <c r="A55" s="22" t="n">
        <v>51</v>
      </c>
      <c r="B55" s="5" t="inlineStr">
        <is>
          <t>Core service delivery / operations</t>
        </is>
      </c>
      <c r="C55" s="23" t="inlineStr">
        <is>
          <t>Government - citizen enquiries</t>
        </is>
      </c>
      <c r="D55" s="5" t="inlineStr">
        <is>
          <t>Call-centre peaks</t>
        </is>
      </c>
      <c r="E55" s="24" t="inlineStr">
        <is>
          <t>Converse with customers, citizens or staff (chat, voice, WhatsApp)  -&gt;  Conversational AI / virtual agent</t>
        </is>
      </c>
      <c r="F55" s="24" t="inlineStr">
        <is>
          <t>Government</t>
        </is>
      </c>
    </row>
    <row r="56" ht="30" customHeight="1">
      <c r="A56" s="22" t="n">
        <v>52</v>
      </c>
      <c r="B56" s="5" t="inlineStr">
        <is>
          <t>Core service delivery / operations</t>
        </is>
      </c>
      <c r="C56" s="23" t="inlineStr">
        <is>
          <t>Healthcare - appointment scheduling and reminders</t>
        </is>
      </c>
      <c r="D56" s="5" t="inlineStr">
        <is>
          <t>No-shows and phone booking</t>
        </is>
      </c>
      <c r="E56" s="24" t="inlineStr">
        <is>
          <t>Move or re-key data between systems following fixed rules  -&gt;  Workflow automation / RPA</t>
        </is>
      </c>
      <c r="F56" s="24" t="inlineStr">
        <is>
          <t>Healthcare</t>
        </is>
      </c>
    </row>
    <row r="57" ht="30" customHeight="1">
      <c r="A57" s="22" t="n">
        <v>53</v>
      </c>
      <c r="B57" s="5" t="inlineStr">
        <is>
          <t>Core service delivery / operations</t>
        </is>
      </c>
      <c r="C57" s="23" t="inlineStr">
        <is>
          <t>Healthcare - clinical documentation</t>
        </is>
      </c>
      <c r="D57" s="5" t="inlineStr">
        <is>
          <t>Clinicians typing notes</t>
        </is>
      </c>
      <c r="E57" s="24" t="inlineStr">
        <is>
          <t>Draft, summarise, translate or review text  -&gt;  Generative AI assistant (off-the-shelf)</t>
        </is>
      </c>
      <c r="F57" s="24" t="inlineStr">
        <is>
          <t>Healthcare (patient data)</t>
        </is>
      </c>
    </row>
    <row r="58" ht="30" customHeight="1">
      <c r="A58" s="22" t="n">
        <v>54</v>
      </c>
      <c r="B58" s="5" t="inlineStr">
        <is>
          <t>Core service delivery / operations</t>
        </is>
      </c>
      <c r="C58" s="23" t="inlineStr">
        <is>
          <t>Healthcare - medical-image triage</t>
        </is>
      </c>
      <c r="D58" s="5" t="inlineStr">
        <is>
          <t>Radiology backlogs</t>
        </is>
      </c>
      <c r="E58" s="24" t="inlineStr">
        <is>
          <t>Recognise or inspect images, video or speech  -&gt;  Computer vision / speech AI</t>
        </is>
      </c>
      <c r="F58" s="24" t="inlineStr">
        <is>
          <t>Healthcare (high-risk)</t>
        </is>
      </c>
    </row>
    <row r="59" ht="30" customHeight="1">
      <c r="A59" s="22" t="n">
        <v>55</v>
      </c>
      <c r="B59" s="5" t="inlineStr">
        <is>
          <t>Core service delivery / operations</t>
        </is>
      </c>
      <c r="C59" s="23" t="inlineStr">
        <is>
          <t>Hospitality - dynamic pricing and revenue management</t>
        </is>
      </c>
      <c r="D59" s="5" t="inlineStr">
        <is>
          <t>Prices set manually</t>
        </is>
      </c>
      <c r="E59" s="24" t="inlineStr">
        <is>
          <t>Forecast, score, classify or detect anomalies from historical data  -&gt;  Predictive analytics / machine learning</t>
        </is>
      </c>
      <c r="F59" s="24" t="inlineStr">
        <is>
          <t>Hospitality</t>
        </is>
      </c>
    </row>
    <row r="60" ht="30" customHeight="1">
      <c r="A60" s="22" t="n">
        <v>56</v>
      </c>
      <c r="B60" s="5" t="inlineStr">
        <is>
          <t>Core service delivery / operations</t>
        </is>
      </c>
      <c r="C60" s="23" t="inlineStr">
        <is>
          <t>Hospitality - guest messaging and concierge</t>
        </is>
      </c>
      <c r="D60" s="5" t="inlineStr">
        <is>
          <t>Front desk overloaded</t>
        </is>
      </c>
      <c r="E60" s="24" t="inlineStr">
        <is>
          <t>Converse with customers, citizens or staff (chat, voice, WhatsApp)  -&gt;  Conversational AI / virtual agent</t>
        </is>
      </c>
      <c r="F60" s="24" t="inlineStr">
        <is>
          <t>Hospitality</t>
        </is>
      </c>
    </row>
    <row r="61" ht="30" customHeight="1">
      <c r="A61" s="22" t="n">
        <v>57</v>
      </c>
      <c r="B61" s="5" t="inlineStr">
        <is>
          <t>Core service delivery / operations</t>
        </is>
      </c>
      <c r="C61" s="23" t="inlineStr">
        <is>
          <t>Manufacturing - predictive maintenance</t>
        </is>
      </c>
      <c r="D61" s="5" t="inlineStr">
        <is>
          <t>Unplanned downtime</t>
        </is>
      </c>
      <c r="E61" s="24" t="inlineStr">
        <is>
          <t>Forecast, score, classify or detect anomalies from historical data  -&gt;  Predictive analytics / machine learning</t>
        </is>
      </c>
      <c r="F61" s="24" t="inlineStr">
        <is>
          <t>Manufacturing, oil &amp; gas</t>
        </is>
      </c>
    </row>
    <row r="62" ht="30" customHeight="1">
      <c r="A62" s="22" t="n">
        <v>58</v>
      </c>
      <c r="B62" s="5" t="inlineStr">
        <is>
          <t>Core service delivery / operations</t>
        </is>
      </c>
      <c r="C62" s="23" t="inlineStr">
        <is>
          <t>Manufacturing - visual quality inspection</t>
        </is>
      </c>
      <c r="D62" s="5" t="inlineStr">
        <is>
          <t>Manual inspection misses defects</t>
        </is>
      </c>
      <c r="E62" s="24" t="inlineStr">
        <is>
          <t>Recognise or inspect images, video or speech  -&gt;  Computer vision / speech AI</t>
        </is>
      </c>
      <c r="F62" s="24" t="inlineStr">
        <is>
          <t>Manufacturing</t>
        </is>
      </c>
    </row>
    <row r="63" ht="30" customHeight="1">
      <c r="A63" s="22" t="n">
        <v>59</v>
      </c>
      <c r="B63" s="5" t="inlineStr">
        <is>
          <t>Core service delivery / operations</t>
        </is>
      </c>
      <c r="C63" s="23" t="inlineStr">
        <is>
          <t>Telecom - network fault prediction</t>
        </is>
      </c>
      <c r="D63" s="5" t="inlineStr">
        <is>
          <t>Outages detected by customers</t>
        </is>
      </c>
      <c r="E63" s="24" t="inlineStr">
        <is>
          <t>Forecast, score, classify or detect anomalies from historical data  -&gt;  Predictive analytics / machine learning</t>
        </is>
      </c>
      <c r="F63" s="24" t="inlineStr">
        <is>
          <t>Telecom</t>
        </is>
      </c>
    </row>
    <row r="64" ht="30" customHeight="1">
      <c r="A64" s="22" t="n">
        <v>60</v>
      </c>
      <c r="B64" s="5" t="inlineStr">
        <is>
          <t>Core service delivery / operations</t>
        </is>
      </c>
      <c r="C64" s="23" t="inlineStr">
        <is>
          <t>Real estate - lease abstraction</t>
        </is>
      </c>
      <c r="D64" s="5" t="inlineStr">
        <is>
          <t>Lease terms extracted by hand</t>
        </is>
      </c>
      <c r="E64" s="24" t="inlineStr">
        <is>
          <t>Extract information from documents, forms or emails  -&gt;  Intelligent document processing (IDP)</t>
        </is>
      </c>
      <c r="F64" s="24" t="inlineStr">
        <is>
          <t>Real estate</t>
        </is>
      </c>
    </row>
    <row r="65" ht="30" customHeight="1">
      <c r="A65" s="22" t="n">
        <v>61</v>
      </c>
      <c r="B65" s="5" t="inlineStr">
        <is>
          <t>Core service delivery / operations</t>
        </is>
      </c>
      <c r="C65" s="23" t="inlineStr">
        <is>
          <t>Professional services - audit journal-entry testing</t>
        </is>
      </c>
      <c r="D65" s="5" t="inlineStr">
        <is>
          <t>Sample-based testing</t>
        </is>
      </c>
      <c r="E65" s="24" t="inlineStr">
        <is>
          <t>Forecast, score, classify or detect anomalies from historical data  -&gt;  Predictive analytics / machine learning</t>
        </is>
      </c>
      <c r="F65" s="24" t="inlineStr">
        <is>
          <t>Audit firms</t>
        </is>
      </c>
    </row>
    <row r="66" ht="30" customHeight="1">
      <c r="A66" s="22" t="n">
        <v>62</v>
      </c>
      <c r="B66" s="5" t="inlineStr">
        <is>
          <t>Core service delivery / operations</t>
        </is>
      </c>
      <c r="C66" s="23" t="inlineStr">
        <is>
          <t>Professional services - engagement workflow coordination</t>
        </is>
      </c>
      <c r="D66" s="5" t="inlineStr">
        <is>
          <t>Status chased across teams</t>
        </is>
      </c>
      <c r="E66" s="24" t="inlineStr">
        <is>
          <t>Coordinate multi-step work across systems that needs judgement  -&gt;  Agentic AI (supervised agents)</t>
        </is>
      </c>
      <c r="F66" s="24" t="inlineStr">
        <is>
          <t>Professional services</t>
        </is>
      </c>
    </row>
    <row r="67" ht="30" customHeight="1">
      <c r="A67" s="22" t="n">
        <v>63</v>
      </c>
      <c r="B67" s="5" t="inlineStr">
        <is>
          <t>Core service delivery / operations</t>
        </is>
      </c>
      <c r="C67" s="23" t="inlineStr">
        <is>
          <t>Education - student queries and course support</t>
        </is>
      </c>
      <c r="D67" s="5" t="inlineStr">
        <is>
          <t>Repetitive queries</t>
        </is>
      </c>
      <c r="E67" s="24" t="inlineStr">
        <is>
          <t>Converse with customers, citizens or staff (chat, voice, WhatsApp)  -&gt;  Conversational AI / virtual agent</t>
        </is>
      </c>
      <c r="F67" s="24" t="inlineStr">
        <is>
          <t>Education</t>
        </is>
      </c>
    </row>
  </sheetData>
  <mergeCells count="2">
    <mergeCell ref="A2:F2"/>
    <mergeCell ref="A1:F1"/>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D5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2" customWidth="1" min="3" max="3"/>
    <col width="30" customWidth="1" min="4" max="4"/>
    <col width="34" customWidth="1" min="5" max="5"/>
    <col width="18" customWidth="1" min="6" max="6"/>
    <col width="10" customWidth="1" min="7" max="7"/>
    <col width="22" customWidth="1" min="8" max="8"/>
    <col width="22" customWidth="1" min="9" max="9"/>
    <col width="9" customWidth="1" min="10" max="10"/>
    <col width="9" customWidth="1" min="11" max="11"/>
    <col width="10" customWidth="1" min="12" max="12"/>
    <col width="10" customWidth="1" min="13" max="13"/>
    <col width="22" customWidth="1" min="14" max="14"/>
    <col width="26" customWidth="1" min="15" max="15"/>
    <col width="7" customWidth="1" min="16" max="16"/>
    <col width="7" customWidth="1" min="17" max="17"/>
    <col width="11" customWidth="1" min="18" max="18"/>
    <col width="15" customWidth="1" min="19" max="19"/>
    <col width="22" customWidth="1" min="20" max="20"/>
    <col width="8" customWidth="1" min="21" max="21"/>
    <col width="9" customWidth="1" min="22" max="22"/>
    <col width="9" customWidth="1" min="23" max="23"/>
    <col width="13" customWidth="1" min="24" max="24"/>
    <col width="9" customWidth="1" min="25" max="25"/>
    <col width="7" customWidth="1" min="26" max="26"/>
    <col width="19" customWidth="1" min="27" max="27"/>
    <col width="11" customWidth="1" min="28" max="28"/>
    <col hidden="1" width="6" customWidth="1" min="29" max="29"/>
    <col hidden="1" width="6" customWidth="1" min="30" max="30"/>
  </cols>
  <sheetData>
    <row r="1" ht="32" customHeight="1">
      <c r="A1" s="1" t="inlineStr">
        <is>
          <t>3. AI Fit Diagnostic - process by process</t>
        </is>
      </c>
    </row>
    <row r="2" ht="32" customHeight="1">
      <c r="A2" s="2" t="inlineStr">
        <is>
          <t>Enter one process / pain point per row and answer the 10 yellow inputs. Everything to the right calculates. Effort = staff hours spent on the process per month (all people involved).</t>
        </is>
      </c>
    </row>
    <row r="3">
      <c r="A3" s="25" t="inlineStr"/>
      <c r="B3" s="4" t="inlineStr">
        <is>
          <t>Organisation's AI position (from sheet 1):</t>
        </is>
      </c>
      <c r="C3" s="26" t="n"/>
      <c r="D3" s="27" t="str">
        <f>'1. AI Position'!$C$31</f>
        <v>Complete all 12 questions</v>
      </c>
      <c r="E3" s="18" t="n"/>
      <c r="F3" s="18" t="n"/>
      <c r="H3" s="4" t="inlineStr">
        <is>
          <t>Solution ceiling level:</t>
        </is>
      </c>
      <c r="I3" s="26" t="n"/>
      <c r="J3" s="26" t="n"/>
      <c r="K3" s="28">
        <f>IF('1. AI Position'!$C$30="",5,INDEX(Lists!$AI$2:$AI$5,'1. AI Position'!$C$30))</f>
        <v>5</v>
      </c>
    </row>
    <row r="4">
      <c r="B4" s="4" t="inlineStr">
        <is>
          <t>Quadrant threshold (value and feasibility, 1-5):</t>
        </is>
      </c>
      <c r="C4" s="26" t="n"/>
      <c r="D4" s="29" t="n">
        <v>3.25</v>
      </c>
    </row>
    <row r="6">
      <c r="A6" s="9" t="inlineStr">
        <is>
          <t>INPUTS (yellow)</t>
        </is>
      </c>
      <c r="B6" s="30" t="n"/>
      <c r="C6" s="30" t="n"/>
      <c r="D6" s="30" t="n"/>
      <c r="E6" s="30" t="n"/>
      <c r="F6" s="30" t="n"/>
      <c r="G6" s="30" t="n"/>
      <c r="H6" s="30" t="n"/>
      <c r="I6" s="30" t="n"/>
      <c r="J6" s="30" t="n"/>
      <c r="K6" s="30" t="n"/>
      <c r="L6" s="30" t="n"/>
      <c r="M6" s="30" t="n"/>
      <c r="N6" s="30" t="n"/>
      <c r="O6" s="31" t="inlineStr">
        <is>
          <t>AUTO-CALCULATED</t>
        </is>
      </c>
      <c r="P6" s="32" t="n"/>
      <c r="Q6" s="32" t="n"/>
      <c r="R6" s="32" t="n"/>
      <c r="S6" s="32" t="n"/>
      <c r="T6" s="32" t="n"/>
      <c r="U6" s="32" t="n"/>
      <c r="V6" s="32" t="n"/>
      <c r="W6" s="32" t="n"/>
      <c r="X6" s="32" t="n"/>
      <c r="Y6" s="32" t="n"/>
      <c r="Z6" s="32" t="n"/>
      <c r="AA6" s="32" t="n"/>
      <c r="AB6" s="32" t="n"/>
    </row>
    <row r="7" ht="48" customHeight="1">
      <c r="A7" s="33" t="inlineStr">
        <is>
          <t>#</t>
        </is>
      </c>
      <c r="B7" s="33" t="inlineStr">
        <is>
          <t>Function</t>
        </is>
      </c>
      <c r="C7" s="33" t="inlineStr">
        <is>
          <t>Process / activity</t>
        </is>
      </c>
      <c r="D7" s="33" t="inlineStr">
        <is>
          <t>Pain point / opportunity</t>
        </is>
      </c>
      <c r="E7" s="33" t="inlineStr">
        <is>
          <t>Nature of the task</t>
        </is>
      </c>
      <c r="F7" s="33" t="inlineStr">
        <is>
          <t>Volume</t>
        </is>
      </c>
      <c r="G7" s="33" t="inlineStr">
        <is>
          <t>Effort (hrs / month)</t>
        </is>
      </c>
      <c r="H7" s="33" t="inlineStr">
        <is>
          <t>Process standardised?</t>
        </is>
      </c>
      <c r="I7" s="33" t="inlineStr">
        <is>
          <t>Data available for this process</t>
        </is>
      </c>
      <c r="J7" s="33" t="inlineStr">
        <is>
          <t>Strategic importance (1-5)</t>
        </is>
      </c>
      <c r="K7" s="33" t="inlineStr">
        <is>
          <t>Customer / quality impact (1-5)</t>
        </is>
      </c>
      <c r="L7" s="33" t="inlineStr">
        <is>
          <t>Affects individuals' rights or access?</t>
        </is>
      </c>
      <c r="M7" s="33" t="inlineStr">
        <is>
          <t>Personal or confidential data?</t>
        </is>
      </c>
      <c r="N7" s="33" t="inlineStr">
        <is>
          <t>Intended autonomy</t>
        </is>
      </c>
      <c r="O7" s="34" t="inlineStr">
        <is>
          <t>Solution family</t>
        </is>
      </c>
      <c r="P7" s="34" t="inlineStr">
        <is>
          <t>Level</t>
        </is>
      </c>
      <c r="Q7" s="34" t="inlineStr">
        <is>
          <t>AI?</t>
        </is>
      </c>
      <c r="R7" s="34" t="inlineStr">
        <is>
          <t>Data gate</t>
        </is>
      </c>
      <c r="S7" s="34" t="inlineStr">
        <is>
          <t>Organisational fit</t>
        </is>
      </c>
      <c r="T7" s="34" t="inlineStr">
        <is>
          <t>VERDICT</t>
        </is>
      </c>
      <c r="U7" s="34" t="inlineStr">
        <is>
          <t>Value</t>
        </is>
      </c>
      <c r="V7" s="34" t="inlineStr">
        <is>
          <t>Feasib-ility</t>
        </is>
      </c>
      <c r="W7" s="34" t="inlineStr">
        <is>
          <t>Risk tier</t>
        </is>
      </c>
      <c r="X7" s="34" t="inlineStr">
        <is>
          <t>Quadrant</t>
        </is>
      </c>
      <c r="Y7" s="34" t="inlineStr">
        <is>
          <t>Priority score</t>
        </is>
      </c>
      <c r="Z7" s="34" t="inlineStr">
        <is>
          <t>Rank</t>
        </is>
      </c>
      <c r="AA7" s="34" t="inlineStr">
        <is>
          <t>Horizon</t>
        </is>
      </c>
      <c r="AB7" s="34" t="inlineStr">
        <is>
          <t>Est. hours released / yr</t>
        </is>
      </c>
      <c r="AC7" s="34" t="inlineStr">
        <is>
          <t>h</t>
        </is>
      </c>
      <c r="AD7" s="34" t="inlineStr">
        <is>
          <t>key</t>
        </is>
      </c>
    </row>
    <row r="8" ht="40" customHeight="1">
      <c r="A8" s="14" t="n">
        <v>1</v>
      </c>
      <c r="B8" s="35" t="n"/>
      <c r="C8" s="35" t="n"/>
      <c r="D8" s="35" t="n"/>
      <c r="E8" s="35" t="n"/>
      <c r="F8" s="35" t="n"/>
      <c r="G8" s="35" t="n"/>
      <c r="H8" s="35" t="n"/>
      <c r="I8" s="35" t="n"/>
      <c r="J8" s="35" t="n"/>
      <c r="K8" s="35" t="n"/>
      <c r="L8" s="35" t="n"/>
      <c r="M8" s="35" t="n"/>
      <c r="N8" s="35" t="n"/>
      <c r="O8" s="36" t="str">
        <f>IF(OR(C8="",E8=""),"",INDEX(Lists!$B$2:$B$11,MATCH(E8,Lists!$A$2:$A$11,0)))</f>
        <v/>
      </c>
      <c r="P8" s="37" t="str">
        <f>IF(O8="","",INDEX(Lists!$C$2:$C$11,MATCH(O8,Lists!$B$2:$B$11,0)))</f>
        <v/>
      </c>
      <c r="Q8" s="37" t="str">
        <f>IF(O8="","",INDEX(Lists!$D$2:$D$11,MATCH(O8,Lists!$B$2:$B$11,0)))</f>
        <v/>
      </c>
      <c r="R8" s="37" t="str">
        <f>IF(OR(O8="",I8=""),"",IF(INDEX(Lists!$N$2:$N$5,MATCH(I8,Lists!$M$2:$M$5,0))&gt;=INDEX(Lists!$E$2:$E$11,MATCH(O8,Lists!$B$2:$B$11,0)),"Data ready","Data gap"))</f>
        <v/>
      </c>
      <c r="S8" s="36" t="str">
        <f>IF(O8="","",IF(P8&lt;=IF('1. AI Position'!$C$30="",5,INDEX(Lists!$AI$2:$AI$5,'1. AI Position'!$C$30)),"Within current position","Beyond current position"))</f>
        <v/>
      </c>
      <c r="T8" s="38" t="str">
        <f>IF(O8="","",IF(COUNTA(E8:N8)&lt;10,"Complete inputs",IF(H8="No - varies by person / team","Redesign / standardise first",IF(Q8="No","Automate - AI not needed",IF(R8="Data gap","AI later - close data gap first",IF(S8="Beyond current position","Stretch - partner or later stage","AI fit now"))))))</f>
        <v/>
      </c>
      <c r="U8" s="39" t="str">
        <f>IF(OR(T8="",T8="Complete inputs"),"",ROUND(0.3*INDEX(Lists!$N$8:$N$10,MATCH(F8,Lists!$M$8:$M$10,0))+0.25*IF(G8&lt;20,1,IF(G8&lt;80,2,IF(G8&lt;160,3,IF(G8&lt;480,4,5))))+0.25*J8+0.2*K8,2))</f>
        <v/>
      </c>
      <c r="V8" s="39" t="str">
        <f>IF(U8="","",ROUND(0.3*IF(R8="Data ready",5,IF(INDEX(Lists!$N$2:$N$5,MATCH(I8,Lists!$M$2:$M$5,0))=INDEX(Lists!$E$2:$E$11,MATCH(O8,Lists!$B$2:$B$11,0))-1,3,1))+0.25*INDEX(Lists!$N$13:$N$15,MATCH(H8,Lists!$M$13:$M$15,0))+0.25*(6-P8)+0.2*IF(S8="Within current position",5,2),2))</f>
        <v/>
      </c>
      <c r="W8" s="37" t="str">
        <f>IF(U8="","",IF(Q8="No",IF(L8="Yes","Medium","Low"),IF(IF(L8="Yes",2,0)+IF(M8="Yes",1,0)+INDEX(Lists!$N$18:$N$20,MATCH(N8,Lists!$M$18:$M$20,0))+IF(K8=5,2,IF(K8&gt;=4,1,0))&gt;=4,"High",IF(IF(L8="Yes",2,0)+IF(M8="Yes",1,0)+INDEX(Lists!$N$18:$N$20,MATCH(N8,Lists!$M$18:$M$20,0))+IF(K8=5,2,IF(K8&gt;=4,1,0))&gt;=2,"Medium","Low"))))</f>
        <v/>
      </c>
      <c r="X8" s="37" t="str">
        <f>IF(U8="","",IF(AND(U8&gt;=$D$4,V8&gt;=$D$4),"Quick win",IF(U8&gt;=$D$4,"Strategic bet",IF(V8&gt;=$D$4,"Fill-in","Deprioritise"))))</f>
        <v/>
      </c>
      <c r="Y8" s="39" t="str">
        <f>IF(U8="","",ROUND(U8*V8*IF(W8="High",0.85,1)*IF(T8="Redesign / standardise first",0.8,1),2))</f>
        <v/>
      </c>
      <c r="Z8" s="40" t="str">
        <f>IF(Y8="","",RANK(Y8,$Y$8:$Y$57)+COUNTIF($Y$7:Y7,Y8))</f>
        <v/>
      </c>
      <c r="AA8" s="36" t="str">
        <f>IF(AC8="","",INDEX(Lists!$AV$2:$AV$5,AC8))</f>
        <v/>
      </c>
      <c r="AB8" s="41" t="str">
        <f>IF(Y8="","",ROUND(G8*12*INDEX(Lists!$F$2:$F$11,MATCH(O8,Lists!$B$2:$B$11,0)),0))</f>
        <v/>
      </c>
      <c r="AC8" s="37" t="str">
        <f>IF(Y8="","",IF(X8="Deprioritise",4,IF(T8="AI later - close data gap first",3,IF(OR(T8="Redesign / standardise first",T8="Stretch - partner or later stage",X8="Strategic bet"),2,1))))</f>
        <v/>
      </c>
      <c r="AD8" s="37" t="str">
        <f>IF(Z8="","",AC8*100+Z8)</f>
        <v/>
      </c>
    </row>
    <row r="9" ht="40" customHeight="1">
      <c r="A9" s="14" t="n">
        <v>2</v>
      </c>
      <c r="B9" s="35" t="n"/>
      <c r="C9" s="35" t="n"/>
      <c r="D9" s="35" t="n"/>
      <c r="E9" s="35" t="n"/>
      <c r="F9" s="35" t="n"/>
      <c r="G9" s="35" t="n"/>
      <c r="H9" s="35" t="n"/>
      <c r="I9" s="35" t="n"/>
      <c r="J9" s="35" t="n"/>
      <c r="K9" s="35" t="n"/>
      <c r="L9" s="35" t="n"/>
      <c r="M9" s="35" t="n"/>
      <c r="N9" s="35" t="n"/>
      <c r="O9" s="36" t="str">
        <f>IF(OR(C9="",E9=""),"",INDEX(Lists!$B$2:$B$11,MATCH(E9,Lists!$A$2:$A$11,0)))</f>
        <v/>
      </c>
      <c r="P9" s="37" t="str">
        <f>IF(O9="","",INDEX(Lists!$C$2:$C$11,MATCH(O9,Lists!$B$2:$B$11,0)))</f>
        <v/>
      </c>
      <c r="Q9" s="37" t="str">
        <f>IF(O9="","",INDEX(Lists!$D$2:$D$11,MATCH(O9,Lists!$B$2:$B$11,0)))</f>
        <v/>
      </c>
      <c r="R9" s="37" t="str">
        <f>IF(OR(O9="",I9=""),"",IF(INDEX(Lists!$N$2:$N$5,MATCH(I9,Lists!$M$2:$M$5,0))&gt;=INDEX(Lists!$E$2:$E$11,MATCH(O9,Lists!$B$2:$B$11,0)),"Data ready","Data gap"))</f>
        <v/>
      </c>
      <c r="S9" s="36" t="str">
        <f>IF(O9="","",IF(P9&lt;=IF('1. AI Position'!$C$30="",5,INDEX(Lists!$AI$2:$AI$5,'1. AI Position'!$C$30)),"Within current position","Beyond current position"))</f>
        <v/>
      </c>
      <c r="T9" s="38" t="str">
        <f>IF(O9="","",IF(COUNTA(E9:N9)&lt;10,"Complete inputs",IF(H9="No - varies by person / team","Redesign / standardise first",IF(Q9="No","Automate - AI not needed",IF(R9="Data gap","AI later - close data gap first",IF(S9="Beyond current position","Stretch - partner or later stage","AI fit now"))))))</f>
        <v/>
      </c>
      <c r="U9" s="39" t="str">
        <f>IF(OR(T9="",T9="Complete inputs"),"",ROUND(0.3*INDEX(Lists!$N$8:$N$10,MATCH(F9,Lists!$M$8:$M$10,0))+0.25*IF(G9&lt;20,1,IF(G9&lt;80,2,IF(G9&lt;160,3,IF(G9&lt;480,4,5))))+0.25*J9+0.2*K9,2))</f>
        <v/>
      </c>
      <c r="V9" s="39" t="str">
        <f>IF(U9="","",ROUND(0.3*IF(R9="Data ready",5,IF(INDEX(Lists!$N$2:$N$5,MATCH(I9,Lists!$M$2:$M$5,0))=INDEX(Lists!$E$2:$E$11,MATCH(O9,Lists!$B$2:$B$11,0))-1,3,1))+0.25*INDEX(Lists!$N$13:$N$15,MATCH(H9,Lists!$M$13:$M$15,0))+0.25*(6-P9)+0.2*IF(S9="Within current position",5,2),2))</f>
        <v/>
      </c>
      <c r="W9" s="37" t="str">
        <f>IF(U9="","",IF(Q9="No",IF(L9="Yes","Medium","Low"),IF(IF(L9="Yes",2,0)+IF(M9="Yes",1,0)+INDEX(Lists!$N$18:$N$20,MATCH(N9,Lists!$M$18:$M$20,0))+IF(K9=5,2,IF(K9&gt;=4,1,0))&gt;=4,"High",IF(IF(L9="Yes",2,0)+IF(M9="Yes",1,0)+INDEX(Lists!$N$18:$N$20,MATCH(N9,Lists!$M$18:$M$20,0))+IF(K9=5,2,IF(K9&gt;=4,1,0))&gt;=2,"Medium","Low"))))</f>
        <v/>
      </c>
      <c r="X9" s="37" t="str">
        <f>IF(U9="","",IF(AND(U9&gt;=$D$4,V9&gt;=$D$4),"Quick win",IF(U9&gt;=$D$4,"Strategic bet",IF(V9&gt;=$D$4,"Fill-in","Deprioritise"))))</f>
        <v/>
      </c>
      <c r="Y9" s="39" t="str">
        <f>IF(U9="","",ROUND(U9*V9*IF(W9="High",0.85,1)*IF(T9="Redesign / standardise first",0.8,1),2))</f>
        <v/>
      </c>
      <c r="Z9" s="40" t="str">
        <f>IF(Y9="","",RANK(Y9,$Y$8:$Y$57)+COUNTIF($Y$7:Y8,Y9))</f>
        <v/>
      </c>
      <c r="AA9" s="36" t="str">
        <f>IF(AC9="","",INDEX(Lists!$AV$2:$AV$5,AC9))</f>
        <v/>
      </c>
      <c r="AB9" s="41" t="str">
        <f>IF(Y9="","",ROUND(G9*12*INDEX(Lists!$F$2:$F$11,MATCH(O9,Lists!$B$2:$B$11,0)),0))</f>
        <v/>
      </c>
      <c r="AC9" s="37" t="str">
        <f>IF(Y9="","",IF(X9="Deprioritise",4,IF(T9="AI later - close data gap first",3,IF(OR(T9="Redesign / standardise first",T9="Stretch - partner or later stage",X9="Strategic bet"),2,1))))</f>
        <v/>
      </c>
      <c r="AD9" s="37" t="str">
        <f>IF(Z9="","",AC9*100+Z9)</f>
        <v/>
      </c>
    </row>
    <row r="10" ht="40" customHeight="1">
      <c r="A10" s="14" t="n">
        <v>3</v>
      </c>
      <c r="B10" s="35" t="n"/>
      <c r="C10" s="35" t="n"/>
      <c r="D10" s="35" t="n"/>
      <c r="E10" s="35" t="n"/>
      <c r="F10" s="35" t="n"/>
      <c r="G10" s="35" t="n"/>
      <c r="H10" s="35" t="n"/>
      <c r="I10" s="35" t="n"/>
      <c r="J10" s="35" t="n"/>
      <c r="K10" s="35" t="n"/>
      <c r="L10" s="35" t="n"/>
      <c r="M10" s="35" t="n"/>
      <c r="N10" s="35" t="n"/>
      <c r="O10" s="36" t="str">
        <f>IF(OR(C10="",E10=""),"",INDEX(Lists!$B$2:$B$11,MATCH(E10,Lists!$A$2:$A$11,0)))</f>
        <v/>
      </c>
      <c r="P10" s="37" t="str">
        <f>IF(O10="","",INDEX(Lists!$C$2:$C$11,MATCH(O10,Lists!$B$2:$B$11,0)))</f>
        <v/>
      </c>
      <c r="Q10" s="37" t="str">
        <f>IF(O10="","",INDEX(Lists!$D$2:$D$11,MATCH(O10,Lists!$B$2:$B$11,0)))</f>
        <v/>
      </c>
      <c r="R10" s="37" t="str">
        <f>IF(OR(O10="",I10=""),"",IF(INDEX(Lists!$N$2:$N$5,MATCH(I10,Lists!$M$2:$M$5,0))&gt;=INDEX(Lists!$E$2:$E$11,MATCH(O10,Lists!$B$2:$B$11,0)),"Data ready","Data gap"))</f>
        <v/>
      </c>
      <c r="S10" s="36" t="str">
        <f>IF(O10="","",IF(P10&lt;=IF('1. AI Position'!$C$30="",5,INDEX(Lists!$AI$2:$AI$5,'1. AI Position'!$C$30)),"Within current position","Beyond current position"))</f>
        <v/>
      </c>
      <c r="T10" s="38" t="str">
        <f>IF(O10="","",IF(COUNTA(E10:N10)&lt;10,"Complete inputs",IF(H10="No - varies by person / team","Redesign / standardise first",IF(Q10="No","Automate - AI not needed",IF(R10="Data gap","AI later - close data gap first",IF(S10="Beyond current position","Stretch - partner or later stage","AI fit now"))))))</f>
        <v/>
      </c>
      <c r="U10" s="39" t="str">
        <f>IF(OR(T10="",T10="Complete inputs"),"",ROUND(0.3*INDEX(Lists!$N$8:$N$10,MATCH(F10,Lists!$M$8:$M$10,0))+0.25*IF(G10&lt;20,1,IF(G10&lt;80,2,IF(G10&lt;160,3,IF(G10&lt;480,4,5))))+0.25*J10+0.2*K10,2))</f>
        <v/>
      </c>
      <c r="V10" s="39" t="str">
        <f>IF(U10="","",ROUND(0.3*IF(R10="Data ready",5,IF(INDEX(Lists!$N$2:$N$5,MATCH(I10,Lists!$M$2:$M$5,0))=INDEX(Lists!$E$2:$E$11,MATCH(O10,Lists!$B$2:$B$11,0))-1,3,1))+0.25*INDEX(Lists!$N$13:$N$15,MATCH(H10,Lists!$M$13:$M$15,0))+0.25*(6-P10)+0.2*IF(S10="Within current position",5,2),2))</f>
        <v/>
      </c>
      <c r="W10" s="37" t="str">
        <f>IF(U10="","",IF(Q10="No",IF(L10="Yes","Medium","Low"),IF(IF(L10="Yes",2,0)+IF(M10="Yes",1,0)+INDEX(Lists!$N$18:$N$20,MATCH(N10,Lists!$M$18:$M$20,0))+IF(K10=5,2,IF(K10&gt;=4,1,0))&gt;=4,"High",IF(IF(L10="Yes",2,0)+IF(M10="Yes",1,0)+INDEX(Lists!$N$18:$N$20,MATCH(N10,Lists!$M$18:$M$20,0))+IF(K10=5,2,IF(K10&gt;=4,1,0))&gt;=2,"Medium","Low"))))</f>
        <v/>
      </c>
      <c r="X10" s="37" t="str">
        <f>IF(U10="","",IF(AND(U10&gt;=$D$4,V10&gt;=$D$4),"Quick win",IF(U10&gt;=$D$4,"Strategic bet",IF(V10&gt;=$D$4,"Fill-in","Deprioritise"))))</f>
        <v/>
      </c>
      <c r="Y10" s="39" t="str">
        <f>IF(U10="","",ROUND(U10*V10*IF(W10="High",0.85,1)*IF(T10="Redesign / standardise first",0.8,1),2))</f>
        <v/>
      </c>
      <c r="Z10" s="40" t="str">
        <f>IF(Y10="","",RANK(Y10,$Y$8:$Y$57)+COUNTIF($Y$7:Y9,Y10))</f>
        <v/>
      </c>
      <c r="AA10" s="36" t="str">
        <f>IF(AC10="","",INDEX(Lists!$AV$2:$AV$5,AC10))</f>
        <v/>
      </c>
      <c r="AB10" s="41" t="str">
        <f>IF(Y10="","",ROUND(G10*12*INDEX(Lists!$F$2:$F$11,MATCH(O10,Lists!$B$2:$B$11,0)),0))</f>
        <v/>
      </c>
      <c r="AC10" s="37" t="str">
        <f>IF(Y10="","",IF(X10="Deprioritise",4,IF(T10="AI later - close data gap first",3,IF(OR(T10="Redesign / standardise first",T10="Stretch - partner or later stage",X10="Strategic bet"),2,1))))</f>
        <v/>
      </c>
      <c r="AD10" s="37" t="str">
        <f>IF(Z10="","",AC10*100+Z10)</f>
        <v/>
      </c>
    </row>
    <row r="11" ht="40" customHeight="1">
      <c r="A11" s="14" t="n">
        <v>4</v>
      </c>
      <c r="B11" s="35" t="n"/>
      <c r="C11" s="35" t="n"/>
      <c r="D11" s="35" t="n"/>
      <c r="E11" s="35" t="n"/>
      <c r="F11" s="35" t="n"/>
      <c r="G11" s="35" t="n"/>
      <c r="H11" s="35" t="n"/>
      <c r="I11" s="35" t="n"/>
      <c r="J11" s="35" t="n"/>
      <c r="K11" s="35" t="n"/>
      <c r="L11" s="35" t="n"/>
      <c r="M11" s="35" t="n"/>
      <c r="N11" s="35" t="n"/>
      <c r="O11" s="36" t="str">
        <f>IF(OR(C11="",E11=""),"",INDEX(Lists!$B$2:$B$11,MATCH(E11,Lists!$A$2:$A$11,0)))</f>
        <v/>
      </c>
      <c r="P11" s="37" t="str">
        <f>IF(O11="","",INDEX(Lists!$C$2:$C$11,MATCH(O11,Lists!$B$2:$B$11,0)))</f>
        <v/>
      </c>
      <c r="Q11" s="37" t="str">
        <f>IF(O11="","",INDEX(Lists!$D$2:$D$11,MATCH(O11,Lists!$B$2:$B$11,0)))</f>
        <v/>
      </c>
      <c r="R11" s="37" t="str">
        <f>IF(OR(O11="",I11=""),"",IF(INDEX(Lists!$N$2:$N$5,MATCH(I11,Lists!$M$2:$M$5,0))&gt;=INDEX(Lists!$E$2:$E$11,MATCH(O11,Lists!$B$2:$B$11,0)),"Data ready","Data gap"))</f>
        <v/>
      </c>
      <c r="S11" s="36" t="str">
        <f>IF(O11="","",IF(P11&lt;=IF('1. AI Position'!$C$30="",5,INDEX(Lists!$AI$2:$AI$5,'1. AI Position'!$C$30)),"Within current position","Beyond current position"))</f>
        <v/>
      </c>
      <c r="T11" s="38" t="str">
        <f>IF(O11="","",IF(COUNTA(E11:N11)&lt;10,"Complete inputs",IF(H11="No - varies by person / team","Redesign / standardise first",IF(Q11="No","Automate - AI not needed",IF(R11="Data gap","AI later - close data gap first",IF(S11="Beyond current position","Stretch - partner or later stage","AI fit now"))))))</f>
        <v/>
      </c>
      <c r="U11" s="39" t="str">
        <f>IF(OR(T11="",T11="Complete inputs"),"",ROUND(0.3*INDEX(Lists!$N$8:$N$10,MATCH(F11,Lists!$M$8:$M$10,0))+0.25*IF(G11&lt;20,1,IF(G11&lt;80,2,IF(G11&lt;160,3,IF(G11&lt;480,4,5))))+0.25*J11+0.2*K11,2))</f>
        <v/>
      </c>
      <c r="V11" s="39" t="str">
        <f>IF(U11="","",ROUND(0.3*IF(R11="Data ready",5,IF(INDEX(Lists!$N$2:$N$5,MATCH(I11,Lists!$M$2:$M$5,0))=INDEX(Lists!$E$2:$E$11,MATCH(O11,Lists!$B$2:$B$11,0))-1,3,1))+0.25*INDEX(Lists!$N$13:$N$15,MATCH(H11,Lists!$M$13:$M$15,0))+0.25*(6-P11)+0.2*IF(S11="Within current position",5,2),2))</f>
        <v/>
      </c>
      <c r="W11" s="37" t="str">
        <f>IF(U11="","",IF(Q11="No",IF(L11="Yes","Medium","Low"),IF(IF(L11="Yes",2,0)+IF(M11="Yes",1,0)+INDEX(Lists!$N$18:$N$20,MATCH(N11,Lists!$M$18:$M$20,0))+IF(K11=5,2,IF(K11&gt;=4,1,0))&gt;=4,"High",IF(IF(L11="Yes",2,0)+IF(M11="Yes",1,0)+INDEX(Lists!$N$18:$N$20,MATCH(N11,Lists!$M$18:$M$20,0))+IF(K11=5,2,IF(K11&gt;=4,1,0))&gt;=2,"Medium","Low"))))</f>
        <v/>
      </c>
      <c r="X11" s="37" t="str">
        <f>IF(U11="","",IF(AND(U11&gt;=$D$4,V11&gt;=$D$4),"Quick win",IF(U11&gt;=$D$4,"Strategic bet",IF(V11&gt;=$D$4,"Fill-in","Deprioritise"))))</f>
        <v/>
      </c>
      <c r="Y11" s="39" t="str">
        <f>IF(U11="","",ROUND(U11*V11*IF(W11="High",0.85,1)*IF(T11="Redesign / standardise first",0.8,1),2))</f>
        <v/>
      </c>
      <c r="Z11" s="40" t="str">
        <f>IF(Y11="","",RANK(Y11,$Y$8:$Y$57)+COUNTIF($Y$7:Y10,Y11))</f>
        <v/>
      </c>
      <c r="AA11" s="36" t="str">
        <f>IF(AC11="","",INDEX(Lists!$AV$2:$AV$5,AC11))</f>
        <v/>
      </c>
      <c r="AB11" s="41" t="str">
        <f>IF(Y11="","",ROUND(G11*12*INDEX(Lists!$F$2:$F$11,MATCH(O11,Lists!$B$2:$B$11,0)),0))</f>
        <v/>
      </c>
      <c r="AC11" s="37" t="str">
        <f>IF(Y11="","",IF(X11="Deprioritise",4,IF(T11="AI later - close data gap first",3,IF(OR(T11="Redesign / standardise first",T11="Stretch - partner or later stage",X11="Strategic bet"),2,1))))</f>
        <v/>
      </c>
      <c r="AD11" s="37" t="str">
        <f>IF(Z11="","",AC11*100+Z11)</f>
        <v/>
      </c>
    </row>
    <row r="12" ht="40" customHeight="1">
      <c r="A12" s="14" t="n">
        <v>5</v>
      </c>
      <c r="B12" s="35" t="n"/>
      <c r="C12" s="35" t="n"/>
      <c r="D12" s="35" t="n"/>
      <c r="E12" s="35" t="n"/>
      <c r="F12" s="35" t="n"/>
      <c r="G12" s="35" t="n"/>
      <c r="H12" s="35" t="n"/>
      <c r="I12" s="35" t="n"/>
      <c r="J12" s="35" t="n"/>
      <c r="K12" s="35" t="n"/>
      <c r="L12" s="35" t="n"/>
      <c r="M12" s="35" t="n"/>
      <c r="N12" s="35" t="n"/>
      <c r="O12" s="36" t="str">
        <f>IF(OR(C12="",E12=""),"",INDEX(Lists!$B$2:$B$11,MATCH(E12,Lists!$A$2:$A$11,0)))</f>
        <v/>
      </c>
      <c r="P12" s="37" t="str">
        <f>IF(O12="","",INDEX(Lists!$C$2:$C$11,MATCH(O12,Lists!$B$2:$B$11,0)))</f>
        <v/>
      </c>
      <c r="Q12" s="37" t="str">
        <f>IF(O12="","",INDEX(Lists!$D$2:$D$11,MATCH(O12,Lists!$B$2:$B$11,0)))</f>
        <v/>
      </c>
      <c r="R12" s="37" t="str">
        <f>IF(OR(O12="",I12=""),"",IF(INDEX(Lists!$N$2:$N$5,MATCH(I12,Lists!$M$2:$M$5,0))&gt;=INDEX(Lists!$E$2:$E$11,MATCH(O12,Lists!$B$2:$B$11,0)),"Data ready","Data gap"))</f>
        <v/>
      </c>
      <c r="S12" s="36" t="str">
        <f>IF(O12="","",IF(P12&lt;=IF('1. AI Position'!$C$30="",5,INDEX(Lists!$AI$2:$AI$5,'1. AI Position'!$C$30)),"Within current position","Beyond current position"))</f>
        <v/>
      </c>
      <c r="T12" s="38" t="str">
        <f>IF(O12="","",IF(COUNTA(E12:N12)&lt;10,"Complete inputs",IF(H12="No - varies by person / team","Redesign / standardise first",IF(Q12="No","Automate - AI not needed",IF(R12="Data gap","AI later - close data gap first",IF(S12="Beyond current position","Stretch - partner or later stage","AI fit now"))))))</f>
        <v/>
      </c>
      <c r="U12" s="39" t="str">
        <f>IF(OR(T12="",T12="Complete inputs"),"",ROUND(0.3*INDEX(Lists!$N$8:$N$10,MATCH(F12,Lists!$M$8:$M$10,0))+0.25*IF(G12&lt;20,1,IF(G12&lt;80,2,IF(G12&lt;160,3,IF(G12&lt;480,4,5))))+0.25*J12+0.2*K12,2))</f>
        <v/>
      </c>
      <c r="V12" s="39" t="str">
        <f>IF(U12="","",ROUND(0.3*IF(R12="Data ready",5,IF(INDEX(Lists!$N$2:$N$5,MATCH(I12,Lists!$M$2:$M$5,0))=INDEX(Lists!$E$2:$E$11,MATCH(O12,Lists!$B$2:$B$11,0))-1,3,1))+0.25*INDEX(Lists!$N$13:$N$15,MATCH(H12,Lists!$M$13:$M$15,0))+0.25*(6-P12)+0.2*IF(S12="Within current position",5,2),2))</f>
        <v/>
      </c>
      <c r="W12" s="37" t="str">
        <f>IF(U12="","",IF(Q12="No",IF(L12="Yes","Medium","Low"),IF(IF(L12="Yes",2,0)+IF(M12="Yes",1,0)+INDEX(Lists!$N$18:$N$20,MATCH(N12,Lists!$M$18:$M$20,0))+IF(K12=5,2,IF(K12&gt;=4,1,0))&gt;=4,"High",IF(IF(L12="Yes",2,0)+IF(M12="Yes",1,0)+INDEX(Lists!$N$18:$N$20,MATCH(N12,Lists!$M$18:$M$20,0))+IF(K12=5,2,IF(K12&gt;=4,1,0))&gt;=2,"Medium","Low"))))</f>
        <v/>
      </c>
      <c r="X12" s="37" t="str">
        <f>IF(U12="","",IF(AND(U12&gt;=$D$4,V12&gt;=$D$4),"Quick win",IF(U12&gt;=$D$4,"Strategic bet",IF(V12&gt;=$D$4,"Fill-in","Deprioritise"))))</f>
        <v/>
      </c>
      <c r="Y12" s="39" t="str">
        <f>IF(U12="","",ROUND(U12*V12*IF(W12="High",0.85,1)*IF(T12="Redesign / standardise first",0.8,1),2))</f>
        <v/>
      </c>
      <c r="Z12" s="40" t="str">
        <f>IF(Y12="","",RANK(Y12,$Y$8:$Y$57)+COUNTIF($Y$7:Y11,Y12))</f>
        <v/>
      </c>
      <c r="AA12" s="36" t="str">
        <f>IF(AC12="","",INDEX(Lists!$AV$2:$AV$5,AC12))</f>
        <v/>
      </c>
      <c r="AB12" s="41" t="str">
        <f>IF(Y12="","",ROUND(G12*12*INDEX(Lists!$F$2:$F$11,MATCH(O12,Lists!$B$2:$B$11,0)),0))</f>
        <v/>
      </c>
      <c r="AC12" s="37" t="str">
        <f>IF(Y12="","",IF(X12="Deprioritise",4,IF(T12="AI later - close data gap first",3,IF(OR(T12="Redesign / standardise first",T12="Stretch - partner or later stage",X12="Strategic bet"),2,1))))</f>
        <v/>
      </c>
      <c r="AD12" s="37" t="str">
        <f>IF(Z12="","",AC12*100+Z12)</f>
        <v/>
      </c>
    </row>
    <row r="13" ht="40" customHeight="1">
      <c r="A13" s="14" t="n">
        <v>6</v>
      </c>
      <c r="B13" s="35" t="n"/>
      <c r="C13" s="35" t="n"/>
      <c r="D13" s="35" t="n"/>
      <c r="E13" s="35" t="n"/>
      <c r="F13" s="35" t="n"/>
      <c r="G13" s="35" t="n"/>
      <c r="H13" s="35" t="n"/>
      <c r="I13" s="35" t="n"/>
      <c r="J13" s="35" t="n"/>
      <c r="K13" s="35" t="n"/>
      <c r="L13" s="35" t="n"/>
      <c r="M13" s="35" t="n"/>
      <c r="N13" s="35" t="n"/>
      <c r="O13" s="36" t="str">
        <f>IF(OR(C13="",E13=""),"",INDEX(Lists!$B$2:$B$11,MATCH(E13,Lists!$A$2:$A$11,0)))</f>
        <v/>
      </c>
      <c r="P13" s="37" t="str">
        <f>IF(O13="","",INDEX(Lists!$C$2:$C$11,MATCH(O13,Lists!$B$2:$B$11,0)))</f>
        <v/>
      </c>
      <c r="Q13" s="37" t="str">
        <f>IF(O13="","",INDEX(Lists!$D$2:$D$11,MATCH(O13,Lists!$B$2:$B$11,0)))</f>
        <v/>
      </c>
      <c r="R13" s="37" t="str">
        <f>IF(OR(O13="",I13=""),"",IF(INDEX(Lists!$N$2:$N$5,MATCH(I13,Lists!$M$2:$M$5,0))&gt;=INDEX(Lists!$E$2:$E$11,MATCH(O13,Lists!$B$2:$B$11,0)),"Data ready","Data gap"))</f>
        <v/>
      </c>
      <c r="S13" s="36" t="str">
        <f>IF(O13="","",IF(P13&lt;=IF('1. AI Position'!$C$30="",5,INDEX(Lists!$AI$2:$AI$5,'1. AI Position'!$C$30)),"Within current position","Beyond current position"))</f>
        <v/>
      </c>
      <c r="T13" s="38" t="str">
        <f>IF(O13="","",IF(COUNTA(E13:N13)&lt;10,"Complete inputs",IF(H13="No - varies by person / team","Redesign / standardise first",IF(Q13="No","Automate - AI not needed",IF(R13="Data gap","AI later - close data gap first",IF(S13="Beyond current position","Stretch - partner or later stage","AI fit now"))))))</f>
        <v/>
      </c>
      <c r="U13" s="39" t="str">
        <f>IF(OR(T13="",T13="Complete inputs"),"",ROUND(0.3*INDEX(Lists!$N$8:$N$10,MATCH(F13,Lists!$M$8:$M$10,0))+0.25*IF(G13&lt;20,1,IF(G13&lt;80,2,IF(G13&lt;160,3,IF(G13&lt;480,4,5))))+0.25*J13+0.2*K13,2))</f>
        <v/>
      </c>
      <c r="V13" s="39" t="str">
        <f>IF(U13="","",ROUND(0.3*IF(R13="Data ready",5,IF(INDEX(Lists!$N$2:$N$5,MATCH(I13,Lists!$M$2:$M$5,0))=INDEX(Lists!$E$2:$E$11,MATCH(O13,Lists!$B$2:$B$11,0))-1,3,1))+0.25*INDEX(Lists!$N$13:$N$15,MATCH(H13,Lists!$M$13:$M$15,0))+0.25*(6-P13)+0.2*IF(S13="Within current position",5,2),2))</f>
        <v/>
      </c>
      <c r="W13" s="37" t="str">
        <f>IF(U13="","",IF(Q13="No",IF(L13="Yes","Medium","Low"),IF(IF(L13="Yes",2,0)+IF(M13="Yes",1,0)+INDEX(Lists!$N$18:$N$20,MATCH(N13,Lists!$M$18:$M$20,0))+IF(K13=5,2,IF(K13&gt;=4,1,0))&gt;=4,"High",IF(IF(L13="Yes",2,0)+IF(M13="Yes",1,0)+INDEX(Lists!$N$18:$N$20,MATCH(N13,Lists!$M$18:$M$20,0))+IF(K13=5,2,IF(K13&gt;=4,1,0))&gt;=2,"Medium","Low"))))</f>
        <v/>
      </c>
      <c r="X13" s="37" t="str">
        <f>IF(U13="","",IF(AND(U13&gt;=$D$4,V13&gt;=$D$4),"Quick win",IF(U13&gt;=$D$4,"Strategic bet",IF(V13&gt;=$D$4,"Fill-in","Deprioritise"))))</f>
        <v/>
      </c>
      <c r="Y13" s="39" t="str">
        <f>IF(U13="","",ROUND(U13*V13*IF(W13="High",0.85,1)*IF(T13="Redesign / standardise first",0.8,1),2))</f>
        <v/>
      </c>
      <c r="Z13" s="40" t="str">
        <f>IF(Y13="","",RANK(Y13,$Y$8:$Y$57)+COUNTIF($Y$7:Y12,Y13))</f>
        <v/>
      </c>
      <c r="AA13" s="36" t="str">
        <f>IF(AC13="","",INDEX(Lists!$AV$2:$AV$5,AC13))</f>
        <v/>
      </c>
      <c r="AB13" s="41" t="str">
        <f>IF(Y13="","",ROUND(G13*12*INDEX(Lists!$F$2:$F$11,MATCH(O13,Lists!$B$2:$B$11,0)),0))</f>
        <v/>
      </c>
      <c r="AC13" s="37" t="str">
        <f>IF(Y13="","",IF(X13="Deprioritise",4,IF(T13="AI later - close data gap first",3,IF(OR(T13="Redesign / standardise first",T13="Stretch - partner or later stage",X13="Strategic bet"),2,1))))</f>
        <v/>
      </c>
      <c r="AD13" s="37" t="str">
        <f>IF(Z13="","",AC13*100+Z13)</f>
        <v/>
      </c>
    </row>
    <row r="14" ht="40" customHeight="1">
      <c r="A14" s="14" t="n">
        <v>7</v>
      </c>
      <c r="B14" s="35" t="n"/>
      <c r="C14" s="35" t="n"/>
      <c r="D14" s="35" t="n"/>
      <c r="E14" s="35" t="n"/>
      <c r="F14" s="35" t="n"/>
      <c r="G14" s="35" t="n"/>
      <c r="H14" s="35" t="n"/>
      <c r="I14" s="35" t="n"/>
      <c r="J14" s="35" t="n"/>
      <c r="K14" s="35" t="n"/>
      <c r="L14" s="35" t="n"/>
      <c r="M14" s="35" t="n"/>
      <c r="N14" s="35" t="n"/>
      <c r="O14" s="36" t="str">
        <f>IF(OR(C14="",E14=""),"",INDEX(Lists!$B$2:$B$11,MATCH(E14,Lists!$A$2:$A$11,0)))</f>
        <v/>
      </c>
      <c r="P14" s="37" t="str">
        <f>IF(O14="","",INDEX(Lists!$C$2:$C$11,MATCH(O14,Lists!$B$2:$B$11,0)))</f>
        <v/>
      </c>
      <c r="Q14" s="37" t="str">
        <f>IF(O14="","",INDEX(Lists!$D$2:$D$11,MATCH(O14,Lists!$B$2:$B$11,0)))</f>
        <v/>
      </c>
      <c r="R14" s="37" t="str">
        <f>IF(OR(O14="",I14=""),"",IF(INDEX(Lists!$N$2:$N$5,MATCH(I14,Lists!$M$2:$M$5,0))&gt;=INDEX(Lists!$E$2:$E$11,MATCH(O14,Lists!$B$2:$B$11,0)),"Data ready","Data gap"))</f>
        <v/>
      </c>
      <c r="S14" s="36" t="str">
        <f>IF(O14="","",IF(P14&lt;=IF('1. AI Position'!$C$30="",5,INDEX(Lists!$AI$2:$AI$5,'1. AI Position'!$C$30)),"Within current position","Beyond current position"))</f>
        <v/>
      </c>
      <c r="T14" s="38" t="str">
        <f>IF(O14="","",IF(COUNTA(E14:N14)&lt;10,"Complete inputs",IF(H14="No - varies by person / team","Redesign / standardise first",IF(Q14="No","Automate - AI not needed",IF(R14="Data gap","AI later - close data gap first",IF(S14="Beyond current position","Stretch - partner or later stage","AI fit now"))))))</f>
        <v/>
      </c>
      <c r="U14" s="39" t="str">
        <f>IF(OR(T14="",T14="Complete inputs"),"",ROUND(0.3*INDEX(Lists!$N$8:$N$10,MATCH(F14,Lists!$M$8:$M$10,0))+0.25*IF(G14&lt;20,1,IF(G14&lt;80,2,IF(G14&lt;160,3,IF(G14&lt;480,4,5))))+0.25*J14+0.2*K14,2))</f>
        <v/>
      </c>
      <c r="V14" s="39" t="str">
        <f>IF(U14="","",ROUND(0.3*IF(R14="Data ready",5,IF(INDEX(Lists!$N$2:$N$5,MATCH(I14,Lists!$M$2:$M$5,0))=INDEX(Lists!$E$2:$E$11,MATCH(O14,Lists!$B$2:$B$11,0))-1,3,1))+0.25*INDEX(Lists!$N$13:$N$15,MATCH(H14,Lists!$M$13:$M$15,0))+0.25*(6-P14)+0.2*IF(S14="Within current position",5,2),2))</f>
        <v/>
      </c>
      <c r="W14" s="37" t="str">
        <f>IF(U14="","",IF(Q14="No",IF(L14="Yes","Medium","Low"),IF(IF(L14="Yes",2,0)+IF(M14="Yes",1,0)+INDEX(Lists!$N$18:$N$20,MATCH(N14,Lists!$M$18:$M$20,0))+IF(K14=5,2,IF(K14&gt;=4,1,0))&gt;=4,"High",IF(IF(L14="Yes",2,0)+IF(M14="Yes",1,0)+INDEX(Lists!$N$18:$N$20,MATCH(N14,Lists!$M$18:$M$20,0))+IF(K14=5,2,IF(K14&gt;=4,1,0))&gt;=2,"Medium","Low"))))</f>
        <v/>
      </c>
      <c r="X14" s="37" t="str">
        <f>IF(U14="","",IF(AND(U14&gt;=$D$4,V14&gt;=$D$4),"Quick win",IF(U14&gt;=$D$4,"Strategic bet",IF(V14&gt;=$D$4,"Fill-in","Deprioritise"))))</f>
        <v/>
      </c>
      <c r="Y14" s="39" t="str">
        <f>IF(U14="","",ROUND(U14*V14*IF(W14="High",0.85,1)*IF(T14="Redesign / standardise first",0.8,1),2))</f>
        <v/>
      </c>
      <c r="Z14" s="40" t="str">
        <f>IF(Y14="","",RANK(Y14,$Y$8:$Y$57)+COUNTIF($Y$7:Y13,Y14))</f>
        <v/>
      </c>
      <c r="AA14" s="36" t="str">
        <f>IF(AC14="","",INDEX(Lists!$AV$2:$AV$5,AC14))</f>
        <v/>
      </c>
      <c r="AB14" s="41" t="str">
        <f>IF(Y14="","",ROUND(G14*12*INDEX(Lists!$F$2:$F$11,MATCH(O14,Lists!$B$2:$B$11,0)),0))</f>
        <v/>
      </c>
      <c r="AC14" s="37" t="str">
        <f>IF(Y14="","",IF(X14="Deprioritise",4,IF(T14="AI later - close data gap first",3,IF(OR(T14="Redesign / standardise first",T14="Stretch - partner or later stage",X14="Strategic bet"),2,1))))</f>
        <v/>
      </c>
      <c r="AD14" s="37" t="str">
        <f>IF(Z14="","",AC14*100+Z14)</f>
        <v/>
      </c>
    </row>
    <row r="15" ht="40" customHeight="1">
      <c r="A15" s="14" t="n">
        <v>8</v>
      </c>
      <c r="B15" s="35" t="n"/>
      <c r="C15" s="35" t="n"/>
      <c r="D15" s="35" t="n"/>
      <c r="E15" s="35" t="n"/>
      <c r="F15" s="35" t="n"/>
      <c r="G15" s="35" t="n"/>
      <c r="H15" s="35" t="n"/>
      <c r="I15" s="35" t="n"/>
      <c r="J15" s="35" t="n"/>
      <c r="K15" s="35" t="n"/>
      <c r="L15" s="35" t="n"/>
      <c r="M15" s="35" t="n"/>
      <c r="N15" s="35" t="n"/>
      <c r="O15" s="36" t="str">
        <f>IF(OR(C15="",E15=""),"",INDEX(Lists!$B$2:$B$11,MATCH(E15,Lists!$A$2:$A$11,0)))</f>
        <v/>
      </c>
      <c r="P15" s="37" t="str">
        <f>IF(O15="","",INDEX(Lists!$C$2:$C$11,MATCH(O15,Lists!$B$2:$B$11,0)))</f>
        <v/>
      </c>
      <c r="Q15" s="37" t="str">
        <f>IF(O15="","",INDEX(Lists!$D$2:$D$11,MATCH(O15,Lists!$B$2:$B$11,0)))</f>
        <v/>
      </c>
      <c r="R15" s="37" t="str">
        <f>IF(OR(O15="",I15=""),"",IF(INDEX(Lists!$N$2:$N$5,MATCH(I15,Lists!$M$2:$M$5,0))&gt;=INDEX(Lists!$E$2:$E$11,MATCH(O15,Lists!$B$2:$B$11,0)),"Data ready","Data gap"))</f>
        <v/>
      </c>
      <c r="S15" s="36" t="str">
        <f>IF(O15="","",IF(P15&lt;=IF('1. AI Position'!$C$30="",5,INDEX(Lists!$AI$2:$AI$5,'1. AI Position'!$C$30)),"Within current position","Beyond current position"))</f>
        <v/>
      </c>
      <c r="T15" s="38" t="str">
        <f>IF(O15="","",IF(COUNTA(E15:N15)&lt;10,"Complete inputs",IF(H15="No - varies by person / team","Redesign / standardise first",IF(Q15="No","Automate - AI not needed",IF(R15="Data gap","AI later - close data gap first",IF(S15="Beyond current position","Stretch - partner or later stage","AI fit now"))))))</f>
        <v/>
      </c>
      <c r="U15" s="39" t="str">
        <f>IF(OR(T15="",T15="Complete inputs"),"",ROUND(0.3*INDEX(Lists!$N$8:$N$10,MATCH(F15,Lists!$M$8:$M$10,0))+0.25*IF(G15&lt;20,1,IF(G15&lt;80,2,IF(G15&lt;160,3,IF(G15&lt;480,4,5))))+0.25*J15+0.2*K15,2))</f>
        <v/>
      </c>
      <c r="V15" s="39" t="str">
        <f>IF(U15="","",ROUND(0.3*IF(R15="Data ready",5,IF(INDEX(Lists!$N$2:$N$5,MATCH(I15,Lists!$M$2:$M$5,0))=INDEX(Lists!$E$2:$E$11,MATCH(O15,Lists!$B$2:$B$11,0))-1,3,1))+0.25*INDEX(Lists!$N$13:$N$15,MATCH(H15,Lists!$M$13:$M$15,0))+0.25*(6-P15)+0.2*IF(S15="Within current position",5,2),2))</f>
        <v/>
      </c>
      <c r="W15" s="37" t="str">
        <f>IF(U15="","",IF(Q15="No",IF(L15="Yes","Medium","Low"),IF(IF(L15="Yes",2,0)+IF(M15="Yes",1,0)+INDEX(Lists!$N$18:$N$20,MATCH(N15,Lists!$M$18:$M$20,0))+IF(K15=5,2,IF(K15&gt;=4,1,0))&gt;=4,"High",IF(IF(L15="Yes",2,0)+IF(M15="Yes",1,0)+INDEX(Lists!$N$18:$N$20,MATCH(N15,Lists!$M$18:$M$20,0))+IF(K15=5,2,IF(K15&gt;=4,1,0))&gt;=2,"Medium","Low"))))</f>
        <v/>
      </c>
      <c r="X15" s="37" t="str">
        <f>IF(U15="","",IF(AND(U15&gt;=$D$4,V15&gt;=$D$4),"Quick win",IF(U15&gt;=$D$4,"Strategic bet",IF(V15&gt;=$D$4,"Fill-in","Deprioritise"))))</f>
        <v/>
      </c>
      <c r="Y15" s="39" t="str">
        <f>IF(U15="","",ROUND(U15*V15*IF(W15="High",0.85,1)*IF(T15="Redesign / standardise first",0.8,1),2))</f>
        <v/>
      </c>
      <c r="Z15" s="40" t="str">
        <f>IF(Y15="","",RANK(Y15,$Y$8:$Y$57)+COUNTIF($Y$7:Y14,Y15))</f>
        <v/>
      </c>
      <c r="AA15" s="36" t="str">
        <f>IF(AC15="","",INDEX(Lists!$AV$2:$AV$5,AC15))</f>
        <v/>
      </c>
      <c r="AB15" s="41" t="str">
        <f>IF(Y15="","",ROUND(G15*12*INDEX(Lists!$F$2:$F$11,MATCH(O15,Lists!$B$2:$B$11,0)),0))</f>
        <v/>
      </c>
      <c r="AC15" s="37" t="str">
        <f>IF(Y15="","",IF(X15="Deprioritise",4,IF(T15="AI later - close data gap first",3,IF(OR(T15="Redesign / standardise first",T15="Stretch - partner or later stage",X15="Strategic bet"),2,1))))</f>
        <v/>
      </c>
      <c r="AD15" s="37" t="str">
        <f>IF(Z15="","",AC15*100+Z15)</f>
        <v/>
      </c>
    </row>
    <row r="16" ht="40" customHeight="1">
      <c r="A16" s="14" t="n">
        <v>9</v>
      </c>
      <c r="B16" s="35" t="n"/>
      <c r="C16" s="35" t="n"/>
      <c r="D16" s="35" t="n"/>
      <c r="E16" s="35" t="n"/>
      <c r="F16" s="35" t="n"/>
      <c r="G16" s="35" t="n"/>
      <c r="H16" s="35" t="n"/>
      <c r="I16" s="35" t="n"/>
      <c r="J16" s="35" t="n"/>
      <c r="K16" s="35" t="n"/>
      <c r="L16" s="35" t="n"/>
      <c r="M16" s="35" t="n"/>
      <c r="N16" s="35" t="n"/>
      <c r="O16" s="36" t="str">
        <f>IF(OR(C16="",E16=""),"",INDEX(Lists!$B$2:$B$11,MATCH(E16,Lists!$A$2:$A$11,0)))</f>
        <v/>
      </c>
      <c r="P16" s="37" t="str">
        <f>IF(O16="","",INDEX(Lists!$C$2:$C$11,MATCH(O16,Lists!$B$2:$B$11,0)))</f>
        <v/>
      </c>
      <c r="Q16" s="37" t="str">
        <f>IF(O16="","",INDEX(Lists!$D$2:$D$11,MATCH(O16,Lists!$B$2:$B$11,0)))</f>
        <v/>
      </c>
      <c r="R16" s="37" t="str">
        <f>IF(OR(O16="",I16=""),"",IF(INDEX(Lists!$N$2:$N$5,MATCH(I16,Lists!$M$2:$M$5,0))&gt;=INDEX(Lists!$E$2:$E$11,MATCH(O16,Lists!$B$2:$B$11,0)),"Data ready","Data gap"))</f>
        <v/>
      </c>
      <c r="S16" s="36" t="str">
        <f>IF(O16="","",IF(P16&lt;=IF('1. AI Position'!$C$30="",5,INDEX(Lists!$AI$2:$AI$5,'1. AI Position'!$C$30)),"Within current position","Beyond current position"))</f>
        <v/>
      </c>
      <c r="T16" s="38" t="str">
        <f>IF(O16="","",IF(COUNTA(E16:N16)&lt;10,"Complete inputs",IF(H16="No - varies by person / team","Redesign / standardise first",IF(Q16="No","Automate - AI not needed",IF(R16="Data gap","AI later - close data gap first",IF(S16="Beyond current position","Stretch - partner or later stage","AI fit now"))))))</f>
        <v/>
      </c>
      <c r="U16" s="39" t="str">
        <f>IF(OR(T16="",T16="Complete inputs"),"",ROUND(0.3*INDEX(Lists!$N$8:$N$10,MATCH(F16,Lists!$M$8:$M$10,0))+0.25*IF(G16&lt;20,1,IF(G16&lt;80,2,IF(G16&lt;160,3,IF(G16&lt;480,4,5))))+0.25*J16+0.2*K16,2))</f>
        <v/>
      </c>
      <c r="V16" s="39" t="str">
        <f>IF(U16="","",ROUND(0.3*IF(R16="Data ready",5,IF(INDEX(Lists!$N$2:$N$5,MATCH(I16,Lists!$M$2:$M$5,0))=INDEX(Lists!$E$2:$E$11,MATCH(O16,Lists!$B$2:$B$11,0))-1,3,1))+0.25*INDEX(Lists!$N$13:$N$15,MATCH(H16,Lists!$M$13:$M$15,0))+0.25*(6-P16)+0.2*IF(S16="Within current position",5,2),2))</f>
        <v/>
      </c>
      <c r="W16" s="37" t="str">
        <f>IF(U16="","",IF(Q16="No",IF(L16="Yes","Medium","Low"),IF(IF(L16="Yes",2,0)+IF(M16="Yes",1,0)+INDEX(Lists!$N$18:$N$20,MATCH(N16,Lists!$M$18:$M$20,0))+IF(K16=5,2,IF(K16&gt;=4,1,0))&gt;=4,"High",IF(IF(L16="Yes",2,0)+IF(M16="Yes",1,0)+INDEX(Lists!$N$18:$N$20,MATCH(N16,Lists!$M$18:$M$20,0))+IF(K16=5,2,IF(K16&gt;=4,1,0))&gt;=2,"Medium","Low"))))</f>
        <v/>
      </c>
      <c r="X16" s="37" t="str">
        <f>IF(U16="","",IF(AND(U16&gt;=$D$4,V16&gt;=$D$4),"Quick win",IF(U16&gt;=$D$4,"Strategic bet",IF(V16&gt;=$D$4,"Fill-in","Deprioritise"))))</f>
        <v/>
      </c>
      <c r="Y16" s="39" t="str">
        <f>IF(U16="","",ROUND(U16*V16*IF(W16="High",0.85,1)*IF(T16="Redesign / standardise first",0.8,1),2))</f>
        <v/>
      </c>
      <c r="Z16" s="40" t="str">
        <f>IF(Y16="","",RANK(Y16,$Y$8:$Y$57)+COUNTIF($Y$7:Y15,Y16))</f>
        <v/>
      </c>
      <c r="AA16" s="36" t="str">
        <f>IF(AC16="","",INDEX(Lists!$AV$2:$AV$5,AC16))</f>
        <v/>
      </c>
      <c r="AB16" s="41" t="str">
        <f>IF(Y16="","",ROUND(G16*12*INDEX(Lists!$F$2:$F$11,MATCH(O16,Lists!$B$2:$B$11,0)),0))</f>
        <v/>
      </c>
      <c r="AC16" s="37" t="str">
        <f>IF(Y16="","",IF(X16="Deprioritise",4,IF(T16="AI later - close data gap first",3,IF(OR(T16="Redesign / standardise first",T16="Stretch - partner or later stage",X16="Strategic bet"),2,1))))</f>
        <v/>
      </c>
      <c r="AD16" s="37" t="str">
        <f>IF(Z16="","",AC16*100+Z16)</f>
        <v/>
      </c>
    </row>
    <row r="17" ht="40" customHeight="1">
      <c r="A17" s="14" t="n">
        <v>10</v>
      </c>
      <c r="B17" s="35" t="n"/>
      <c r="C17" s="35" t="n"/>
      <c r="D17" s="35" t="n"/>
      <c r="E17" s="35" t="n"/>
      <c r="F17" s="35" t="n"/>
      <c r="G17" s="35" t="n"/>
      <c r="H17" s="35" t="n"/>
      <c r="I17" s="35" t="n"/>
      <c r="J17" s="35" t="n"/>
      <c r="K17" s="35" t="n"/>
      <c r="L17" s="35" t="n"/>
      <c r="M17" s="35" t="n"/>
      <c r="N17" s="35" t="n"/>
      <c r="O17" s="36" t="str">
        <f>IF(OR(C17="",E17=""),"",INDEX(Lists!$B$2:$B$11,MATCH(E17,Lists!$A$2:$A$11,0)))</f>
        <v/>
      </c>
      <c r="P17" s="37" t="str">
        <f>IF(O17="","",INDEX(Lists!$C$2:$C$11,MATCH(O17,Lists!$B$2:$B$11,0)))</f>
        <v/>
      </c>
      <c r="Q17" s="37" t="str">
        <f>IF(O17="","",INDEX(Lists!$D$2:$D$11,MATCH(O17,Lists!$B$2:$B$11,0)))</f>
        <v/>
      </c>
      <c r="R17" s="37" t="str">
        <f>IF(OR(O17="",I17=""),"",IF(INDEX(Lists!$N$2:$N$5,MATCH(I17,Lists!$M$2:$M$5,0))&gt;=INDEX(Lists!$E$2:$E$11,MATCH(O17,Lists!$B$2:$B$11,0)),"Data ready","Data gap"))</f>
        <v/>
      </c>
      <c r="S17" s="36" t="str">
        <f>IF(O17="","",IF(P17&lt;=IF('1. AI Position'!$C$30="",5,INDEX(Lists!$AI$2:$AI$5,'1. AI Position'!$C$30)),"Within current position","Beyond current position"))</f>
        <v/>
      </c>
      <c r="T17" s="38" t="str">
        <f>IF(O17="","",IF(COUNTA(E17:N17)&lt;10,"Complete inputs",IF(H17="No - varies by person / team","Redesign / standardise first",IF(Q17="No","Automate - AI not needed",IF(R17="Data gap","AI later - close data gap first",IF(S17="Beyond current position","Stretch - partner or later stage","AI fit now"))))))</f>
        <v/>
      </c>
      <c r="U17" s="39" t="str">
        <f>IF(OR(T17="",T17="Complete inputs"),"",ROUND(0.3*INDEX(Lists!$N$8:$N$10,MATCH(F17,Lists!$M$8:$M$10,0))+0.25*IF(G17&lt;20,1,IF(G17&lt;80,2,IF(G17&lt;160,3,IF(G17&lt;480,4,5))))+0.25*J17+0.2*K17,2))</f>
        <v/>
      </c>
      <c r="V17" s="39" t="str">
        <f>IF(U17="","",ROUND(0.3*IF(R17="Data ready",5,IF(INDEX(Lists!$N$2:$N$5,MATCH(I17,Lists!$M$2:$M$5,0))=INDEX(Lists!$E$2:$E$11,MATCH(O17,Lists!$B$2:$B$11,0))-1,3,1))+0.25*INDEX(Lists!$N$13:$N$15,MATCH(H17,Lists!$M$13:$M$15,0))+0.25*(6-P17)+0.2*IF(S17="Within current position",5,2),2))</f>
        <v/>
      </c>
      <c r="W17" s="37" t="str">
        <f>IF(U17="","",IF(Q17="No",IF(L17="Yes","Medium","Low"),IF(IF(L17="Yes",2,0)+IF(M17="Yes",1,0)+INDEX(Lists!$N$18:$N$20,MATCH(N17,Lists!$M$18:$M$20,0))+IF(K17=5,2,IF(K17&gt;=4,1,0))&gt;=4,"High",IF(IF(L17="Yes",2,0)+IF(M17="Yes",1,0)+INDEX(Lists!$N$18:$N$20,MATCH(N17,Lists!$M$18:$M$20,0))+IF(K17=5,2,IF(K17&gt;=4,1,0))&gt;=2,"Medium","Low"))))</f>
        <v/>
      </c>
      <c r="X17" s="37" t="str">
        <f>IF(U17="","",IF(AND(U17&gt;=$D$4,V17&gt;=$D$4),"Quick win",IF(U17&gt;=$D$4,"Strategic bet",IF(V17&gt;=$D$4,"Fill-in","Deprioritise"))))</f>
        <v/>
      </c>
      <c r="Y17" s="39" t="str">
        <f>IF(U17="","",ROUND(U17*V17*IF(W17="High",0.85,1)*IF(T17="Redesign / standardise first",0.8,1),2))</f>
        <v/>
      </c>
      <c r="Z17" s="40" t="str">
        <f>IF(Y17="","",RANK(Y17,$Y$8:$Y$57)+COUNTIF($Y$7:Y16,Y17))</f>
        <v/>
      </c>
      <c r="AA17" s="36" t="str">
        <f>IF(AC17="","",INDEX(Lists!$AV$2:$AV$5,AC17))</f>
        <v/>
      </c>
      <c r="AB17" s="41" t="str">
        <f>IF(Y17="","",ROUND(G17*12*INDEX(Lists!$F$2:$F$11,MATCH(O17,Lists!$B$2:$B$11,0)),0))</f>
        <v/>
      </c>
      <c r="AC17" s="37" t="str">
        <f>IF(Y17="","",IF(X17="Deprioritise",4,IF(T17="AI later - close data gap first",3,IF(OR(T17="Redesign / standardise first",T17="Stretch - partner or later stage",X17="Strategic bet"),2,1))))</f>
        <v/>
      </c>
      <c r="AD17" s="37" t="str">
        <f>IF(Z17="","",AC17*100+Z17)</f>
        <v/>
      </c>
    </row>
    <row r="18" ht="40" customHeight="1">
      <c r="A18" s="14" t="n">
        <v>11</v>
      </c>
      <c r="B18" s="35" t="n"/>
      <c r="C18" s="35" t="n"/>
      <c r="D18" s="35" t="n"/>
      <c r="E18" s="35" t="n"/>
      <c r="F18" s="35" t="n"/>
      <c r="G18" s="35" t="n"/>
      <c r="H18" s="35" t="n"/>
      <c r="I18" s="35" t="n"/>
      <c r="J18" s="35" t="n"/>
      <c r="K18" s="35" t="n"/>
      <c r="L18" s="35" t="n"/>
      <c r="M18" s="35" t="n"/>
      <c r="N18" s="35" t="n"/>
      <c r="O18" s="36" t="str">
        <f>IF(OR(C18="",E18=""),"",INDEX(Lists!$B$2:$B$11,MATCH(E18,Lists!$A$2:$A$11,0)))</f>
        <v/>
      </c>
      <c r="P18" s="37" t="str">
        <f>IF(O18="","",INDEX(Lists!$C$2:$C$11,MATCH(O18,Lists!$B$2:$B$11,0)))</f>
        <v/>
      </c>
      <c r="Q18" s="37" t="str">
        <f>IF(O18="","",INDEX(Lists!$D$2:$D$11,MATCH(O18,Lists!$B$2:$B$11,0)))</f>
        <v/>
      </c>
      <c r="R18" s="37" t="str">
        <f>IF(OR(O18="",I18=""),"",IF(INDEX(Lists!$N$2:$N$5,MATCH(I18,Lists!$M$2:$M$5,0))&gt;=INDEX(Lists!$E$2:$E$11,MATCH(O18,Lists!$B$2:$B$11,0)),"Data ready","Data gap"))</f>
        <v/>
      </c>
      <c r="S18" s="36" t="str">
        <f>IF(O18="","",IF(P18&lt;=IF('1. AI Position'!$C$30="",5,INDEX(Lists!$AI$2:$AI$5,'1. AI Position'!$C$30)),"Within current position","Beyond current position"))</f>
        <v/>
      </c>
      <c r="T18" s="38" t="str">
        <f>IF(O18="","",IF(COUNTA(E18:N18)&lt;10,"Complete inputs",IF(H18="No - varies by person / team","Redesign / standardise first",IF(Q18="No","Automate - AI not needed",IF(R18="Data gap","AI later - close data gap first",IF(S18="Beyond current position","Stretch - partner or later stage","AI fit now"))))))</f>
        <v/>
      </c>
      <c r="U18" s="39" t="str">
        <f>IF(OR(T18="",T18="Complete inputs"),"",ROUND(0.3*INDEX(Lists!$N$8:$N$10,MATCH(F18,Lists!$M$8:$M$10,0))+0.25*IF(G18&lt;20,1,IF(G18&lt;80,2,IF(G18&lt;160,3,IF(G18&lt;480,4,5))))+0.25*J18+0.2*K18,2))</f>
        <v/>
      </c>
      <c r="V18" s="39" t="str">
        <f>IF(U18="","",ROUND(0.3*IF(R18="Data ready",5,IF(INDEX(Lists!$N$2:$N$5,MATCH(I18,Lists!$M$2:$M$5,0))=INDEX(Lists!$E$2:$E$11,MATCH(O18,Lists!$B$2:$B$11,0))-1,3,1))+0.25*INDEX(Lists!$N$13:$N$15,MATCH(H18,Lists!$M$13:$M$15,0))+0.25*(6-P18)+0.2*IF(S18="Within current position",5,2),2))</f>
        <v/>
      </c>
      <c r="W18" s="37" t="str">
        <f>IF(U18="","",IF(Q18="No",IF(L18="Yes","Medium","Low"),IF(IF(L18="Yes",2,0)+IF(M18="Yes",1,0)+INDEX(Lists!$N$18:$N$20,MATCH(N18,Lists!$M$18:$M$20,0))+IF(K18=5,2,IF(K18&gt;=4,1,0))&gt;=4,"High",IF(IF(L18="Yes",2,0)+IF(M18="Yes",1,0)+INDEX(Lists!$N$18:$N$20,MATCH(N18,Lists!$M$18:$M$20,0))+IF(K18=5,2,IF(K18&gt;=4,1,0))&gt;=2,"Medium","Low"))))</f>
        <v/>
      </c>
      <c r="X18" s="37" t="str">
        <f>IF(U18="","",IF(AND(U18&gt;=$D$4,V18&gt;=$D$4),"Quick win",IF(U18&gt;=$D$4,"Strategic bet",IF(V18&gt;=$D$4,"Fill-in","Deprioritise"))))</f>
        <v/>
      </c>
      <c r="Y18" s="39" t="str">
        <f>IF(U18="","",ROUND(U18*V18*IF(W18="High",0.85,1)*IF(T18="Redesign / standardise first",0.8,1),2))</f>
        <v/>
      </c>
      <c r="Z18" s="40" t="str">
        <f>IF(Y18="","",RANK(Y18,$Y$8:$Y$57)+COUNTIF($Y$7:Y17,Y18))</f>
        <v/>
      </c>
      <c r="AA18" s="36" t="str">
        <f>IF(AC18="","",INDEX(Lists!$AV$2:$AV$5,AC18))</f>
        <v/>
      </c>
      <c r="AB18" s="41" t="str">
        <f>IF(Y18="","",ROUND(G18*12*INDEX(Lists!$F$2:$F$11,MATCH(O18,Lists!$B$2:$B$11,0)),0))</f>
        <v/>
      </c>
      <c r="AC18" s="37" t="str">
        <f>IF(Y18="","",IF(X18="Deprioritise",4,IF(T18="AI later - close data gap first",3,IF(OR(T18="Redesign / standardise first",T18="Stretch - partner or later stage",X18="Strategic bet"),2,1))))</f>
        <v/>
      </c>
      <c r="AD18" s="37" t="str">
        <f>IF(Z18="","",AC18*100+Z18)</f>
        <v/>
      </c>
    </row>
    <row r="19" ht="40" customHeight="1">
      <c r="A19" s="14" t="n">
        <v>12</v>
      </c>
      <c r="B19" s="35" t="n"/>
      <c r="C19" s="35" t="n"/>
      <c r="D19" s="35" t="n"/>
      <c r="E19" s="35" t="n"/>
      <c r="F19" s="35" t="n"/>
      <c r="G19" s="35" t="n"/>
      <c r="H19" s="35" t="n"/>
      <c r="I19" s="35" t="n"/>
      <c r="J19" s="35" t="n"/>
      <c r="K19" s="35" t="n"/>
      <c r="L19" s="35" t="n"/>
      <c r="M19" s="35" t="n"/>
      <c r="N19" s="35" t="n"/>
      <c r="O19" s="36" t="str">
        <f>IF(OR(C19="",E19=""),"",INDEX(Lists!$B$2:$B$11,MATCH(E19,Lists!$A$2:$A$11,0)))</f>
        <v/>
      </c>
      <c r="P19" s="37" t="str">
        <f>IF(O19="","",INDEX(Lists!$C$2:$C$11,MATCH(O19,Lists!$B$2:$B$11,0)))</f>
        <v/>
      </c>
      <c r="Q19" s="37" t="str">
        <f>IF(O19="","",INDEX(Lists!$D$2:$D$11,MATCH(O19,Lists!$B$2:$B$11,0)))</f>
        <v/>
      </c>
      <c r="R19" s="37" t="str">
        <f>IF(OR(O19="",I19=""),"",IF(INDEX(Lists!$N$2:$N$5,MATCH(I19,Lists!$M$2:$M$5,0))&gt;=INDEX(Lists!$E$2:$E$11,MATCH(O19,Lists!$B$2:$B$11,0)),"Data ready","Data gap"))</f>
        <v/>
      </c>
      <c r="S19" s="36" t="str">
        <f>IF(O19="","",IF(P19&lt;=IF('1. AI Position'!$C$30="",5,INDEX(Lists!$AI$2:$AI$5,'1. AI Position'!$C$30)),"Within current position","Beyond current position"))</f>
        <v/>
      </c>
      <c r="T19" s="38" t="str">
        <f>IF(O19="","",IF(COUNTA(E19:N19)&lt;10,"Complete inputs",IF(H19="No - varies by person / team","Redesign / standardise first",IF(Q19="No","Automate - AI not needed",IF(R19="Data gap","AI later - close data gap first",IF(S19="Beyond current position","Stretch - partner or later stage","AI fit now"))))))</f>
        <v/>
      </c>
      <c r="U19" s="39" t="str">
        <f>IF(OR(T19="",T19="Complete inputs"),"",ROUND(0.3*INDEX(Lists!$N$8:$N$10,MATCH(F19,Lists!$M$8:$M$10,0))+0.25*IF(G19&lt;20,1,IF(G19&lt;80,2,IF(G19&lt;160,3,IF(G19&lt;480,4,5))))+0.25*J19+0.2*K19,2))</f>
        <v/>
      </c>
      <c r="V19" s="39" t="str">
        <f>IF(U19="","",ROUND(0.3*IF(R19="Data ready",5,IF(INDEX(Lists!$N$2:$N$5,MATCH(I19,Lists!$M$2:$M$5,0))=INDEX(Lists!$E$2:$E$11,MATCH(O19,Lists!$B$2:$B$11,0))-1,3,1))+0.25*INDEX(Lists!$N$13:$N$15,MATCH(H19,Lists!$M$13:$M$15,0))+0.25*(6-P19)+0.2*IF(S19="Within current position",5,2),2))</f>
        <v/>
      </c>
      <c r="W19" s="37" t="str">
        <f>IF(U19="","",IF(Q19="No",IF(L19="Yes","Medium","Low"),IF(IF(L19="Yes",2,0)+IF(M19="Yes",1,0)+INDEX(Lists!$N$18:$N$20,MATCH(N19,Lists!$M$18:$M$20,0))+IF(K19=5,2,IF(K19&gt;=4,1,0))&gt;=4,"High",IF(IF(L19="Yes",2,0)+IF(M19="Yes",1,0)+INDEX(Lists!$N$18:$N$20,MATCH(N19,Lists!$M$18:$M$20,0))+IF(K19=5,2,IF(K19&gt;=4,1,0))&gt;=2,"Medium","Low"))))</f>
        <v/>
      </c>
      <c r="X19" s="37" t="str">
        <f>IF(U19="","",IF(AND(U19&gt;=$D$4,V19&gt;=$D$4),"Quick win",IF(U19&gt;=$D$4,"Strategic bet",IF(V19&gt;=$D$4,"Fill-in","Deprioritise"))))</f>
        <v/>
      </c>
      <c r="Y19" s="39" t="str">
        <f>IF(U19="","",ROUND(U19*V19*IF(W19="High",0.85,1)*IF(T19="Redesign / standardise first",0.8,1),2))</f>
        <v/>
      </c>
      <c r="Z19" s="40" t="str">
        <f>IF(Y19="","",RANK(Y19,$Y$8:$Y$57)+COUNTIF($Y$7:Y18,Y19))</f>
        <v/>
      </c>
      <c r="AA19" s="36" t="str">
        <f>IF(AC19="","",INDEX(Lists!$AV$2:$AV$5,AC19))</f>
        <v/>
      </c>
      <c r="AB19" s="41" t="str">
        <f>IF(Y19="","",ROUND(G19*12*INDEX(Lists!$F$2:$F$11,MATCH(O19,Lists!$B$2:$B$11,0)),0))</f>
        <v/>
      </c>
      <c r="AC19" s="37" t="str">
        <f>IF(Y19="","",IF(X19="Deprioritise",4,IF(T19="AI later - close data gap first",3,IF(OR(T19="Redesign / standardise first",T19="Stretch - partner or later stage",X19="Strategic bet"),2,1))))</f>
        <v/>
      </c>
      <c r="AD19" s="37" t="str">
        <f>IF(Z19="","",AC19*100+Z19)</f>
        <v/>
      </c>
    </row>
    <row r="20" ht="40" customHeight="1">
      <c r="A20" s="14" t="n">
        <v>13</v>
      </c>
      <c r="B20" s="35" t="n"/>
      <c r="C20" s="35" t="n"/>
      <c r="D20" s="35" t="n"/>
      <c r="E20" s="35" t="n"/>
      <c r="F20" s="35" t="n"/>
      <c r="G20" s="35" t="n"/>
      <c r="H20" s="35" t="n"/>
      <c r="I20" s="35" t="n"/>
      <c r="J20" s="35" t="n"/>
      <c r="K20" s="35" t="n"/>
      <c r="L20" s="35" t="n"/>
      <c r="M20" s="35" t="n"/>
      <c r="N20" s="35" t="n"/>
      <c r="O20" s="36" t="str">
        <f>IF(OR(C20="",E20=""),"",INDEX(Lists!$B$2:$B$11,MATCH(E20,Lists!$A$2:$A$11,0)))</f>
        <v/>
      </c>
      <c r="P20" s="37" t="str">
        <f>IF(O20="","",INDEX(Lists!$C$2:$C$11,MATCH(O20,Lists!$B$2:$B$11,0)))</f>
        <v/>
      </c>
      <c r="Q20" s="37" t="str">
        <f>IF(O20="","",INDEX(Lists!$D$2:$D$11,MATCH(O20,Lists!$B$2:$B$11,0)))</f>
        <v/>
      </c>
      <c r="R20" s="37" t="str">
        <f>IF(OR(O20="",I20=""),"",IF(INDEX(Lists!$N$2:$N$5,MATCH(I20,Lists!$M$2:$M$5,0))&gt;=INDEX(Lists!$E$2:$E$11,MATCH(O20,Lists!$B$2:$B$11,0)),"Data ready","Data gap"))</f>
        <v/>
      </c>
      <c r="S20" s="36" t="str">
        <f>IF(O20="","",IF(P20&lt;=IF('1. AI Position'!$C$30="",5,INDEX(Lists!$AI$2:$AI$5,'1. AI Position'!$C$30)),"Within current position","Beyond current position"))</f>
        <v/>
      </c>
      <c r="T20" s="38" t="str">
        <f>IF(O20="","",IF(COUNTA(E20:N20)&lt;10,"Complete inputs",IF(H20="No - varies by person / team","Redesign / standardise first",IF(Q20="No","Automate - AI not needed",IF(R20="Data gap","AI later - close data gap first",IF(S20="Beyond current position","Stretch - partner or later stage","AI fit now"))))))</f>
        <v/>
      </c>
      <c r="U20" s="39" t="str">
        <f>IF(OR(T20="",T20="Complete inputs"),"",ROUND(0.3*INDEX(Lists!$N$8:$N$10,MATCH(F20,Lists!$M$8:$M$10,0))+0.25*IF(G20&lt;20,1,IF(G20&lt;80,2,IF(G20&lt;160,3,IF(G20&lt;480,4,5))))+0.25*J20+0.2*K20,2))</f>
        <v/>
      </c>
      <c r="V20" s="39" t="str">
        <f>IF(U20="","",ROUND(0.3*IF(R20="Data ready",5,IF(INDEX(Lists!$N$2:$N$5,MATCH(I20,Lists!$M$2:$M$5,0))=INDEX(Lists!$E$2:$E$11,MATCH(O20,Lists!$B$2:$B$11,0))-1,3,1))+0.25*INDEX(Lists!$N$13:$N$15,MATCH(H20,Lists!$M$13:$M$15,0))+0.25*(6-P20)+0.2*IF(S20="Within current position",5,2),2))</f>
        <v/>
      </c>
      <c r="W20" s="37" t="str">
        <f>IF(U20="","",IF(Q20="No",IF(L20="Yes","Medium","Low"),IF(IF(L20="Yes",2,0)+IF(M20="Yes",1,0)+INDEX(Lists!$N$18:$N$20,MATCH(N20,Lists!$M$18:$M$20,0))+IF(K20=5,2,IF(K20&gt;=4,1,0))&gt;=4,"High",IF(IF(L20="Yes",2,0)+IF(M20="Yes",1,0)+INDEX(Lists!$N$18:$N$20,MATCH(N20,Lists!$M$18:$M$20,0))+IF(K20=5,2,IF(K20&gt;=4,1,0))&gt;=2,"Medium","Low"))))</f>
        <v/>
      </c>
      <c r="X20" s="37" t="str">
        <f>IF(U20="","",IF(AND(U20&gt;=$D$4,V20&gt;=$D$4),"Quick win",IF(U20&gt;=$D$4,"Strategic bet",IF(V20&gt;=$D$4,"Fill-in","Deprioritise"))))</f>
        <v/>
      </c>
      <c r="Y20" s="39" t="str">
        <f>IF(U20="","",ROUND(U20*V20*IF(W20="High",0.85,1)*IF(T20="Redesign / standardise first",0.8,1),2))</f>
        <v/>
      </c>
      <c r="Z20" s="40" t="str">
        <f>IF(Y20="","",RANK(Y20,$Y$8:$Y$57)+COUNTIF($Y$7:Y19,Y20))</f>
        <v/>
      </c>
      <c r="AA20" s="36" t="str">
        <f>IF(AC20="","",INDEX(Lists!$AV$2:$AV$5,AC20))</f>
        <v/>
      </c>
      <c r="AB20" s="41" t="str">
        <f>IF(Y20="","",ROUND(G20*12*INDEX(Lists!$F$2:$F$11,MATCH(O20,Lists!$B$2:$B$11,0)),0))</f>
        <v/>
      </c>
      <c r="AC20" s="37" t="str">
        <f>IF(Y20="","",IF(X20="Deprioritise",4,IF(T20="AI later - close data gap first",3,IF(OR(T20="Redesign / standardise first",T20="Stretch - partner or later stage",X20="Strategic bet"),2,1))))</f>
        <v/>
      </c>
      <c r="AD20" s="37" t="str">
        <f>IF(Z20="","",AC20*100+Z20)</f>
        <v/>
      </c>
    </row>
    <row r="21" ht="40" customHeight="1">
      <c r="A21" s="14" t="n">
        <v>14</v>
      </c>
      <c r="B21" s="35" t="n"/>
      <c r="C21" s="35" t="n"/>
      <c r="D21" s="35" t="n"/>
      <c r="E21" s="35" t="n"/>
      <c r="F21" s="35" t="n"/>
      <c r="G21" s="35" t="n"/>
      <c r="H21" s="35" t="n"/>
      <c r="I21" s="35" t="n"/>
      <c r="J21" s="35" t="n"/>
      <c r="K21" s="35" t="n"/>
      <c r="L21" s="35" t="n"/>
      <c r="M21" s="35" t="n"/>
      <c r="N21" s="35" t="n"/>
      <c r="O21" s="36" t="str">
        <f>IF(OR(C21="",E21=""),"",INDEX(Lists!$B$2:$B$11,MATCH(E21,Lists!$A$2:$A$11,0)))</f>
        <v/>
      </c>
      <c r="P21" s="37" t="str">
        <f>IF(O21="","",INDEX(Lists!$C$2:$C$11,MATCH(O21,Lists!$B$2:$B$11,0)))</f>
        <v/>
      </c>
      <c r="Q21" s="37" t="str">
        <f>IF(O21="","",INDEX(Lists!$D$2:$D$11,MATCH(O21,Lists!$B$2:$B$11,0)))</f>
        <v/>
      </c>
      <c r="R21" s="37" t="str">
        <f>IF(OR(O21="",I21=""),"",IF(INDEX(Lists!$N$2:$N$5,MATCH(I21,Lists!$M$2:$M$5,0))&gt;=INDEX(Lists!$E$2:$E$11,MATCH(O21,Lists!$B$2:$B$11,0)),"Data ready","Data gap"))</f>
        <v/>
      </c>
      <c r="S21" s="36" t="str">
        <f>IF(O21="","",IF(P21&lt;=IF('1. AI Position'!$C$30="",5,INDEX(Lists!$AI$2:$AI$5,'1. AI Position'!$C$30)),"Within current position","Beyond current position"))</f>
        <v/>
      </c>
      <c r="T21" s="38" t="str">
        <f>IF(O21="","",IF(COUNTA(E21:N21)&lt;10,"Complete inputs",IF(H21="No - varies by person / team","Redesign / standardise first",IF(Q21="No","Automate - AI not needed",IF(R21="Data gap","AI later - close data gap first",IF(S21="Beyond current position","Stretch - partner or later stage","AI fit now"))))))</f>
        <v/>
      </c>
      <c r="U21" s="39" t="str">
        <f>IF(OR(T21="",T21="Complete inputs"),"",ROUND(0.3*INDEX(Lists!$N$8:$N$10,MATCH(F21,Lists!$M$8:$M$10,0))+0.25*IF(G21&lt;20,1,IF(G21&lt;80,2,IF(G21&lt;160,3,IF(G21&lt;480,4,5))))+0.25*J21+0.2*K21,2))</f>
        <v/>
      </c>
      <c r="V21" s="39" t="str">
        <f>IF(U21="","",ROUND(0.3*IF(R21="Data ready",5,IF(INDEX(Lists!$N$2:$N$5,MATCH(I21,Lists!$M$2:$M$5,0))=INDEX(Lists!$E$2:$E$11,MATCH(O21,Lists!$B$2:$B$11,0))-1,3,1))+0.25*INDEX(Lists!$N$13:$N$15,MATCH(H21,Lists!$M$13:$M$15,0))+0.25*(6-P21)+0.2*IF(S21="Within current position",5,2),2))</f>
        <v/>
      </c>
      <c r="W21" s="37" t="str">
        <f>IF(U21="","",IF(Q21="No",IF(L21="Yes","Medium","Low"),IF(IF(L21="Yes",2,0)+IF(M21="Yes",1,0)+INDEX(Lists!$N$18:$N$20,MATCH(N21,Lists!$M$18:$M$20,0))+IF(K21=5,2,IF(K21&gt;=4,1,0))&gt;=4,"High",IF(IF(L21="Yes",2,0)+IF(M21="Yes",1,0)+INDEX(Lists!$N$18:$N$20,MATCH(N21,Lists!$M$18:$M$20,0))+IF(K21=5,2,IF(K21&gt;=4,1,0))&gt;=2,"Medium","Low"))))</f>
        <v/>
      </c>
      <c r="X21" s="37" t="str">
        <f>IF(U21="","",IF(AND(U21&gt;=$D$4,V21&gt;=$D$4),"Quick win",IF(U21&gt;=$D$4,"Strategic bet",IF(V21&gt;=$D$4,"Fill-in","Deprioritise"))))</f>
        <v/>
      </c>
      <c r="Y21" s="39" t="str">
        <f>IF(U21="","",ROUND(U21*V21*IF(W21="High",0.85,1)*IF(T21="Redesign / standardise first",0.8,1),2))</f>
        <v/>
      </c>
      <c r="Z21" s="40" t="str">
        <f>IF(Y21="","",RANK(Y21,$Y$8:$Y$57)+COUNTIF($Y$7:Y20,Y21))</f>
        <v/>
      </c>
      <c r="AA21" s="36" t="str">
        <f>IF(AC21="","",INDEX(Lists!$AV$2:$AV$5,AC21))</f>
        <v/>
      </c>
      <c r="AB21" s="41" t="str">
        <f>IF(Y21="","",ROUND(G21*12*INDEX(Lists!$F$2:$F$11,MATCH(O21,Lists!$B$2:$B$11,0)),0))</f>
        <v/>
      </c>
      <c r="AC21" s="37" t="str">
        <f>IF(Y21="","",IF(X21="Deprioritise",4,IF(T21="AI later - close data gap first",3,IF(OR(T21="Redesign / standardise first",T21="Stretch - partner or later stage",X21="Strategic bet"),2,1))))</f>
        <v/>
      </c>
      <c r="AD21" s="37" t="str">
        <f>IF(Z21="","",AC21*100+Z21)</f>
        <v/>
      </c>
    </row>
    <row r="22" ht="40" customHeight="1">
      <c r="A22" s="14" t="n">
        <v>15</v>
      </c>
      <c r="B22" s="35" t="n"/>
      <c r="C22" s="35" t="n"/>
      <c r="D22" s="35" t="n"/>
      <c r="E22" s="35" t="n"/>
      <c r="F22" s="35" t="n"/>
      <c r="G22" s="35" t="n"/>
      <c r="H22" s="35" t="n"/>
      <c r="I22" s="35" t="n"/>
      <c r="J22" s="35" t="n"/>
      <c r="K22" s="35" t="n"/>
      <c r="L22" s="35" t="n"/>
      <c r="M22" s="35" t="n"/>
      <c r="N22" s="35" t="n"/>
      <c r="O22" s="36" t="str">
        <f>IF(OR(C22="",E22=""),"",INDEX(Lists!$B$2:$B$11,MATCH(E22,Lists!$A$2:$A$11,0)))</f>
        <v/>
      </c>
      <c r="P22" s="37" t="str">
        <f>IF(O22="","",INDEX(Lists!$C$2:$C$11,MATCH(O22,Lists!$B$2:$B$11,0)))</f>
        <v/>
      </c>
      <c r="Q22" s="37" t="str">
        <f>IF(O22="","",INDEX(Lists!$D$2:$D$11,MATCH(O22,Lists!$B$2:$B$11,0)))</f>
        <v/>
      </c>
      <c r="R22" s="37" t="str">
        <f>IF(OR(O22="",I22=""),"",IF(INDEX(Lists!$N$2:$N$5,MATCH(I22,Lists!$M$2:$M$5,0))&gt;=INDEX(Lists!$E$2:$E$11,MATCH(O22,Lists!$B$2:$B$11,0)),"Data ready","Data gap"))</f>
        <v/>
      </c>
      <c r="S22" s="36" t="str">
        <f>IF(O22="","",IF(P22&lt;=IF('1. AI Position'!$C$30="",5,INDEX(Lists!$AI$2:$AI$5,'1. AI Position'!$C$30)),"Within current position","Beyond current position"))</f>
        <v/>
      </c>
      <c r="T22" s="38" t="str">
        <f>IF(O22="","",IF(COUNTA(E22:N22)&lt;10,"Complete inputs",IF(H22="No - varies by person / team","Redesign / standardise first",IF(Q22="No","Automate - AI not needed",IF(R22="Data gap","AI later - close data gap first",IF(S22="Beyond current position","Stretch - partner or later stage","AI fit now"))))))</f>
        <v/>
      </c>
      <c r="U22" s="39" t="str">
        <f>IF(OR(T22="",T22="Complete inputs"),"",ROUND(0.3*INDEX(Lists!$N$8:$N$10,MATCH(F22,Lists!$M$8:$M$10,0))+0.25*IF(G22&lt;20,1,IF(G22&lt;80,2,IF(G22&lt;160,3,IF(G22&lt;480,4,5))))+0.25*J22+0.2*K22,2))</f>
        <v/>
      </c>
      <c r="V22" s="39" t="str">
        <f>IF(U22="","",ROUND(0.3*IF(R22="Data ready",5,IF(INDEX(Lists!$N$2:$N$5,MATCH(I22,Lists!$M$2:$M$5,0))=INDEX(Lists!$E$2:$E$11,MATCH(O22,Lists!$B$2:$B$11,0))-1,3,1))+0.25*INDEX(Lists!$N$13:$N$15,MATCH(H22,Lists!$M$13:$M$15,0))+0.25*(6-P22)+0.2*IF(S22="Within current position",5,2),2))</f>
        <v/>
      </c>
      <c r="W22" s="37" t="str">
        <f>IF(U22="","",IF(Q22="No",IF(L22="Yes","Medium","Low"),IF(IF(L22="Yes",2,0)+IF(M22="Yes",1,0)+INDEX(Lists!$N$18:$N$20,MATCH(N22,Lists!$M$18:$M$20,0))+IF(K22=5,2,IF(K22&gt;=4,1,0))&gt;=4,"High",IF(IF(L22="Yes",2,0)+IF(M22="Yes",1,0)+INDEX(Lists!$N$18:$N$20,MATCH(N22,Lists!$M$18:$M$20,0))+IF(K22=5,2,IF(K22&gt;=4,1,0))&gt;=2,"Medium","Low"))))</f>
        <v/>
      </c>
      <c r="X22" s="37" t="str">
        <f>IF(U22="","",IF(AND(U22&gt;=$D$4,V22&gt;=$D$4),"Quick win",IF(U22&gt;=$D$4,"Strategic bet",IF(V22&gt;=$D$4,"Fill-in","Deprioritise"))))</f>
        <v/>
      </c>
      <c r="Y22" s="39" t="str">
        <f>IF(U22="","",ROUND(U22*V22*IF(W22="High",0.85,1)*IF(T22="Redesign / standardise first",0.8,1),2))</f>
        <v/>
      </c>
      <c r="Z22" s="40" t="str">
        <f>IF(Y22="","",RANK(Y22,$Y$8:$Y$57)+COUNTIF($Y$7:Y21,Y22))</f>
        <v/>
      </c>
      <c r="AA22" s="36" t="str">
        <f>IF(AC22="","",INDEX(Lists!$AV$2:$AV$5,AC22))</f>
        <v/>
      </c>
      <c r="AB22" s="41" t="str">
        <f>IF(Y22="","",ROUND(G22*12*INDEX(Lists!$F$2:$F$11,MATCH(O22,Lists!$B$2:$B$11,0)),0))</f>
        <v/>
      </c>
      <c r="AC22" s="37" t="str">
        <f>IF(Y22="","",IF(X22="Deprioritise",4,IF(T22="AI later - close data gap first",3,IF(OR(T22="Redesign / standardise first",T22="Stretch - partner or later stage",X22="Strategic bet"),2,1))))</f>
        <v/>
      </c>
      <c r="AD22" s="37" t="str">
        <f>IF(Z22="","",AC22*100+Z22)</f>
        <v/>
      </c>
    </row>
    <row r="23" ht="40" customHeight="1">
      <c r="A23" s="14" t="n">
        <v>16</v>
      </c>
      <c r="B23" s="35" t="n"/>
      <c r="C23" s="35" t="n"/>
      <c r="D23" s="35" t="n"/>
      <c r="E23" s="35" t="n"/>
      <c r="F23" s="35" t="n"/>
      <c r="G23" s="35" t="n"/>
      <c r="H23" s="35" t="n"/>
      <c r="I23" s="35" t="n"/>
      <c r="J23" s="35" t="n"/>
      <c r="K23" s="35" t="n"/>
      <c r="L23" s="35" t="n"/>
      <c r="M23" s="35" t="n"/>
      <c r="N23" s="35" t="n"/>
      <c r="O23" s="36" t="str">
        <f>IF(OR(C23="",E23=""),"",INDEX(Lists!$B$2:$B$11,MATCH(E23,Lists!$A$2:$A$11,0)))</f>
        <v/>
      </c>
      <c r="P23" s="37" t="str">
        <f>IF(O23="","",INDEX(Lists!$C$2:$C$11,MATCH(O23,Lists!$B$2:$B$11,0)))</f>
        <v/>
      </c>
      <c r="Q23" s="37" t="str">
        <f>IF(O23="","",INDEX(Lists!$D$2:$D$11,MATCH(O23,Lists!$B$2:$B$11,0)))</f>
        <v/>
      </c>
      <c r="R23" s="37" t="str">
        <f>IF(OR(O23="",I23=""),"",IF(INDEX(Lists!$N$2:$N$5,MATCH(I23,Lists!$M$2:$M$5,0))&gt;=INDEX(Lists!$E$2:$E$11,MATCH(O23,Lists!$B$2:$B$11,0)),"Data ready","Data gap"))</f>
        <v/>
      </c>
      <c r="S23" s="36" t="str">
        <f>IF(O23="","",IF(P23&lt;=IF('1. AI Position'!$C$30="",5,INDEX(Lists!$AI$2:$AI$5,'1. AI Position'!$C$30)),"Within current position","Beyond current position"))</f>
        <v/>
      </c>
      <c r="T23" s="38" t="str">
        <f>IF(O23="","",IF(COUNTA(E23:N23)&lt;10,"Complete inputs",IF(H23="No - varies by person / team","Redesign / standardise first",IF(Q23="No","Automate - AI not needed",IF(R23="Data gap","AI later - close data gap first",IF(S23="Beyond current position","Stretch - partner or later stage","AI fit now"))))))</f>
        <v/>
      </c>
      <c r="U23" s="39" t="str">
        <f>IF(OR(T23="",T23="Complete inputs"),"",ROUND(0.3*INDEX(Lists!$N$8:$N$10,MATCH(F23,Lists!$M$8:$M$10,0))+0.25*IF(G23&lt;20,1,IF(G23&lt;80,2,IF(G23&lt;160,3,IF(G23&lt;480,4,5))))+0.25*J23+0.2*K23,2))</f>
        <v/>
      </c>
      <c r="V23" s="39" t="str">
        <f>IF(U23="","",ROUND(0.3*IF(R23="Data ready",5,IF(INDEX(Lists!$N$2:$N$5,MATCH(I23,Lists!$M$2:$M$5,0))=INDEX(Lists!$E$2:$E$11,MATCH(O23,Lists!$B$2:$B$11,0))-1,3,1))+0.25*INDEX(Lists!$N$13:$N$15,MATCH(H23,Lists!$M$13:$M$15,0))+0.25*(6-P23)+0.2*IF(S23="Within current position",5,2),2))</f>
        <v/>
      </c>
      <c r="W23" s="37" t="str">
        <f>IF(U23="","",IF(Q23="No",IF(L23="Yes","Medium","Low"),IF(IF(L23="Yes",2,0)+IF(M23="Yes",1,0)+INDEX(Lists!$N$18:$N$20,MATCH(N23,Lists!$M$18:$M$20,0))+IF(K23=5,2,IF(K23&gt;=4,1,0))&gt;=4,"High",IF(IF(L23="Yes",2,0)+IF(M23="Yes",1,0)+INDEX(Lists!$N$18:$N$20,MATCH(N23,Lists!$M$18:$M$20,0))+IF(K23=5,2,IF(K23&gt;=4,1,0))&gt;=2,"Medium","Low"))))</f>
        <v/>
      </c>
      <c r="X23" s="37" t="str">
        <f>IF(U23="","",IF(AND(U23&gt;=$D$4,V23&gt;=$D$4),"Quick win",IF(U23&gt;=$D$4,"Strategic bet",IF(V23&gt;=$D$4,"Fill-in","Deprioritise"))))</f>
        <v/>
      </c>
      <c r="Y23" s="39" t="str">
        <f>IF(U23="","",ROUND(U23*V23*IF(W23="High",0.85,1)*IF(T23="Redesign / standardise first",0.8,1),2))</f>
        <v/>
      </c>
      <c r="Z23" s="40" t="str">
        <f>IF(Y23="","",RANK(Y23,$Y$8:$Y$57)+COUNTIF($Y$7:Y22,Y23))</f>
        <v/>
      </c>
      <c r="AA23" s="36" t="str">
        <f>IF(AC23="","",INDEX(Lists!$AV$2:$AV$5,AC23))</f>
        <v/>
      </c>
      <c r="AB23" s="41" t="str">
        <f>IF(Y23="","",ROUND(G23*12*INDEX(Lists!$F$2:$F$11,MATCH(O23,Lists!$B$2:$B$11,0)),0))</f>
        <v/>
      </c>
      <c r="AC23" s="37" t="str">
        <f>IF(Y23="","",IF(X23="Deprioritise",4,IF(T23="AI later - close data gap first",3,IF(OR(T23="Redesign / standardise first",T23="Stretch - partner or later stage",X23="Strategic bet"),2,1))))</f>
        <v/>
      </c>
      <c r="AD23" s="37" t="str">
        <f>IF(Z23="","",AC23*100+Z23)</f>
        <v/>
      </c>
    </row>
    <row r="24" ht="40" customHeight="1">
      <c r="A24" s="14" t="n">
        <v>17</v>
      </c>
      <c r="B24" s="35" t="n"/>
      <c r="C24" s="35" t="n"/>
      <c r="D24" s="35" t="n"/>
      <c r="E24" s="35" t="n"/>
      <c r="F24" s="35" t="n"/>
      <c r="G24" s="35" t="n"/>
      <c r="H24" s="35" t="n"/>
      <c r="I24" s="35" t="n"/>
      <c r="J24" s="35" t="n"/>
      <c r="K24" s="35" t="n"/>
      <c r="L24" s="35" t="n"/>
      <c r="M24" s="35" t="n"/>
      <c r="N24" s="35" t="n"/>
      <c r="O24" s="36" t="str">
        <f>IF(OR(C24="",E24=""),"",INDEX(Lists!$B$2:$B$11,MATCH(E24,Lists!$A$2:$A$11,0)))</f>
        <v/>
      </c>
      <c r="P24" s="37" t="str">
        <f>IF(O24="","",INDEX(Lists!$C$2:$C$11,MATCH(O24,Lists!$B$2:$B$11,0)))</f>
        <v/>
      </c>
      <c r="Q24" s="37" t="str">
        <f>IF(O24="","",INDEX(Lists!$D$2:$D$11,MATCH(O24,Lists!$B$2:$B$11,0)))</f>
        <v/>
      </c>
      <c r="R24" s="37" t="str">
        <f>IF(OR(O24="",I24=""),"",IF(INDEX(Lists!$N$2:$N$5,MATCH(I24,Lists!$M$2:$M$5,0))&gt;=INDEX(Lists!$E$2:$E$11,MATCH(O24,Lists!$B$2:$B$11,0)),"Data ready","Data gap"))</f>
        <v/>
      </c>
      <c r="S24" s="36" t="str">
        <f>IF(O24="","",IF(P24&lt;=IF('1. AI Position'!$C$30="",5,INDEX(Lists!$AI$2:$AI$5,'1. AI Position'!$C$30)),"Within current position","Beyond current position"))</f>
        <v/>
      </c>
      <c r="T24" s="38" t="str">
        <f>IF(O24="","",IF(COUNTA(E24:N24)&lt;10,"Complete inputs",IF(H24="No - varies by person / team","Redesign / standardise first",IF(Q24="No","Automate - AI not needed",IF(R24="Data gap","AI later - close data gap first",IF(S24="Beyond current position","Stretch - partner or later stage","AI fit now"))))))</f>
        <v/>
      </c>
      <c r="U24" s="39" t="str">
        <f>IF(OR(T24="",T24="Complete inputs"),"",ROUND(0.3*INDEX(Lists!$N$8:$N$10,MATCH(F24,Lists!$M$8:$M$10,0))+0.25*IF(G24&lt;20,1,IF(G24&lt;80,2,IF(G24&lt;160,3,IF(G24&lt;480,4,5))))+0.25*J24+0.2*K24,2))</f>
        <v/>
      </c>
      <c r="V24" s="39" t="str">
        <f>IF(U24="","",ROUND(0.3*IF(R24="Data ready",5,IF(INDEX(Lists!$N$2:$N$5,MATCH(I24,Lists!$M$2:$M$5,0))=INDEX(Lists!$E$2:$E$11,MATCH(O24,Lists!$B$2:$B$11,0))-1,3,1))+0.25*INDEX(Lists!$N$13:$N$15,MATCH(H24,Lists!$M$13:$M$15,0))+0.25*(6-P24)+0.2*IF(S24="Within current position",5,2),2))</f>
        <v/>
      </c>
      <c r="W24" s="37" t="str">
        <f>IF(U24="","",IF(Q24="No",IF(L24="Yes","Medium","Low"),IF(IF(L24="Yes",2,0)+IF(M24="Yes",1,0)+INDEX(Lists!$N$18:$N$20,MATCH(N24,Lists!$M$18:$M$20,0))+IF(K24=5,2,IF(K24&gt;=4,1,0))&gt;=4,"High",IF(IF(L24="Yes",2,0)+IF(M24="Yes",1,0)+INDEX(Lists!$N$18:$N$20,MATCH(N24,Lists!$M$18:$M$20,0))+IF(K24=5,2,IF(K24&gt;=4,1,0))&gt;=2,"Medium","Low"))))</f>
        <v/>
      </c>
      <c r="X24" s="37" t="str">
        <f>IF(U24="","",IF(AND(U24&gt;=$D$4,V24&gt;=$D$4),"Quick win",IF(U24&gt;=$D$4,"Strategic bet",IF(V24&gt;=$D$4,"Fill-in","Deprioritise"))))</f>
        <v/>
      </c>
      <c r="Y24" s="39" t="str">
        <f>IF(U24="","",ROUND(U24*V24*IF(W24="High",0.85,1)*IF(T24="Redesign / standardise first",0.8,1),2))</f>
        <v/>
      </c>
      <c r="Z24" s="40" t="str">
        <f>IF(Y24="","",RANK(Y24,$Y$8:$Y$57)+COUNTIF($Y$7:Y23,Y24))</f>
        <v/>
      </c>
      <c r="AA24" s="36" t="str">
        <f>IF(AC24="","",INDEX(Lists!$AV$2:$AV$5,AC24))</f>
        <v/>
      </c>
      <c r="AB24" s="41" t="str">
        <f>IF(Y24="","",ROUND(G24*12*INDEX(Lists!$F$2:$F$11,MATCH(O24,Lists!$B$2:$B$11,0)),0))</f>
        <v/>
      </c>
      <c r="AC24" s="37" t="str">
        <f>IF(Y24="","",IF(X24="Deprioritise",4,IF(T24="AI later - close data gap first",3,IF(OR(T24="Redesign / standardise first",T24="Stretch - partner or later stage",X24="Strategic bet"),2,1))))</f>
        <v/>
      </c>
      <c r="AD24" s="37" t="str">
        <f>IF(Z24="","",AC24*100+Z24)</f>
        <v/>
      </c>
    </row>
    <row r="25" ht="40" customHeight="1">
      <c r="A25" s="14" t="n">
        <v>18</v>
      </c>
      <c r="B25" s="35" t="n"/>
      <c r="C25" s="35" t="n"/>
      <c r="D25" s="35" t="n"/>
      <c r="E25" s="35" t="n"/>
      <c r="F25" s="35" t="n"/>
      <c r="G25" s="35" t="n"/>
      <c r="H25" s="35" t="n"/>
      <c r="I25" s="35" t="n"/>
      <c r="J25" s="35" t="n"/>
      <c r="K25" s="35" t="n"/>
      <c r="L25" s="35" t="n"/>
      <c r="M25" s="35" t="n"/>
      <c r="N25" s="35" t="n"/>
      <c r="O25" s="36" t="str">
        <f>IF(OR(C25="",E25=""),"",INDEX(Lists!$B$2:$B$11,MATCH(E25,Lists!$A$2:$A$11,0)))</f>
        <v/>
      </c>
      <c r="P25" s="37" t="str">
        <f>IF(O25="","",INDEX(Lists!$C$2:$C$11,MATCH(O25,Lists!$B$2:$B$11,0)))</f>
        <v/>
      </c>
      <c r="Q25" s="37" t="str">
        <f>IF(O25="","",INDEX(Lists!$D$2:$D$11,MATCH(O25,Lists!$B$2:$B$11,0)))</f>
        <v/>
      </c>
      <c r="R25" s="37" t="str">
        <f>IF(OR(O25="",I25=""),"",IF(INDEX(Lists!$N$2:$N$5,MATCH(I25,Lists!$M$2:$M$5,0))&gt;=INDEX(Lists!$E$2:$E$11,MATCH(O25,Lists!$B$2:$B$11,0)),"Data ready","Data gap"))</f>
        <v/>
      </c>
      <c r="S25" s="36" t="str">
        <f>IF(O25="","",IF(P25&lt;=IF('1. AI Position'!$C$30="",5,INDEX(Lists!$AI$2:$AI$5,'1. AI Position'!$C$30)),"Within current position","Beyond current position"))</f>
        <v/>
      </c>
      <c r="T25" s="38" t="str">
        <f>IF(O25="","",IF(COUNTA(E25:N25)&lt;10,"Complete inputs",IF(H25="No - varies by person / team","Redesign / standardise first",IF(Q25="No","Automate - AI not needed",IF(R25="Data gap","AI later - close data gap first",IF(S25="Beyond current position","Stretch - partner or later stage","AI fit now"))))))</f>
        <v/>
      </c>
      <c r="U25" s="39" t="str">
        <f>IF(OR(T25="",T25="Complete inputs"),"",ROUND(0.3*INDEX(Lists!$N$8:$N$10,MATCH(F25,Lists!$M$8:$M$10,0))+0.25*IF(G25&lt;20,1,IF(G25&lt;80,2,IF(G25&lt;160,3,IF(G25&lt;480,4,5))))+0.25*J25+0.2*K25,2))</f>
        <v/>
      </c>
      <c r="V25" s="39" t="str">
        <f>IF(U25="","",ROUND(0.3*IF(R25="Data ready",5,IF(INDEX(Lists!$N$2:$N$5,MATCH(I25,Lists!$M$2:$M$5,0))=INDEX(Lists!$E$2:$E$11,MATCH(O25,Lists!$B$2:$B$11,0))-1,3,1))+0.25*INDEX(Lists!$N$13:$N$15,MATCH(H25,Lists!$M$13:$M$15,0))+0.25*(6-P25)+0.2*IF(S25="Within current position",5,2),2))</f>
        <v/>
      </c>
      <c r="W25" s="37" t="str">
        <f>IF(U25="","",IF(Q25="No",IF(L25="Yes","Medium","Low"),IF(IF(L25="Yes",2,0)+IF(M25="Yes",1,0)+INDEX(Lists!$N$18:$N$20,MATCH(N25,Lists!$M$18:$M$20,0))+IF(K25=5,2,IF(K25&gt;=4,1,0))&gt;=4,"High",IF(IF(L25="Yes",2,0)+IF(M25="Yes",1,0)+INDEX(Lists!$N$18:$N$20,MATCH(N25,Lists!$M$18:$M$20,0))+IF(K25=5,2,IF(K25&gt;=4,1,0))&gt;=2,"Medium","Low"))))</f>
        <v/>
      </c>
      <c r="X25" s="37" t="str">
        <f>IF(U25="","",IF(AND(U25&gt;=$D$4,V25&gt;=$D$4),"Quick win",IF(U25&gt;=$D$4,"Strategic bet",IF(V25&gt;=$D$4,"Fill-in","Deprioritise"))))</f>
        <v/>
      </c>
      <c r="Y25" s="39" t="str">
        <f>IF(U25="","",ROUND(U25*V25*IF(W25="High",0.85,1)*IF(T25="Redesign / standardise first",0.8,1),2))</f>
        <v/>
      </c>
      <c r="Z25" s="40" t="str">
        <f>IF(Y25="","",RANK(Y25,$Y$8:$Y$57)+COUNTIF($Y$7:Y24,Y25))</f>
        <v/>
      </c>
      <c r="AA25" s="36" t="str">
        <f>IF(AC25="","",INDEX(Lists!$AV$2:$AV$5,AC25))</f>
        <v/>
      </c>
      <c r="AB25" s="41" t="str">
        <f>IF(Y25="","",ROUND(G25*12*INDEX(Lists!$F$2:$F$11,MATCH(O25,Lists!$B$2:$B$11,0)),0))</f>
        <v/>
      </c>
      <c r="AC25" s="37" t="str">
        <f>IF(Y25="","",IF(X25="Deprioritise",4,IF(T25="AI later - close data gap first",3,IF(OR(T25="Redesign / standardise first",T25="Stretch - partner or later stage",X25="Strategic bet"),2,1))))</f>
        <v/>
      </c>
      <c r="AD25" s="37" t="str">
        <f>IF(Z25="","",AC25*100+Z25)</f>
        <v/>
      </c>
    </row>
    <row r="26" ht="40" customHeight="1">
      <c r="A26" s="14" t="n">
        <v>19</v>
      </c>
      <c r="B26" s="35" t="n"/>
      <c r="C26" s="35" t="n"/>
      <c r="D26" s="35" t="n"/>
      <c r="E26" s="35" t="n"/>
      <c r="F26" s="35" t="n"/>
      <c r="G26" s="35" t="n"/>
      <c r="H26" s="35" t="n"/>
      <c r="I26" s="35" t="n"/>
      <c r="J26" s="35" t="n"/>
      <c r="K26" s="35" t="n"/>
      <c r="L26" s="35" t="n"/>
      <c r="M26" s="35" t="n"/>
      <c r="N26" s="35" t="n"/>
      <c r="O26" s="36" t="str">
        <f>IF(OR(C26="",E26=""),"",INDEX(Lists!$B$2:$B$11,MATCH(E26,Lists!$A$2:$A$11,0)))</f>
        <v/>
      </c>
      <c r="P26" s="37" t="str">
        <f>IF(O26="","",INDEX(Lists!$C$2:$C$11,MATCH(O26,Lists!$B$2:$B$11,0)))</f>
        <v/>
      </c>
      <c r="Q26" s="37" t="str">
        <f>IF(O26="","",INDEX(Lists!$D$2:$D$11,MATCH(O26,Lists!$B$2:$B$11,0)))</f>
        <v/>
      </c>
      <c r="R26" s="37" t="str">
        <f>IF(OR(O26="",I26=""),"",IF(INDEX(Lists!$N$2:$N$5,MATCH(I26,Lists!$M$2:$M$5,0))&gt;=INDEX(Lists!$E$2:$E$11,MATCH(O26,Lists!$B$2:$B$11,0)),"Data ready","Data gap"))</f>
        <v/>
      </c>
      <c r="S26" s="36" t="str">
        <f>IF(O26="","",IF(P26&lt;=IF('1. AI Position'!$C$30="",5,INDEX(Lists!$AI$2:$AI$5,'1. AI Position'!$C$30)),"Within current position","Beyond current position"))</f>
        <v/>
      </c>
      <c r="T26" s="38" t="str">
        <f>IF(O26="","",IF(COUNTA(E26:N26)&lt;10,"Complete inputs",IF(H26="No - varies by person / team","Redesign / standardise first",IF(Q26="No","Automate - AI not needed",IF(R26="Data gap","AI later - close data gap first",IF(S26="Beyond current position","Stretch - partner or later stage","AI fit now"))))))</f>
        <v/>
      </c>
      <c r="U26" s="39" t="str">
        <f>IF(OR(T26="",T26="Complete inputs"),"",ROUND(0.3*INDEX(Lists!$N$8:$N$10,MATCH(F26,Lists!$M$8:$M$10,0))+0.25*IF(G26&lt;20,1,IF(G26&lt;80,2,IF(G26&lt;160,3,IF(G26&lt;480,4,5))))+0.25*J26+0.2*K26,2))</f>
        <v/>
      </c>
      <c r="V26" s="39" t="str">
        <f>IF(U26="","",ROUND(0.3*IF(R26="Data ready",5,IF(INDEX(Lists!$N$2:$N$5,MATCH(I26,Lists!$M$2:$M$5,0))=INDEX(Lists!$E$2:$E$11,MATCH(O26,Lists!$B$2:$B$11,0))-1,3,1))+0.25*INDEX(Lists!$N$13:$N$15,MATCH(H26,Lists!$M$13:$M$15,0))+0.25*(6-P26)+0.2*IF(S26="Within current position",5,2),2))</f>
        <v/>
      </c>
      <c r="W26" s="37" t="str">
        <f>IF(U26="","",IF(Q26="No",IF(L26="Yes","Medium","Low"),IF(IF(L26="Yes",2,0)+IF(M26="Yes",1,0)+INDEX(Lists!$N$18:$N$20,MATCH(N26,Lists!$M$18:$M$20,0))+IF(K26=5,2,IF(K26&gt;=4,1,0))&gt;=4,"High",IF(IF(L26="Yes",2,0)+IF(M26="Yes",1,0)+INDEX(Lists!$N$18:$N$20,MATCH(N26,Lists!$M$18:$M$20,0))+IF(K26=5,2,IF(K26&gt;=4,1,0))&gt;=2,"Medium","Low"))))</f>
        <v/>
      </c>
      <c r="X26" s="37" t="str">
        <f>IF(U26="","",IF(AND(U26&gt;=$D$4,V26&gt;=$D$4),"Quick win",IF(U26&gt;=$D$4,"Strategic bet",IF(V26&gt;=$D$4,"Fill-in","Deprioritise"))))</f>
        <v/>
      </c>
      <c r="Y26" s="39" t="str">
        <f>IF(U26="","",ROUND(U26*V26*IF(W26="High",0.85,1)*IF(T26="Redesign / standardise first",0.8,1),2))</f>
        <v/>
      </c>
      <c r="Z26" s="40" t="str">
        <f>IF(Y26="","",RANK(Y26,$Y$8:$Y$57)+COUNTIF($Y$7:Y25,Y26))</f>
        <v/>
      </c>
      <c r="AA26" s="36" t="str">
        <f>IF(AC26="","",INDEX(Lists!$AV$2:$AV$5,AC26))</f>
        <v/>
      </c>
      <c r="AB26" s="41" t="str">
        <f>IF(Y26="","",ROUND(G26*12*INDEX(Lists!$F$2:$F$11,MATCH(O26,Lists!$B$2:$B$11,0)),0))</f>
        <v/>
      </c>
      <c r="AC26" s="37" t="str">
        <f>IF(Y26="","",IF(X26="Deprioritise",4,IF(T26="AI later - close data gap first",3,IF(OR(T26="Redesign / standardise first",T26="Stretch - partner or later stage",X26="Strategic bet"),2,1))))</f>
        <v/>
      </c>
      <c r="AD26" s="37" t="str">
        <f>IF(Z26="","",AC26*100+Z26)</f>
        <v/>
      </c>
    </row>
    <row r="27" ht="40" customHeight="1">
      <c r="A27" s="14" t="n">
        <v>20</v>
      </c>
      <c r="B27" s="35" t="n"/>
      <c r="C27" s="35" t="n"/>
      <c r="D27" s="35" t="n"/>
      <c r="E27" s="35" t="n"/>
      <c r="F27" s="35" t="n"/>
      <c r="G27" s="35" t="n"/>
      <c r="H27" s="35" t="n"/>
      <c r="I27" s="35" t="n"/>
      <c r="J27" s="35" t="n"/>
      <c r="K27" s="35" t="n"/>
      <c r="L27" s="35" t="n"/>
      <c r="M27" s="35" t="n"/>
      <c r="N27" s="35" t="n"/>
      <c r="O27" s="36" t="str">
        <f>IF(OR(C27="",E27=""),"",INDEX(Lists!$B$2:$B$11,MATCH(E27,Lists!$A$2:$A$11,0)))</f>
        <v/>
      </c>
      <c r="P27" s="37" t="str">
        <f>IF(O27="","",INDEX(Lists!$C$2:$C$11,MATCH(O27,Lists!$B$2:$B$11,0)))</f>
        <v/>
      </c>
      <c r="Q27" s="37" t="str">
        <f>IF(O27="","",INDEX(Lists!$D$2:$D$11,MATCH(O27,Lists!$B$2:$B$11,0)))</f>
        <v/>
      </c>
      <c r="R27" s="37" t="str">
        <f>IF(OR(O27="",I27=""),"",IF(INDEX(Lists!$N$2:$N$5,MATCH(I27,Lists!$M$2:$M$5,0))&gt;=INDEX(Lists!$E$2:$E$11,MATCH(O27,Lists!$B$2:$B$11,0)),"Data ready","Data gap"))</f>
        <v/>
      </c>
      <c r="S27" s="36" t="str">
        <f>IF(O27="","",IF(P27&lt;=IF('1. AI Position'!$C$30="",5,INDEX(Lists!$AI$2:$AI$5,'1. AI Position'!$C$30)),"Within current position","Beyond current position"))</f>
        <v/>
      </c>
      <c r="T27" s="38" t="str">
        <f>IF(O27="","",IF(COUNTA(E27:N27)&lt;10,"Complete inputs",IF(H27="No - varies by person / team","Redesign / standardise first",IF(Q27="No","Automate - AI not needed",IF(R27="Data gap","AI later - close data gap first",IF(S27="Beyond current position","Stretch - partner or later stage","AI fit now"))))))</f>
        <v/>
      </c>
      <c r="U27" s="39" t="str">
        <f>IF(OR(T27="",T27="Complete inputs"),"",ROUND(0.3*INDEX(Lists!$N$8:$N$10,MATCH(F27,Lists!$M$8:$M$10,0))+0.25*IF(G27&lt;20,1,IF(G27&lt;80,2,IF(G27&lt;160,3,IF(G27&lt;480,4,5))))+0.25*J27+0.2*K27,2))</f>
        <v/>
      </c>
      <c r="V27" s="39" t="str">
        <f>IF(U27="","",ROUND(0.3*IF(R27="Data ready",5,IF(INDEX(Lists!$N$2:$N$5,MATCH(I27,Lists!$M$2:$M$5,0))=INDEX(Lists!$E$2:$E$11,MATCH(O27,Lists!$B$2:$B$11,0))-1,3,1))+0.25*INDEX(Lists!$N$13:$N$15,MATCH(H27,Lists!$M$13:$M$15,0))+0.25*(6-P27)+0.2*IF(S27="Within current position",5,2),2))</f>
        <v/>
      </c>
      <c r="W27" s="37" t="str">
        <f>IF(U27="","",IF(Q27="No",IF(L27="Yes","Medium","Low"),IF(IF(L27="Yes",2,0)+IF(M27="Yes",1,0)+INDEX(Lists!$N$18:$N$20,MATCH(N27,Lists!$M$18:$M$20,0))+IF(K27=5,2,IF(K27&gt;=4,1,0))&gt;=4,"High",IF(IF(L27="Yes",2,0)+IF(M27="Yes",1,0)+INDEX(Lists!$N$18:$N$20,MATCH(N27,Lists!$M$18:$M$20,0))+IF(K27=5,2,IF(K27&gt;=4,1,0))&gt;=2,"Medium","Low"))))</f>
        <v/>
      </c>
      <c r="X27" s="37" t="str">
        <f>IF(U27="","",IF(AND(U27&gt;=$D$4,V27&gt;=$D$4),"Quick win",IF(U27&gt;=$D$4,"Strategic bet",IF(V27&gt;=$D$4,"Fill-in","Deprioritise"))))</f>
        <v/>
      </c>
      <c r="Y27" s="39" t="str">
        <f>IF(U27="","",ROUND(U27*V27*IF(W27="High",0.85,1)*IF(T27="Redesign / standardise first",0.8,1),2))</f>
        <v/>
      </c>
      <c r="Z27" s="40" t="str">
        <f>IF(Y27="","",RANK(Y27,$Y$8:$Y$57)+COUNTIF($Y$7:Y26,Y27))</f>
        <v/>
      </c>
      <c r="AA27" s="36" t="str">
        <f>IF(AC27="","",INDEX(Lists!$AV$2:$AV$5,AC27))</f>
        <v/>
      </c>
      <c r="AB27" s="41" t="str">
        <f>IF(Y27="","",ROUND(G27*12*INDEX(Lists!$F$2:$F$11,MATCH(O27,Lists!$B$2:$B$11,0)),0))</f>
        <v/>
      </c>
      <c r="AC27" s="37" t="str">
        <f>IF(Y27="","",IF(X27="Deprioritise",4,IF(T27="AI later - close data gap first",3,IF(OR(T27="Redesign / standardise first",T27="Stretch - partner or later stage",X27="Strategic bet"),2,1))))</f>
        <v/>
      </c>
      <c r="AD27" s="37" t="str">
        <f>IF(Z27="","",AC27*100+Z27)</f>
        <v/>
      </c>
    </row>
    <row r="28" ht="40" customHeight="1">
      <c r="A28" s="14" t="n">
        <v>21</v>
      </c>
      <c r="B28" s="35" t="n"/>
      <c r="C28" s="35" t="n"/>
      <c r="D28" s="35" t="n"/>
      <c r="E28" s="35" t="n"/>
      <c r="F28" s="35" t="n"/>
      <c r="G28" s="35" t="n"/>
      <c r="H28" s="35" t="n"/>
      <c r="I28" s="35" t="n"/>
      <c r="J28" s="35" t="n"/>
      <c r="K28" s="35" t="n"/>
      <c r="L28" s="35" t="n"/>
      <c r="M28" s="35" t="n"/>
      <c r="N28" s="35" t="n"/>
      <c r="O28" s="36" t="str">
        <f>IF(OR(C28="",E28=""),"",INDEX(Lists!$B$2:$B$11,MATCH(E28,Lists!$A$2:$A$11,0)))</f>
        <v/>
      </c>
      <c r="P28" s="37" t="str">
        <f>IF(O28="","",INDEX(Lists!$C$2:$C$11,MATCH(O28,Lists!$B$2:$B$11,0)))</f>
        <v/>
      </c>
      <c r="Q28" s="37" t="str">
        <f>IF(O28="","",INDEX(Lists!$D$2:$D$11,MATCH(O28,Lists!$B$2:$B$11,0)))</f>
        <v/>
      </c>
      <c r="R28" s="37" t="str">
        <f>IF(OR(O28="",I28=""),"",IF(INDEX(Lists!$N$2:$N$5,MATCH(I28,Lists!$M$2:$M$5,0))&gt;=INDEX(Lists!$E$2:$E$11,MATCH(O28,Lists!$B$2:$B$11,0)),"Data ready","Data gap"))</f>
        <v/>
      </c>
      <c r="S28" s="36" t="str">
        <f>IF(O28="","",IF(P28&lt;=IF('1. AI Position'!$C$30="",5,INDEX(Lists!$AI$2:$AI$5,'1. AI Position'!$C$30)),"Within current position","Beyond current position"))</f>
        <v/>
      </c>
      <c r="T28" s="38" t="str">
        <f>IF(O28="","",IF(COUNTA(E28:N28)&lt;10,"Complete inputs",IF(H28="No - varies by person / team","Redesign / standardise first",IF(Q28="No","Automate - AI not needed",IF(R28="Data gap","AI later - close data gap first",IF(S28="Beyond current position","Stretch - partner or later stage","AI fit now"))))))</f>
        <v/>
      </c>
      <c r="U28" s="39" t="str">
        <f>IF(OR(T28="",T28="Complete inputs"),"",ROUND(0.3*INDEX(Lists!$N$8:$N$10,MATCH(F28,Lists!$M$8:$M$10,0))+0.25*IF(G28&lt;20,1,IF(G28&lt;80,2,IF(G28&lt;160,3,IF(G28&lt;480,4,5))))+0.25*J28+0.2*K28,2))</f>
        <v/>
      </c>
      <c r="V28" s="39" t="str">
        <f>IF(U28="","",ROUND(0.3*IF(R28="Data ready",5,IF(INDEX(Lists!$N$2:$N$5,MATCH(I28,Lists!$M$2:$M$5,0))=INDEX(Lists!$E$2:$E$11,MATCH(O28,Lists!$B$2:$B$11,0))-1,3,1))+0.25*INDEX(Lists!$N$13:$N$15,MATCH(H28,Lists!$M$13:$M$15,0))+0.25*(6-P28)+0.2*IF(S28="Within current position",5,2),2))</f>
        <v/>
      </c>
      <c r="W28" s="37" t="str">
        <f>IF(U28="","",IF(Q28="No",IF(L28="Yes","Medium","Low"),IF(IF(L28="Yes",2,0)+IF(M28="Yes",1,0)+INDEX(Lists!$N$18:$N$20,MATCH(N28,Lists!$M$18:$M$20,0))+IF(K28=5,2,IF(K28&gt;=4,1,0))&gt;=4,"High",IF(IF(L28="Yes",2,0)+IF(M28="Yes",1,0)+INDEX(Lists!$N$18:$N$20,MATCH(N28,Lists!$M$18:$M$20,0))+IF(K28=5,2,IF(K28&gt;=4,1,0))&gt;=2,"Medium","Low"))))</f>
        <v/>
      </c>
      <c r="X28" s="37" t="str">
        <f>IF(U28="","",IF(AND(U28&gt;=$D$4,V28&gt;=$D$4),"Quick win",IF(U28&gt;=$D$4,"Strategic bet",IF(V28&gt;=$D$4,"Fill-in","Deprioritise"))))</f>
        <v/>
      </c>
      <c r="Y28" s="39" t="str">
        <f>IF(U28="","",ROUND(U28*V28*IF(W28="High",0.85,1)*IF(T28="Redesign / standardise first",0.8,1),2))</f>
        <v/>
      </c>
      <c r="Z28" s="40" t="str">
        <f>IF(Y28="","",RANK(Y28,$Y$8:$Y$57)+COUNTIF($Y$7:Y27,Y28))</f>
        <v/>
      </c>
      <c r="AA28" s="36" t="str">
        <f>IF(AC28="","",INDEX(Lists!$AV$2:$AV$5,AC28))</f>
        <v/>
      </c>
      <c r="AB28" s="41" t="str">
        <f>IF(Y28="","",ROUND(G28*12*INDEX(Lists!$F$2:$F$11,MATCH(O28,Lists!$B$2:$B$11,0)),0))</f>
        <v/>
      </c>
      <c r="AC28" s="37" t="str">
        <f>IF(Y28="","",IF(X28="Deprioritise",4,IF(T28="AI later - close data gap first",3,IF(OR(T28="Redesign / standardise first",T28="Stretch - partner or later stage",X28="Strategic bet"),2,1))))</f>
        <v/>
      </c>
      <c r="AD28" s="37" t="str">
        <f>IF(Z28="","",AC28*100+Z28)</f>
        <v/>
      </c>
    </row>
    <row r="29" ht="40" customHeight="1">
      <c r="A29" s="14" t="n">
        <v>22</v>
      </c>
      <c r="B29" s="35" t="n"/>
      <c r="C29" s="35" t="n"/>
      <c r="D29" s="35" t="n"/>
      <c r="E29" s="35" t="n"/>
      <c r="F29" s="35" t="n"/>
      <c r="G29" s="35" t="n"/>
      <c r="H29" s="35" t="n"/>
      <c r="I29" s="35" t="n"/>
      <c r="J29" s="35" t="n"/>
      <c r="K29" s="35" t="n"/>
      <c r="L29" s="35" t="n"/>
      <c r="M29" s="35" t="n"/>
      <c r="N29" s="35" t="n"/>
      <c r="O29" s="36" t="str">
        <f>IF(OR(C29="",E29=""),"",INDEX(Lists!$B$2:$B$11,MATCH(E29,Lists!$A$2:$A$11,0)))</f>
        <v/>
      </c>
      <c r="P29" s="37" t="str">
        <f>IF(O29="","",INDEX(Lists!$C$2:$C$11,MATCH(O29,Lists!$B$2:$B$11,0)))</f>
        <v/>
      </c>
      <c r="Q29" s="37" t="str">
        <f>IF(O29="","",INDEX(Lists!$D$2:$D$11,MATCH(O29,Lists!$B$2:$B$11,0)))</f>
        <v/>
      </c>
      <c r="R29" s="37" t="str">
        <f>IF(OR(O29="",I29=""),"",IF(INDEX(Lists!$N$2:$N$5,MATCH(I29,Lists!$M$2:$M$5,0))&gt;=INDEX(Lists!$E$2:$E$11,MATCH(O29,Lists!$B$2:$B$11,0)),"Data ready","Data gap"))</f>
        <v/>
      </c>
      <c r="S29" s="36" t="str">
        <f>IF(O29="","",IF(P29&lt;=IF('1. AI Position'!$C$30="",5,INDEX(Lists!$AI$2:$AI$5,'1. AI Position'!$C$30)),"Within current position","Beyond current position"))</f>
        <v/>
      </c>
      <c r="T29" s="38" t="str">
        <f>IF(O29="","",IF(COUNTA(E29:N29)&lt;10,"Complete inputs",IF(H29="No - varies by person / team","Redesign / standardise first",IF(Q29="No","Automate - AI not needed",IF(R29="Data gap","AI later - close data gap first",IF(S29="Beyond current position","Stretch - partner or later stage","AI fit now"))))))</f>
        <v/>
      </c>
      <c r="U29" s="39" t="str">
        <f>IF(OR(T29="",T29="Complete inputs"),"",ROUND(0.3*INDEX(Lists!$N$8:$N$10,MATCH(F29,Lists!$M$8:$M$10,0))+0.25*IF(G29&lt;20,1,IF(G29&lt;80,2,IF(G29&lt;160,3,IF(G29&lt;480,4,5))))+0.25*J29+0.2*K29,2))</f>
        <v/>
      </c>
      <c r="V29" s="39" t="str">
        <f>IF(U29="","",ROUND(0.3*IF(R29="Data ready",5,IF(INDEX(Lists!$N$2:$N$5,MATCH(I29,Lists!$M$2:$M$5,0))=INDEX(Lists!$E$2:$E$11,MATCH(O29,Lists!$B$2:$B$11,0))-1,3,1))+0.25*INDEX(Lists!$N$13:$N$15,MATCH(H29,Lists!$M$13:$M$15,0))+0.25*(6-P29)+0.2*IF(S29="Within current position",5,2),2))</f>
        <v/>
      </c>
      <c r="W29" s="37" t="str">
        <f>IF(U29="","",IF(Q29="No",IF(L29="Yes","Medium","Low"),IF(IF(L29="Yes",2,0)+IF(M29="Yes",1,0)+INDEX(Lists!$N$18:$N$20,MATCH(N29,Lists!$M$18:$M$20,0))+IF(K29=5,2,IF(K29&gt;=4,1,0))&gt;=4,"High",IF(IF(L29="Yes",2,0)+IF(M29="Yes",1,0)+INDEX(Lists!$N$18:$N$20,MATCH(N29,Lists!$M$18:$M$20,0))+IF(K29=5,2,IF(K29&gt;=4,1,0))&gt;=2,"Medium","Low"))))</f>
        <v/>
      </c>
      <c r="X29" s="37" t="str">
        <f>IF(U29="","",IF(AND(U29&gt;=$D$4,V29&gt;=$D$4),"Quick win",IF(U29&gt;=$D$4,"Strategic bet",IF(V29&gt;=$D$4,"Fill-in","Deprioritise"))))</f>
        <v/>
      </c>
      <c r="Y29" s="39" t="str">
        <f>IF(U29="","",ROUND(U29*V29*IF(W29="High",0.85,1)*IF(T29="Redesign / standardise first",0.8,1),2))</f>
        <v/>
      </c>
      <c r="Z29" s="40" t="str">
        <f>IF(Y29="","",RANK(Y29,$Y$8:$Y$57)+COUNTIF($Y$7:Y28,Y29))</f>
        <v/>
      </c>
      <c r="AA29" s="36" t="str">
        <f>IF(AC29="","",INDEX(Lists!$AV$2:$AV$5,AC29))</f>
        <v/>
      </c>
      <c r="AB29" s="41" t="str">
        <f>IF(Y29="","",ROUND(G29*12*INDEX(Lists!$F$2:$F$11,MATCH(O29,Lists!$B$2:$B$11,0)),0))</f>
        <v/>
      </c>
      <c r="AC29" s="37" t="str">
        <f>IF(Y29="","",IF(X29="Deprioritise",4,IF(T29="AI later - close data gap first",3,IF(OR(T29="Redesign / standardise first",T29="Stretch - partner or later stage",X29="Strategic bet"),2,1))))</f>
        <v/>
      </c>
      <c r="AD29" s="37" t="str">
        <f>IF(Z29="","",AC29*100+Z29)</f>
        <v/>
      </c>
    </row>
    <row r="30" ht="40" customHeight="1">
      <c r="A30" s="14" t="n">
        <v>23</v>
      </c>
      <c r="B30" s="35" t="n"/>
      <c r="C30" s="35" t="n"/>
      <c r="D30" s="35" t="n"/>
      <c r="E30" s="35" t="n"/>
      <c r="F30" s="35" t="n"/>
      <c r="G30" s="35" t="n"/>
      <c r="H30" s="35" t="n"/>
      <c r="I30" s="35" t="n"/>
      <c r="J30" s="35" t="n"/>
      <c r="K30" s="35" t="n"/>
      <c r="L30" s="35" t="n"/>
      <c r="M30" s="35" t="n"/>
      <c r="N30" s="35" t="n"/>
      <c r="O30" s="36" t="str">
        <f>IF(OR(C30="",E30=""),"",INDEX(Lists!$B$2:$B$11,MATCH(E30,Lists!$A$2:$A$11,0)))</f>
        <v/>
      </c>
      <c r="P30" s="37" t="str">
        <f>IF(O30="","",INDEX(Lists!$C$2:$C$11,MATCH(O30,Lists!$B$2:$B$11,0)))</f>
        <v/>
      </c>
      <c r="Q30" s="37" t="str">
        <f>IF(O30="","",INDEX(Lists!$D$2:$D$11,MATCH(O30,Lists!$B$2:$B$11,0)))</f>
        <v/>
      </c>
      <c r="R30" s="37" t="str">
        <f>IF(OR(O30="",I30=""),"",IF(INDEX(Lists!$N$2:$N$5,MATCH(I30,Lists!$M$2:$M$5,0))&gt;=INDEX(Lists!$E$2:$E$11,MATCH(O30,Lists!$B$2:$B$11,0)),"Data ready","Data gap"))</f>
        <v/>
      </c>
      <c r="S30" s="36" t="str">
        <f>IF(O30="","",IF(P30&lt;=IF('1. AI Position'!$C$30="",5,INDEX(Lists!$AI$2:$AI$5,'1. AI Position'!$C$30)),"Within current position","Beyond current position"))</f>
        <v/>
      </c>
      <c r="T30" s="38" t="str">
        <f>IF(O30="","",IF(COUNTA(E30:N30)&lt;10,"Complete inputs",IF(H30="No - varies by person / team","Redesign / standardise first",IF(Q30="No","Automate - AI not needed",IF(R30="Data gap","AI later - close data gap first",IF(S30="Beyond current position","Stretch - partner or later stage","AI fit now"))))))</f>
        <v/>
      </c>
      <c r="U30" s="39" t="str">
        <f>IF(OR(T30="",T30="Complete inputs"),"",ROUND(0.3*INDEX(Lists!$N$8:$N$10,MATCH(F30,Lists!$M$8:$M$10,0))+0.25*IF(G30&lt;20,1,IF(G30&lt;80,2,IF(G30&lt;160,3,IF(G30&lt;480,4,5))))+0.25*J30+0.2*K30,2))</f>
        <v/>
      </c>
      <c r="V30" s="39" t="str">
        <f>IF(U30="","",ROUND(0.3*IF(R30="Data ready",5,IF(INDEX(Lists!$N$2:$N$5,MATCH(I30,Lists!$M$2:$M$5,0))=INDEX(Lists!$E$2:$E$11,MATCH(O30,Lists!$B$2:$B$11,0))-1,3,1))+0.25*INDEX(Lists!$N$13:$N$15,MATCH(H30,Lists!$M$13:$M$15,0))+0.25*(6-P30)+0.2*IF(S30="Within current position",5,2),2))</f>
        <v/>
      </c>
      <c r="W30" s="37" t="str">
        <f>IF(U30="","",IF(Q30="No",IF(L30="Yes","Medium","Low"),IF(IF(L30="Yes",2,0)+IF(M30="Yes",1,0)+INDEX(Lists!$N$18:$N$20,MATCH(N30,Lists!$M$18:$M$20,0))+IF(K30=5,2,IF(K30&gt;=4,1,0))&gt;=4,"High",IF(IF(L30="Yes",2,0)+IF(M30="Yes",1,0)+INDEX(Lists!$N$18:$N$20,MATCH(N30,Lists!$M$18:$M$20,0))+IF(K30=5,2,IF(K30&gt;=4,1,0))&gt;=2,"Medium","Low"))))</f>
        <v/>
      </c>
      <c r="X30" s="37" t="str">
        <f>IF(U30="","",IF(AND(U30&gt;=$D$4,V30&gt;=$D$4),"Quick win",IF(U30&gt;=$D$4,"Strategic bet",IF(V30&gt;=$D$4,"Fill-in","Deprioritise"))))</f>
        <v/>
      </c>
      <c r="Y30" s="39" t="str">
        <f>IF(U30="","",ROUND(U30*V30*IF(W30="High",0.85,1)*IF(T30="Redesign / standardise first",0.8,1),2))</f>
        <v/>
      </c>
      <c r="Z30" s="40" t="str">
        <f>IF(Y30="","",RANK(Y30,$Y$8:$Y$57)+COUNTIF($Y$7:Y29,Y30))</f>
        <v/>
      </c>
      <c r="AA30" s="36" t="str">
        <f>IF(AC30="","",INDEX(Lists!$AV$2:$AV$5,AC30))</f>
        <v/>
      </c>
      <c r="AB30" s="41" t="str">
        <f>IF(Y30="","",ROUND(G30*12*INDEX(Lists!$F$2:$F$11,MATCH(O30,Lists!$B$2:$B$11,0)),0))</f>
        <v/>
      </c>
      <c r="AC30" s="37" t="str">
        <f>IF(Y30="","",IF(X30="Deprioritise",4,IF(T30="AI later - close data gap first",3,IF(OR(T30="Redesign / standardise first",T30="Stretch - partner or later stage",X30="Strategic bet"),2,1))))</f>
        <v/>
      </c>
      <c r="AD30" s="37" t="str">
        <f>IF(Z30="","",AC30*100+Z30)</f>
        <v/>
      </c>
    </row>
    <row r="31" ht="40" customHeight="1">
      <c r="A31" s="14" t="n">
        <v>24</v>
      </c>
      <c r="B31" s="35" t="n"/>
      <c r="C31" s="35" t="n"/>
      <c r="D31" s="35" t="n"/>
      <c r="E31" s="35" t="n"/>
      <c r="F31" s="35" t="n"/>
      <c r="G31" s="35" t="n"/>
      <c r="H31" s="35" t="n"/>
      <c r="I31" s="35" t="n"/>
      <c r="J31" s="35" t="n"/>
      <c r="K31" s="35" t="n"/>
      <c r="L31" s="35" t="n"/>
      <c r="M31" s="35" t="n"/>
      <c r="N31" s="35" t="n"/>
      <c r="O31" s="36" t="str">
        <f>IF(OR(C31="",E31=""),"",INDEX(Lists!$B$2:$B$11,MATCH(E31,Lists!$A$2:$A$11,0)))</f>
        <v/>
      </c>
      <c r="P31" s="37" t="str">
        <f>IF(O31="","",INDEX(Lists!$C$2:$C$11,MATCH(O31,Lists!$B$2:$B$11,0)))</f>
        <v/>
      </c>
      <c r="Q31" s="37" t="str">
        <f>IF(O31="","",INDEX(Lists!$D$2:$D$11,MATCH(O31,Lists!$B$2:$B$11,0)))</f>
        <v/>
      </c>
      <c r="R31" s="37" t="str">
        <f>IF(OR(O31="",I31=""),"",IF(INDEX(Lists!$N$2:$N$5,MATCH(I31,Lists!$M$2:$M$5,0))&gt;=INDEX(Lists!$E$2:$E$11,MATCH(O31,Lists!$B$2:$B$11,0)),"Data ready","Data gap"))</f>
        <v/>
      </c>
      <c r="S31" s="36" t="str">
        <f>IF(O31="","",IF(P31&lt;=IF('1. AI Position'!$C$30="",5,INDEX(Lists!$AI$2:$AI$5,'1. AI Position'!$C$30)),"Within current position","Beyond current position"))</f>
        <v/>
      </c>
      <c r="T31" s="38" t="str">
        <f>IF(O31="","",IF(COUNTA(E31:N31)&lt;10,"Complete inputs",IF(H31="No - varies by person / team","Redesign / standardise first",IF(Q31="No","Automate - AI not needed",IF(R31="Data gap","AI later - close data gap first",IF(S31="Beyond current position","Stretch - partner or later stage","AI fit now"))))))</f>
        <v/>
      </c>
      <c r="U31" s="39" t="str">
        <f>IF(OR(T31="",T31="Complete inputs"),"",ROUND(0.3*INDEX(Lists!$N$8:$N$10,MATCH(F31,Lists!$M$8:$M$10,0))+0.25*IF(G31&lt;20,1,IF(G31&lt;80,2,IF(G31&lt;160,3,IF(G31&lt;480,4,5))))+0.25*J31+0.2*K31,2))</f>
        <v/>
      </c>
      <c r="V31" s="39" t="str">
        <f>IF(U31="","",ROUND(0.3*IF(R31="Data ready",5,IF(INDEX(Lists!$N$2:$N$5,MATCH(I31,Lists!$M$2:$M$5,0))=INDEX(Lists!$E$2:$E$11,MATCH(O31,Lists!$B$2:$B$11,0))-1,3,1))+0.25*INDEX(Lists!$N$13:$N$15,MATCH(H31,Lists!$M$13:$M$15,0))+0.25*(6-P31)+0.2*IF(S31="Within current position",5,2),2))</f>
        <v/>
      </c>
      <c r="W31" s="37" t="str">
        <f>IF(U31="","",IF(Q31="No",IF(L31="Yes","Medium","Low"),IF(IF(L31="Yes",2,0)+IF(M31="Yes",1,0)+INDEX(Lists!$N$18:$N$20,MATCH(N31,Lists!$M$18:$M$20,0))+IF(K31=5,2,IF(K31&gt;=4,1,0))&gt;=4,"High",IF(IF(L31="Yes",2,0)+IF(M31="Yes",1,0)+INDEX(Lists!$N$18:$N$20,MATCH(N31,Lists!$M$18:$M$20,0))+IF(K31=5,2,IF(K31&gt;=4,1,0))&gt;=2,"Medium","Low"))))</f>
        <v/>
      </c>
      <c r="X31" s="37" t="str">
        <f>IF(U31="","",IF(AND(U31&gt;=$D$4,V31&gt;=$D$4),"Quick win",IF(U31&gt;=$D$4,"Strategic bet",IF(V31&gt;=$D$4,"Fill-in","Deprioritise"))))</f>
        <v/>
      </c>
      <c r="Y31" s="39" t="str">
        <f>IF(U31="","",ROUND(U31*V31*IF(W31="High",0.85,1)*IF(T31="Redesign / standardise first",0.8,1),2))</f>
        <v/>
      </c>
      <c r="Z31" s="40" t="str">
        <f>IF(Y31="","",RANK(Y31,$Y$8:$Y$57)+COUNTIF($Y$7:Y30,Y31))</f>
        <v/>
      </c>
      <c r="AA31" s="36" t="str">
        <f>IF(AC31="","",INDEX(Lists!$AV$2:$AV$5,AC31))</f>
        <v/>
      </c>
      <c r="AB31" s="41" t="str">
        <f>IF(Y31="","",ROUND(G31*12*INDEX(Lists!$F$2:$F$11,MATCH(O31,Lists!$B$2:$B$11,0)),0))</f>
        <v/>
      </c>
      <c r="AC31" s="37" t="str">
        <f>IF(Y31="","",IF(X31="Deprioritise",4,IF(T31="AI later - close data gap first",3,IF(OR(T31="Redesign / standardise first",T31="Stretch - partner or later stage",X31="Strategic bet"),2,1))))</f>
        <v/>
      </c>
      <c r="AD31" s="37" t="str">
        <f>IF(Z31="","",AC31*100+Z31)</f>
        <v/>
      </c>
    </row>
    <row r="32" ht="40" customHeight="1">
      <c r="A32" s="14" t="n">
        <v>25</v>
      </c>
      <c r="B32" s="35" t="n"/>
      <c r="C32" s="35" t="n"/>
      <c r="D32" s="35" t="n"/>
      <c r="E32" s="35" t="n"/>
      <c r="F32" s="35" t="n"/>
      <c r="G32" s="35" t="n"/>
      <c r="H32" s="35" t="n"/>
      <c r="I32" s="35" t="n"/>
      <c r="J32" s="35" t="n"/>
      <c r="K32" s="35" t="n"/>
      <c r="L32" s="35" t="n"/>
      <c r="M32" s="35" t="n"/>
      <c r="N32" s="35" t="n"/>
      <c r="O32" s="36" t="str">
        <f>IF(OR(C32="",E32=""),"",INDEX(Lists!$B$2:$B$11,MATCH(E32,Lists!$A$2:$A$11,0)))</f>
        <v/>
      </c>
      <c r="P32" s="37" t="str">
        <f>IF(O32="","",INDEX(Lists!$C$2:$C$11,MATCH(O32,Lists!$B$2:$B$11,0)))</f>
        <v/>
      </c>
      <c r="Q32" s="37" t="str">
        <f>IF(O32="","",INDEX(Lists!$D$2:$D$11,MATCH(O32,Lists!$B$2:$B$11,0)))</f>
        <v/>
      </c>
      <c r="R32" s="37" t="str">
        <f>IF(OR(O32="",I32=""),"",IF(INDEX(Lists!$N$2:$N$5,MATCH(I32,Lists!$M$2:$M$5,0))&gt;=INDEX(Lists!$E$2:$E$11,MATCH(O32,Lists!$B$2:$B$11,0)),"Data ready","Data gap"))</f>
        <v/>
      </c>
      <c r="S32" s="36" t="str">
        <f>IF(O32="","",IF(P32&lt;=IF('1. AI Position'!$C$30="",5,INDEX(Lists!$AI$2:$AI$5,'1. AI Position'!$C$30)),"Within current position","Beyond current position"))</f>
        <v/>
      </c>
      <c r="T32" s="38" t="str">
        <f>IF(O32="","",IF(COUNTA(E32:N32)&lt;10,"Complete inputs",IF(H32="No - varies by person / team","Redesign / standardise first",IF(Q32="No","Automate - AI not needed",IF(R32="Data gap","AI later - close data gap first",IF(S32="Beyond current position","Stretch - partner or later stage","AI fit now"))))))</f>
        <v/>
      </c>
      <c r="U32" s="39" t="str">
        <f>IF(OR(T32="",T32="Complete inputs"),"",ROUND(0.3*INDEX(Lists!$N$8:$N$10,MATCH(F32,Lists!$M$8:$M$10,0))+0.25*IF(G32&lt;20,1,IF(G32&lt;80,2,IF(G32&lt;160,3,IF(G32&lt;480,4,5))))+0.25*J32+0.2*K32,2))</f>
        <v/>
      </c>
      <c r="V32" s="39" t="str">
        <f>IF(U32="","",ROUND(0.3*IF(R32="Data ready",5,IF(INDEX(Lists!$N$2:$N$5,MATCH(I32,Lists!$M$2:$M$5,0))=INDEX(Lists!$E$2:$E$11,MATCH(O32,Lists!$B$2:$B$11,0))-1,3,1))+0.25*INDEX(Lists!$N$13:$N$15,MATCH(H32,Lists!$M$13:$M$15,0))+0.25*(6-P32)+0.2*IF(S32="Within current position",5,2),2))</f>
        <v/>
      </c>
      <c r="W32" s="37" t="str">
        <f>IF(U32="","",IF(Q32="No",IF(L32="Yes","Medium","Low"),IF(IF(L32="Yes",2,0)+IF(M32="Yes",1,0)+INDEX(Lists!$N$18:$N$20,MATCH(N32,Lists!$M$18:$M$20,0))+IF(K32=5,2,IF(K32&gt;=4,1,0))&gt;=4,"High",IF(IF(L32="Yes",2,0)+IF(M32="Yes",1,0)+INDEX(Lists!$N$18:$N$20,MATCH(N32,Lists!$M$18:$M$20,0))+IF(K32=5,2,IF(K32&gt;=4,1,0))&gt;=2,"Medium","Low"))))</f>
        <v/>
      </c>
      <c r="X32" s="37" t="str">
        <f>IF(U32="","",IF(AND(U32&gt;=$D$4,V32&gt;=$D$4),"Quick win",IF(U32&gt;=$D$4,"Strategic bet",IF(V32&gt;=$D$4,"Fill-in","Deprioritise"))))</f>
        <v/>
      </c>
      <c r="Y32" s="39" t="str">
        <f>IF(U32="","",ROUND(U32*V32*IF(W32="High",0.85,1)*IF(T32="Redesign / standardise first",0.8,1),2))</f>
        <v/>
      </c>
      <c r="Z32" s="40" t="str">
        <f>IF(Y32="","",RANK(Y32,$Y$8:$Y$57)+COUNTIF($Y$7:Y31,Y32))</f>
        <v/>
      </c>
      <c r="AA32" s="36" t="str">
        <f>IF(AC32="","",INDEX(Lists!$AV$2:$AV$5,AC32))</f>
        <v/>
      </c>
      <c r="AB32" s="41" t="str">
        <f>IF(Y32="","",ROUND(G32*12*INDEX(Lists!$F$2:$F$11,MATCH(O32,Lists!$B$2:$B$11,0)),0))</f>
        <v/>
      </c>
      <c r="AC32" s="37" t="str">
        <f>IF(Y32="","",IF(X32="Deprioritise",4,IF(T32="AI later - close data gap first",3,IF(OR(T32="Redesign / standardise first",T32="Stretch - partner or later stage",X32="Strategic bet"),2,1))))</f>
        <v/>
      </c>
      <c r="AD32" s="37" t="str">
        <f>IF(Z32="","",AC32*100+Z32)</f>
        <v/>
      </c>
    </row>
    <row r="33" ht="40" customHeight="1">
      <c r="A33" s="14" t="n">
        <v>26</v>
      </c>
      <c r="B33" s="35" t="n"/>
      <c r="C33" s="35" t="n"/>
      <c r="D33" s="35" t="n"/>
      <c r="E33" s="35" t="n"/>
      <c r="F33" s="35" t="n"/>
      <c r="G33" s="35" t="n"/>
      <c r="H33" s="35" t="n"/>
      <c r="I33" s="35" t="n"/>
      <c r="J33" s="35" t="n"/>
      <c r="K33" s="35" t="n"/>
      <c r="L33" s="35" t="n"/>
      <c r="M33" s="35" t="n"/>
      <c r="N33" s="35" t="n"/>
      <c r="O33" s="36" t="str">
        <f>IF(OR(C33="",E33=""),"",INDEX(Lists!$B$2:$B$11,MATCH(E33,Lists!$A$2:$A$11,0)))</f>
        <v/>
      </c>
      <c r="P33" s="37" t="str">
        <f>IF(O33="","",INDEX(Lists!$C$2:$C$11,MATCH(O33,Lists!$B$2:$B$11,0)))</f>
        <v/>
      </c>
      <c r="Q33" s="37" t="str">
        <f>IF(O33="","",INDEX(Lists!$D$2:$D$11,MATCH(O33,Lists!$B$2:$B$11,0)))</f>
        <v/>
      </c>
      <c r="R33" s="37" t="str">
        <f>IF(OR(O33="",I33=""),"",IF(INDEX(Lists!$N$2:$N$5,MATCH(I33,Lists!$M$2:$M$5,0))&gt;=INDEX(Lists!$E$2:$E$11,MATCH(O33,Lists!$B$2:$B$11,0)),"Data ready","Data gap"))</f>
        <v/>
      </c>
      <c r="S33" s="36" t="str">
        <f>IF(O33="","",IF(P33&lt;=IF('1. AI Position'!$C$30="",5,INDEX(Lists!$AI$2:$AI$5,'1. AI Position'!$C$30)),"Within current position","Beyond current position"))</f>
        <v/>
      </c>
      <c r="T33" s="38" t="str">
        <f>IF(O33="","",IF(COUNTA(E33:N33)&lt;10,"Complete inputs",IF(H33="No - varies by person / team","Redesign / standardise first",IF(Q33="No","Automate - AI not needed",IF(R33="Data gap","AI later - close data gap first",IF(S33="Beyond current position","Stretch - partner or later stage","AI fit now"))))))</f>
        <v/>
      </c>
      <c r="U33" s="39" t="str">
        <f>IF(OR(T33="",T33="Complete inputs"),"",ROUND(0.3*INDEX(Lists!$N$8:$N$10,MATCH(F33,Lists!$M$8:$M$10,0))+0.25*IF(G33&lt;20,1,IF(G33&lt;80,2,IF(G33&lt;160,3,IF(G33&lt;480,4,5))))+0.25*J33+0.2*K33,2))</f>
        <v/>
      </c>
      <c r="V33" s="39" t="str">
        <f>IF(U33="","",ROUND(0.3*IF(R33="Data ready",5,IF(INDEX(Lists!$N$2:$N$5,MATCH(I33,Lists!$M$2:$M$5,0))=INDEX(Lists!$E$2:$E$11,MATCH(O33,Lists!$B$2:$B$11,0))-1,3,1))+0.25*INDEX(Lists!$N$13:$N$15,MATCH(H33,Lists!$M$13:$M$15,0))+0.25*(6-P33)+0.2*IF(S33="Within current position",5,2),2))</f>
        <v/>
      </c>
      <c r="W33" s="37" t="str">
        <f>IF(U33="","",IF(Q33="No",IF(L33="Yes","Medium","Low"),IF(IF(L33="Yes",2,0)+IF(M33="Yes",1,0)+INDEX(Lists!$N$18:$N$20,MATCH(N33,Lists!$M$18:$M$20,0))+IF(K33=5,2,IF(K33&gt;=4,1,0))&gt;=4,"High",IF(IF(L33="Yes",2,0)+IF(M33="Yes",1,0)+INDEX(Lists!$N$18:$N$20,MATCH(N33,Lists!$M$18:$M$20,0))+IF(K33=5,2,IF(K33&gt;=4,1,0))&gt;=2,"Medium","Low"))))</f>
        <v/>
      </c>
      <c r="X33" s="37" t="str">
        <f>IF(U33="","",IF(AND(U33&gt;=$D$4,V33&gt;=$D$4),"Quick win",IF(U33&gt;=$D$4,"Strategic bet",IF(V33&gt;=$D$4,"Fill-in","Deprioritise"))))</f>
        <v/>
      </c>
      <c r="Y33" s="39" t="str">
        <f>IF(U33="","",ROUND(U33*V33*IF(W33="High",0.85,1)*IF(T33="Redesign / standardise first",0.8,1),2))</f>
        <v/>
      </c>
      <c r="Z33" s="40" t="str">
        <f>IF(Y33="","",RANK(Y33,$Y$8:$Y$57)+COUNTIF($Y$7:Y32,Y33))</f>
        <v/>
      </c>
      <c r="AA33" s="36" t="str">
        <f>IF(AC33="","",INDEX(Lists!$AV$2:$AV$5,AC33))</f>
        <v/>
      </c>
      <c r="AB33" s="41" t="str">
        <f>IF(Y33="","",ROUND(G33*12*INDEX(Lists!$F$2:$F$11,MATCH(O33,Lists!$B$2:$B$11,0)),0))</f>
        <v/>
      </c>
      <c r="AC33" s="37" t="str">
        <f>IF(Y33="","",IF(X33="Deprioritise",4,IF(T33="AI later - close data gap first",3,IF(OR(T33="Redesign / standardise first",T33="Stretch - partner or later stage",X33="Strategic bet"),2,1))))</f>
        <v/>
      </c>
      <c r="AD33" s="37" t="str">
        <f>IF(Z33="","",AC33*100+Z33)</f>
        <v/>
      </c>
    </row>
    <row r="34" ht="40" customHeight="1">
      <c r="A34" s="14" t="n">
        <v>27</v>
      </c>
      <c r="B34" s="35" t="n"/>
      <c r="C34" s="35" t="n"/>
      <c r="D34" s="35" t="n"/>
      <c r="E34" s="35" t="n"/>
      <c r="F34" s="35" t="n"/>
      <c r="G34" s="35" t="n"/>
      <c r="H34" s="35" t="n"/>
      <c r="I34" s="35" t="n"/>
      <c r="J34" s="35" t="n"/>
      <c r="K34" s="35" t="n"/>
      <c r="L34" s="35" t="n"/>
      <c r="M34" s="35" t="n"/>
      <c r="N34" s="35" t="n"/>
      <c r="O34" s="36" t="str">
        <f>IF(OR(C34="",E34=""),"",INDEX(Lists!$B$2:$B$11,MATCH(E34,Lists!$A$2:$A$11,0)))</f>
        <v/>
      </c>
      <c r="P34" s="37" t="str">
        <f>IF(O34="","",INDEX(Lists!$C$2:$C$11,MATCH(O34,Lists!$B$2:$B$11,0)))</f>
        <v/>
      </c>
      <c r="Q34" s="37" t="str">
        <f>IF(O34="","",INDEX(Lists!$D$2:$D$11,MATCH(O34,Lists!$B$2:$B$11,0)))</f>
        <v/>
      </c>
      <c r="R34" s="37" t="str">
        <f>IF(OR(O34="",I34=""),"",IF(INDEX(Lists!$N$2:$N$5,MATCH(I34,Lists!$M$2:$M$5,0))&gt;=INDEX(Lists!$E$2:$E$11,MATCH(O34,Lists!$B$2:$B$11,0)),"Data ready","Data gap"))</f>
        <v/>
      </c>
      <c r="S34" s="36" t="str">
        <f>IF(O34="","",IF(P34&lt;=IF('1. AI Position'!$C$30="",5,INDEX(Lists!$AI$2:$AI$5,'1. AI Position'!$C$30)),"Within current position","Beyond current position"))</f>
        <v/>
      </c>
      <c r="T34" s="38" t="str">
        <f>IF(O34="","",IF(COUNTA(E34:N34)&lt;10,"Complete inputs",IF(H34="No - varies by person / team","Redesign / standardise first",IF(Q34="No","Automate - AI not needed",IF(R34="Data gap","AI later - close data gap first",IF(S34="Beyond current position","Stretch - partner or later stage","AI fit now"))))))</f>
        <v/>
      </c>
      <c r="U34" s="39" t="str">
        <f>IF(OR(T34="",T34="Complete inputs"),"",ROUND(0.3*INDEX(Lists!$N$8:$N$10,MATCH(F34,Lists!$M$8:$M$10,0))+0.25*IF(G34&lt;20,1,IF(G34&lt;80,2,IF(G34&lt;160,3,IF(G34&lt;480,4,5))))+0.25*J34+0.2*K34,2))</f>
        <v/>
      </c>
      <c r="V34" s="39" t="str">
        <f>IF(U34="","",ROUND(0.3*IF(R34="Data ready",5,IF(INDEX(Lists!$N$2:$N$5,MATCH(I34,Lists!$M$2:$M$5,0))=INDEX(Lists!$E$2:$E$11,MATCH(O34,Lists!$B$2:$B$11,0))-1,3,1))+0.25*INDEX(Lists!$N$13:$N$15,MATCH(H34,Lists!$M$13:$M$15,0))+0.25*(6-P34)+0.2*IF(S34="Within current position",5,2),2))</f>
        <v/>
      </c>
      <c r="W34" s="37" t="str">
        <f>IF(U34="","",IF(Q34="No",IF(L34="Yes","Medium","Low"),IF(IF(L34="Yes",2,0)+IF(M34="Yes",1,0)+INDEX(Lists!$N$18:$N$20,MATCH(N34,Lists!$M$18:$M$20,0))+IF(K34=5,2,IF(K34&gt;=4,1,0))&gt;=4,"High",IF(IF(L34="Yes",2,0)+IF(M34="Yes",1,0)+INDEX(Lists!$N$18:$N$20,MATCH(N34,Lists!$M$18:$M$20,0))+IF(K34=5,2,IF(K34&gt;=4,1,0))&gt;=2,"Medium","Low"))))</f>
        <v/>
      </c>
      <c r="X34" s="37" t="str">
        <f>IF(U34="","",IF(AND(U34&gt;=$D$4,V34&gt;=$D$4),"Quick win",IF(U34&gt;=$D$4,"Strategic bet",IF(V34&gt;=$D$4,"Fill-in","Deprioritise"))))</f>
        <v/>
      </c>
      <c r="Y34" s="39" t="str">
        <f>IF(U34="","",ROUND(U34*V34*IF(W34="High",0.85,1)*IF(T34="Redesign / standardise first",0.8,1),2))</f>
        <v/>
      </c>
      <c r="Z34" s="40" t="str">
        <f>IF(Y34="","",RANK(Y34,$Y$8:$Y$57)+COUNTIF($Y$7:Y33,Y34))</f>
        <v/>
      </c>
      <c r="AA34" s="36" t="str">
        <f>IF(AC34="","",INDEX(Lists!$AV$2:$AV$5,AC34))</f>
        <v/>
      </c>
      <c r="AB34" s="41" t="str">
        <f>IF(Y34="","",ROUND(G34*12*INDEX(Lists!$F$2:$F$11,MATCH(O34,Lists!$B$2:$B$11,0)),0))</f>
        <v/>
      </c>
      <c r="AC34" s="37" t="str">
        <f>IF(Y34="","",IF(X34="Deprioritise",4,IF(T34="AI later - close data gap first",3,IF(OR(T34="Redesign / standardise first",T34="Stretch - partner or later stage",X34="Strategic bet"),2,1))))</f>
        <v/>
      </c>
      <c r="AD34" s="37" t="str">
        <f>IF(Z34="","",AC34*100+Z34)</f>
        <v/>
      </c>
    </row>
    <row r="35" ht="40" customHeight="1">
      <c r="A35" s="14" t="n">
        <v>28</v>
      </c>
      <c r="B35" s="35" t="n"/>
      <c r="C35" s="35" t="n"/>
      <c r="D35" s="35" t="n"/>
      <c r="E35" s="35" t="n"/>
      <c r="F35" s="35" t="n"/>
      <c r="G35" s="35" t="n"/>
      <c r="H35" s="35" t="n"/>
      <c r="I35" s="35" t="n"/>
      <c r="J35" s="35" t="n"/>
      <c r="K35" s="35" t="n"/>
      <c r="L35" s="35" t="n"/>
      <c r="M35" s="35" t="n"/>
      <c r="N35" s="35" t="n"/>
      <c r="O35" s="36" t="str">
        <f>IF(OR(C35="",E35=""),"",INDEX(Lists!$B$2:$B$11,MATCH(E35,Lists!$A$2:$A$11,0)))</f>
        <v/>
      </c>
      <c r="P35" s="37" t="str">
        <f>IF(O35="","",INDEX(Lists!$C$2:$C$11,MATCH(O35,Lists!$B$2:$B$11,0)))</f>
        <v/>
      </c>
      <c r="Q35" s="37" t="str">
        <f>IF(O35="","",INDEX(Lists!$D$2:$D$11,MATCH(O35,Lists!$B$2:$B$11,0)))</f>
        <v/>
      </c>
      <c r="R35" s="37" t="str">
        <f>IF(OR(O35="",I35=""),"",IF(INDEX(Lists!$N$2:$N$5,MATCH(I35,Lists!$M$2:$M$5,0))&gt;=INDEX(Lists!$E$2:$E$11,MATCH(O35,Lists!$B$2:$B$11,0)),"Data ready","Data gap"))</f>
        <v/>
      </c>
      <c r="S35" s="36" t="str">
        <f>IF(O35="","",IF(P35&lt;=IF('1. AI Position'!$C$30="",5,INDEX(Lists!$AI$2:$AI$5,'1. AI Position'!$C$30)),"Within current position","Beyond current position"))</f>
        <v/>
      </c>
      <c r="T35" s="38" t="str">
        <f>IF(O35="","",IF(COUNTA(E35:N35)&lt;10,"Complete inputs",IF(H35="No - varies by person / team","Redesign / standardise first",IF(Q35="No","Automate - AI not needed",IF(R35="Data gap","AI later - close data gap first",IF(S35="Beyond current position","Stretch - partner or later stage","AI fit now"))))))</f>
        <v/>
      </c>
      <c r="U35" s="39" t="str">
        <f>IF(OR(T35="",T35="Complete inputs"),"",ROUND(0.3*INDEX(Lists!$N$8:$N$10,MATCH(F35,Lists!$M$8:$M$10,0))+0.25*IF(G35&lt;20,1,IF(G35&lt;80,2,IF(G35&lt;160,3,IF(G35&lt;480,4,5))))+0.25*J35+0.2*K35,2))</f>
        <v/>
      </c>
      <c r="V35" s="39" t="str">
        <f>IF(U35="","",ROUND(0.3*IF(R35="Data ready",5,IF(INDEX(Lists!$N$2:$N$5,MATCH(I35,Lists!$M$2:$M$5,0))=INDEX(Lists!$E$2:$E$11,MATCH(O35,Lists!$B$2:$B$11,0))-1,3,1))+0.25*INDEX(Lists!$N$13:$N$15,MATCH(H35,Lists!$M$13:$M$15,0))+0.25*(6-P35)+0.2*IF(S35="Within current position",5,2),2))</f>
        <v/>
      </c>
      <c r="W35" s="37" t="str">
        <f>IF(U35="","",IF(Q35="No",IF(L35="Yes","Medium","Low"),IF(IF(L35="Yes",2,0)+IF(M35="Yes",1,0)+INDEX(Lists!$N$18:$N$20,MATCH(N35,Lists!$M$18:$M$20,0))+IF(K35=5,2,IF(K35&gt;=4,1,0))&gt;=4,"High",IF(IF(L35="Yes",2,0)+IF(M35="Yes",1,0)+INDEX(Lists!$N$18:$N$20,MATCH(N35,Lists!$M$18:$M$20,0))+IF(K35=5,2,IF(K35&gt;=4,1,0))&gt;=2,"Medium","Low"))))</f>
        <v/>
      </c>
      <c r="X35" s="37" t="str">
        <f>IF(U35="","",IF(AND(U35&gt;=$D$4,V35&gt;=$D$4),"Quick win",IF(U35&gt;=$D$4,"Strategic bet",IF(V35&gt;=$D$4,"Fill-in","Deprioritise"))))</f>
        <v/>
      </c>
      <c r="Y35" s="39" t="str">
        <f>IF(U35="","",ROUND(U35*V35*IF(W35="High",0.85,1)*IF(T35="Redesign / standardise first",0.8,1),2))</f>
        <v/>
      </c>
      <c r="Z35" s="40" t="str">
        <f>IF(Y35="","",RANK(Y35,$Y$8:$Y$57)+COUNTIF($Y$7:Y34,Y35))</f>
        <v/>
      </c>
      <c r="AA35" s="36" t="str">
        <f>IF(AC35="","",INDEX(Lists!$AV$2:$AV$5,AC35))</f>
        <v/>
      </c>
      <c r="AB35" s="41" t="str">
        <f>IF(Y35="","",ROUND(G35*12*INDEX(Lists!$F$2:$F$11,MATCH(O35,Lists!$B$2:$B$11,0)),0))</f>
        <v/>
      </c>
      <c r="AC35" s="37" t="str">
        <f>IF(Y35="","",IF(X35="Deprioritise",4,IF(T35="AI later - close data gap first",3,IF(OR(T35="Redesign / standardise first",T35="Stretch - partner or later stage",X35="Strategic bet"),2,1))))</f>
        <v/>
      </c>
      <c r="AD35" s="37" t="str">
        <f>IF(Z35="","",AC35*100+Z35)</f>
        <v/>
      </c>
    </row>
    <row r="36" ht="40" customHeight="1">
      <c r="A36" s="14" t="n">
        <v>29</v>
      </c>
      <c r="B36" s="35" t="n"/>
      <c r="C36" s="35" t="n"/>
      <c r="D36" s="35" t="n"/>
      <c r="E36" s="35" t="n"/>
      <c r="F36" s="35" t="n"/>
      <c r="G36" s="35" t="n"/>
      <c r="H36" s="35" t="n"/>
      <c r="I36" s="35" t="n"/>
      <c r="J36" s="35" t="n"/>
      <c r="K36" s="35" t="n"/>
      <c r="L36" s="35" t="n"/>
      <c r="M36" s="35" t="n"/>
      <c r="N36" s="35" t="n"/>
      <c r="O36" s="36" t="str">
        <f>IF(OR(C36="",E36=""),"",INDEX(Lists!$B$2:$B$11,MATCH(E36,Lists!$A$2:$A$11,0)))</f>
        <v/>
      </c>
      <c r="P36" s="37" t="str">
        <f>IF(O36="","",INDEX(Lists!$C$2:$C$11,MATCH(O36,Lists!$B$2:$B$11,0)))</f>
        <v/>
      </c>
      <c r="Q36" s="37" t="str">
        <f>IF(O36="","",INDEX(Lists!$D$2:$D$11,MATCH(O36,Lists!$B$2:$B$11,0)))</f>
        <v/>
      </c>
      <c r="R36" s="37" t="str">
        <f>IF(OR(O36="",I36=""),"",IF(INDEX(Lists!$N$2:$N$5,MATCH(I36,Lists!$M$2:$M$5,0))&gt;=INDEX(Lists!$E$2:$E$11,MATCH(O36,Lists!$B$2:$B$11,0)),"Data ready","Data gap"))</f>
        <v/>
      </c>
      <c r="S36" s="36" t="str">
        <f>IF(O36="","",IF(P36&lt;=IF('1. AI Position'!$C$30="",5,INDEX(Lists!$AI$2:$AI$5,'1. AI Position'!$C$30)),"Within current position","Beyond current position"))</f>
        <v/>
      </c>
      <c r="T36" s="38" t="str">
        <f>IF(O36="","",IF(COUNTA(E36:N36)&lt;10,"Complete inputs",IF(H36="No - varies by person / team","Redesign / standardise first",IF(Q36="No","Automate - AI not needed",IF(R36="Data gap","AI later - close data gap first",IF(S36="Beyond current position","Stretch - partner or later stage","AI fit now"))))))</f>
        <v/>
      </c>
      <c r="U36" s="39" t="str">
        <f>IF(OR(T36="",T36="Complete inputs"),"",ROUND(0.3*INDEX(Lists!$N$8:$N$10,MATCH(F36,Lists!$M$8:$M$10,0))+0.25*IF(G36&lt;20,1,IF(G36&lt;80,2,IF(G36&lt;160,3,IF(G36&lt;480,4,5))))+0.25*J36+0.2*K36,2))</f>
        <v/>
      </c>
      <c r="V36" s="39" t="str">
        <f>IF(U36="","",ROUND(0.3*IF(R36="Data ready",5,IF(INDEX(Lists!$N$2:$N$5,MATCH(I36,Lists!$M$2:$M$5,0))=INDEX(Lists!$E$2:$E$11,MATCH(O36,Lists!$B$2:$B$11,0))-1,3,1))+0.25*INDEX(Lists!$N$13:$N$15,MATCH(H36,Lists!$M$13:$M$15,0))+0.25*(6-P36)+0.2*IF(S36="Within current position",5,2),2))</f>
        <v/>
      </c>
      <c r="W36" s="37" t="str">
        <f>IF(U36="","",IF(Q36="No",IF(L36="Yes","Medium","Low"),IF(IF(L36="Yes",2,0)+IF(M36="Yes",1,0)+INDEX(Lists!$N$18:$N$20,MATCH(N36,Lists!$M$18:$M$20,0))+IF(K36=5,2,IF(K36&gt;=4,1,0))&gt;=4,"High",IF(IF(L36="Yes",2,0)+IF(M36="Yes",1,0)+INDEX(Lists!$N$18:$N$20,MATCH(N36,Lists!$M$18:$M$20,0))+IF(K36=5,2,IF(K36&gt;=4,1,0))&gt;=2,"Medium","Low"))))</f>
        <v/>
      </c>
      <c r="X36" s="37" t="str">
        <f>IF(U36="","",IF(AND(U36&gt;=$D$4,V36&gt;=$D$4),"Quick win",IF(U36&gt;=$D$4,"Strategic bet",IF(V36&gt;=$D$4,"Fill-in","Deprioritise"))))</f>
        <v/>
      </c>
      <c r="Y36" s="39" t="str">
        <f>IF(U36="","",ROUND(U36*V36*IF(W36="High",0.85,1)*IF(T36="Redesign / standardise first",0.8,1),2))</f>
        <v/>
      </c>
      <c r="Z36" s="40" t="str">
        <f>IF(Y36="","",RANK(Y36,$Y$8:$Y$57)+COUNTIF($Y$7:Y35,Y36))</f>
        <v/>
      </c>
      <c r="AA36" s="36" t="str">
        <f>IF(AC36="","",INDEX(Lists!$AV$2:$AV$5,AC36))</f>
        <v/>
      </c>
      <c r="AB36" s="41" t="str">
        <f>IF(Y36="","",ROUND(G36*12*INDEX(Lists!$F$2:$F$11,MATCH(O36,Lists!$B$2:$B$11,0)),0))</f>
        <v/>
      </c>
      <c r="AC36" s="37" t="str">
        <f>IF(Y36="","",IF(X36="Deprioritise",4,IF(T36="AI later - close data gap first",3,IF(OR(T36="Redesign / standardise first",T36="Stretch - partner or later stage",X36="Strategic bet"),2,1))))</f>
        <v/>
      </c>
      <c r="AD36" s="37" t="str">
        <f>IF(Z36="","",AC36*100+Z36)</f>
        <v/>
      </c>
    </row>
    <row r="37" ht="40" customHeight="1">
      <c r="A37" s="14" t="n">
        <v>30</v>
      </c>
      <c r="B37" s="35" t="n"/>
      <c r="C37" s="35" t="n"/>
      <c r="D37" s="35" t="n"/>
      <c r="E37" s="35" t="n"/>
      <c r="F37" s="35" t="n"/>
      <c r="G37" s="35" t="n"/>
      <c r="H37" s="35" t="n"/>
      <c r="I37" s="35" t="n"/>
      <c r="J37" s="35" t="n"/>
      <c r="K37" s="35" t="n"/>
      <c r="L37" s="35" t="n"/>
      <c r="M37" s="35" t="n"/>
      <c r="N37" s="35" t="n"/>
      <c r="O37" s="36" t="str">
        <f>IF(OR(C37="",E37=""),"",INDEX(Lists!$B$2:$B$11,MATCH(E37,Lists!$A$2:$A$11,0)))</f>
        <v/>
      </c>
      <c r="P37" s="37" t="str">
        <f>IF(O37="","",INDEX(Lists!$C$2:$C$11,MATCH(O37,Lists!$B$2:$B$11,0)))</f>
        <v/>
      </c>
      <c r="Q37" s="37" t="str">
        <f>IF(O37="","",INDEX(Lists!$D$2:$D$11,MATCH(O37,Lists!$B$2:$B$11,0)))</f>
        <v/>
      </c>
      <c r="R37" s="37" t="str">
        <f>IF(OR(O37="",I37=""),"",IF(INDEX(Lists!$N$2:$N$5,MATCH(I37,Lists!$M$2:$M$5,0))&gt;=INDEX(Lists!$E$2:$E$11,MATCH(O37,Lists!$B$2:$B$11,0)),"Data ready","Data gap"))</f>
        <v/>
      </c>
      <c r="S37" s="36" t="str">
        <f>IF(O37="","",IF(P37&lt;=IF('1. AI Position'!$C$30="",5,INDEX(Lists!$AI$2:$AI$5,'1. AI Position'!$C$30)),"Within current position","Beyond current position"))</f>
        <v/>
      </c>
      <c r="T37" s="38" t="str">
        <f>IF(O37="","",IF(COUNTA(E37:N37)&lt;10,"Complete inputs",IF(H37="No - varies by person / team","Redesign / standardise first",IF(Q37="No","Automate - AI not needed",IF(R37="Data gap","AI later - close data gap first",IF(S37="Beyond current position","Stretch - partner or later stage","AI fit now"))))))</f>
        <v/>
      </c>
      <c r="U37" s="39" t="str">
        <f>IF(OR(T37="",T37="Complete inputs"),"",ROUND(0.3*INDEX(Lists!$N$8:$N$10,MATCH(F37,Lists!$M$8:$M$10,0))+0.25*IF(G37&lt;20,1,IF(G37&lt;80,2,IF(G37&lt;160,3,IF(G37&lt;480,4,5))))+0.25*J37+0.2*K37,2))</f>
        <v/>
      </c>
      <c r="V37" s="39" t="str">
        <f>IF(U37="","",ROUND(0.3*IF(R37="Data ready",5,IF(INDEX(Lists!$N$2:$N$5,MATCH(I37,Lists!$M$2:$M$5,0))=INDEX(Lists!$E$2:$E$11,MATCH(O37,Lists!$B$2:$B$11,0))-1,3,1))+0.25*INDEX(Lists!$N$13:$N$15,MATCH(H37,Lists!$M$13:$M$15,0))+0.25*(6-P37)+0.2*IF(S37="Within current position",5,2),2))</f>
        <v/>
      </c>
      <c r="W37" s="37" t="str">
        <f>IF(U37="","",IF(Q37="No",IF(L37="Yes","Medium","Low"),IF(IF(L37="Yes",2,0)+IF(M37="Yes",1,0)+INDEX(Lists!$N$18:$N$20,MATCH(N37,Lists!$M$18:$M$20,0))+IF(K37=5,2,IF(K37&gt;=4,1,0))&gt;=4,"High",IF(IF(L37="Yes",2,0)+IF(M37="Yes",1,0)+INDEX(Lists!$N$18:$N$20,MATCH(N37,Lists!$M$18:$M$20,0))+IF(K37=5,2,IF(K37&gt;=4,1,0))&gt;=2,"Medium","Low"))))</f>
        <v/>
      </c>
      <c r="X37" s="37" t="str">
        <f>IF(U37="","",IF(AND(U37&gt;=$D$4,V37&gt;=$D$4),"Quick win",IF(U37&gt;=$D$4,"Strategic bet",IF(V37&gt;=$D$4,"Fill-in","Deprioritise"))))</f>
        <v/>
      </c>
      <c r="Y37" s="39" t="str">
        <f>IF(U37="","",ROUND(U37*V37*IF(W37="High",0.85,1)*IF(T37="Redesign / standardise first",0.8,1),2))</f>
        <v/>
      </c>
      <c r="Z37" s="40" t="str">
        <f>IF(Y37="","",RANK(Y37,$Y$8:$Y$57)+COUNTIF($Y$7:Y36,Y37))</f>
        <v/>
      </c>
      <c r="AA37" s="36" t="str">
        <f>IF(AC37="","",INDEX(Lists!$AV$2:$AV$5,AC37))</f>
        <v/>
      </c>
      <c r="AB37" s="41" t="str">
        <f>IF(Y37="","",ROUND(G37*12*INDEX(Lists!$F$2:$F$11,MATCH(O37,Lists!$B$2:$B$11,0)),0))</f>
        <v/>
      </c>
      <c r="AC37" s="37" t="str">
        <f>IF(Y37="","",IF(X37="Deprioritise",4,IF(T37="AI later - close data gap first",3,IF(OR(T37="Redesign / standardise first",T37="Stretch - partner or later stage",X37="Strategic bet"),2,1))))</f>
        <v/>
      </c>
      <c r="AD37" s="37" t="str">
        <f>IF(Z37="","",AC37*100+Z37)</f>
        <v/>
      </c>
    </row>
    <row r="38" ht="40" customHeight="1">
      <c r="A38" s="14" t="n">
        <v>31</v>
      </c>
      <c r="B38" s="35" t="n"/>
      <c r="C38" s="35" t="n"/>
      <c r="D38" s="35" t="n"/>
      <c r="E38" s="35" t="n"/>
      <c r="F38" s="35" t="n"/>
      <c r="G38" s="35" t="n"/>
      <c r="H38" s="35" t="n"/>
      <c r="I38" s="35" t="n"/>
      <c r="J38" s="35" t="n"/>
      <c r="K38" s="35" t="n"/>
      <c r="L38" s="35" t="n"/>
      <c r="M38" s="35" t="n"/>
      <c r="N38" s="35" t="n"/>
      <c r="O38" s="36" t="str">
        <f>IF(OR(C38="",E38=""),"",INDEX(Lists!$B$2:$B$11,MATCH(E38,Lists!$A$2:$A$11,0)))</f>
        <v/>
      </c>
      <c r="P38" s="37" t="str">
        <f>IF(O38="","",INDEX(Lists!$C$2:$C$11,MATCH(O38,Lists!$B$2:$B$11,0)))</f>
        <v/>
      </c>
      <c r="Q38" s="37" t="str">
        <f>IF(O38="","",INDEX(Lists!$D$2:$D$11,MATCH(O38,Lists!$B$2:$B$11,0)))</f>
        <v/>
      </c>
      <c r="R38" s="37" t="str">
        <f>IF(OR(O38="",I38=""),"",IF(INDEX(Lists!$N$2:$N$5,MATCH(I38,Lists!$M$2:$M$5,0))&gt;=INDEX(Lists!$E$2:$E$11,MATCH(O38,Lists!$B$2:$B$11,0)),"Data ready","Data gap"))</f>
        <v/>
      </c>
      <c r="S38" s="36" t="str">
        <f>IF(O38="","",IF(P38&lt;=IF('1. AI Position'!$C$30="",5,INDEX(Lists!$AI$2:$AI$5,'1. AI Position'!$C$30)),"Within current position","Beyond current position"))</f>
        <v/>
      </c>
      <c r="T38" s="38" t="str">
        <f>IF(O38="","",IF(COUNTA(E38:N38)&lt;10,"Complete inputs",IF(H38="No - varies by person / team","Redesign / standardise first",IF(Q38="No","Automate - AI not needed",IF(R38="Data gap","AI later - close data gap first",IF(S38="Beyond current position","Stretch - partner or later stage","AI fit now"))))))</f>
        <v/>
      </c>
      <c r="U38" s="39" t="str">
        <f>IF(OR(T38="",T38="Complete inputs"),"",ROUND(0.3*INDEX(Lists!$N$8:$N$10,MATCH(F38,Lists!$M$8:$M$10,0))+0.25*IF(G38&lt;20,1,IF(G38&lt;80,2,IF(G38&lt;160,3,IF(G38&lt;480,4,5))))+0.25*J38+0.2*K38,2))</f>
        <v/>
      </c>
      <c r="V38" s="39" t="str">
        <f>IF(U38="","",ROUND(0.3*IF(R38="Data ready",5,IF(INDEX(Lists!$N$2:$N$5,MATCH(I38,Lists!$M$2:$M$5,0))=INDEX(Lists!$E$2:$E$11,MATCH(O38,Lists!$B$2:$B$11,0))-1,3,1))+0.25*INDEX(Lists!$N$13:$N$15,MATCH(H38,Lists!$M$13:$M$15,0))+0.25*(6-P38)+0.2*IF(S38="Within current position",5,2),2))</f>
        <v/>
      </c>
      <c r="W38" s="37" t="str">
        <f>IF(U38="","",IF(Q38="No",IF(L38="Yes","Medium","Low"),IF(IF(L38="Yes",2,0)+IF(M38="Yes",1,0)+INDEX(Lists!$N$18:$N$20,MATCH(N38,Lists!$M$18:$M$20,0))+IF(K38=5,2,IF(K38&gt;=4,1,0))&gt;=4,"High",IF(IF(L38="Yes",2,0)+IF(M38="Yes",1,0)+INDEX(Lists!$N$18:$N$20,MATCH(N38,Lists!$M$18:$M$20,0))+IF(K38=5,2,IF(K38&gt;=4,1,0))&gt;=2,"Medium","Low"))))</f>
        <v/>
      </c>
      <c r="X38" s="37" t="str">
        <f>IF(U38="","",IF(AND(U38&gt;=$D$4,V38&gt;=$D$4),"Quick win",IF(U38&gt;=$D$4,"Strategic bet",IF(V38&gt;=$D$4,"Fill-in","Deprioritise"))))</f>
        <v/>
      </c>
      <c r="Y38" s="39" t="str">
        <f>IF(U38="","",ROUND(U38*V38*IF(W38="High",0.85,1)*IF(T38="Redesign / standardise first",0.8,1),2))</f>
        <v/>
      </c>
      <c r="Z38" s="40" t="str">
        <f>IF(Y38="","",RANK(Y38,$Y$8:$Y$57)+COUNTIF($Y$7:Y37,Y38))</f>
        <v/>
      </c>
      <c r="AA38" s="36" t="str">
        <f>IF(AC38="","",INDEX(Lists!$AV$2:$AV$5,AC38))</f>
        <v/>
      </c>
      <c r="AB38" s="41" t="str">
        <f>IF(Y38="","",ROUND(G38*12*INDEX(Lists!$F$2:$F$11,MATCH(O38,Lists!$B$2:$B$11,0)),0))</f>
        <v/>
      </c>
      <c r="AC38" s="37" t="str">
        <f>IF(Y38="","",IF(X38="Deprioritise",4,IF(T38="AI later - close data gap first",3,IF(OR(T38="Redesign / standardise first",T38="Stretch - partner or later stage",X38="Strategic bet"),2,1))))</f>
        <v/>
      </c>
      <c r="AD38" s="37" t="str">
        <f>IF(Z38="","",AC38*100+Z38)</f>
        <v/>
      </c>
    </row>
    <row r="39" ht="40" customHeight="1">
      <c r="A39" s="14" t="n">
        <v>32</v>
      </c>
      <c r="B39" s="35" t="n"/>
      <c r="C39" s="35" t="n"/>
      <c r="D39" s="35" t="n"/>
      <c r="E39" s="35" t="n"/>
      <c r="F39" s="35" t="n"/>
      <c r="G39" s="35" t="n"/>
      <c r="H39" s="35" t="n"/>
      <c r="I39" s="35" t="n"/>
      <c r="J39" s="35" t="n"/>
      <c r="K39" s="35" t="n"/>
      <c r="L39" s="35" t="n"/>
      <c r="M39" s="35" t="n"/>
      <c r="N39" s="35" t="n"/>
      <c r="O39" s="36" t="str">
        <f>IF(OR(C39="",E39=""),"",INDEX(Lists!$B$2:$B$11,MATCH(E39,Lists!$A$2:$A$11,0)))</f>
        <v/>
      </c>
      <c r="P39" s="37" t="str">
        <f>IF(O39="","",INDEX(Lists!$C$2:$C$11,MATCH(O39,Lists!$B$2:$B$11,0)))</f>
        <v/>
      </c>
      <c r="Q39" s="37" t="str">
        <f>IF(O39="","",INDEX(Lists!$D$2:$D$11,MATCH(O39,Lists!$B$2:$B$11,0)))</f>
        <v/>
      </c>
      <c r="R39" s="37" t="str">
        <f>IF(OR(O39="",I39=""),"",IF(INDEX(Lists!$N$2:$N$5,MATCH(I39,Lists!$M$2:$M$5,0))&gt;=INDEX(Lists!$E$2:$E$11,MATCH(O39,Lists!$B$2:$B$11,0)),"Data ready","Data gap"))</f>
        <v/>
      </c>
      <c r="S39" s="36" t="str">
        <f>IF(O39="","",IF(P39&lt;=IF('1. AI Position'!$C$30="",5,INDEX(Lists!$AI$2:$AI$5,'1. AI Position'!$C$30)),"Within current position","Beyond current position"))</f>
        <v/>
      </c>
      <c r="T39" s="38" t="str">
        <f>IF(O39="","",IF(COUNTA(E39:N39)&lt;10,"Complete inputs",IF(H39="No - varies by person / team","Redesign / standardise first",IF(Q39="No","Automate - AI not needed",IF(R39="Data gap","AI later - close data gap first",IF(S39="Beyond current position","Stretch - partner or later stage","AI fit now"))))))</f>
        <v/>
      </c>
      <c r="U39" s="39" t="str">
        <f>IF(OR(T39="",T39="Complete inputs"),"",ROUND(0.3*INDEX(Lists!$N$8:$N$10,MATCH(F39,Lists!$M$8:$M$10,0))+0.25*IF(G39&lt;20,1,IF(G39&lt;80,2,IF(G39&lt;160,3,IF(G39&lt;480,4,5))))+0.25*J39+0.2*K39,2))</f>
        <v/>
      </c>
      <c r="V39" s="39" t="str">
        <f>IF(U39="","",ROUND(0.3*IF(R39="Data ready",5,IF(INDEX(Lists!$N$2:$N$5,MATCH(I39,Lists!$M$2:$M$5,0))=INDEX(Lists!$E$2:$E$11,MATCH(O39,Lists!$B$2:$B$11,0))-1,3,1))+0.25*INDEX(Lists!$N$13:$N$15,MATCH(H39,Lists!$M$13:$M$15,0))+0.25*(6-P39)+0.2*IF(S39="Within current position",5,2),2))</f>
        <v/>
      </c>
      <c r="W39" s="37" t="str">
        <f>IF(U39="","",IF(Q39="No",IF(L39="Yes","Medium","Low"),IF(IF(L39="Yes",2,0)+IF(M39="Yes",1,0)+INDEX(Lists!$N$18:$N$20,MATCH(N39,Lists!$M$18:$M$20,0))+IF(K39=5,2,IF(K39&gt;=4,1,0))&gt;=4,"High",IF(IF(L39="Yes",2,0)+IF(M39="Yes",1,0)+INDEX(Lists!$N$18:$N$20,MATCH(N39,Lists!$M$18:$M$20,0))+IF(K39=5,2,IF(K39&gt;=4,1,0))&gt;=2,"Medium","Low"))))</f>
        <v/>
      </c>
      <c r="X39" s="37" t="str">
        <f>IF(U39="","",IF(AND(U39&gt;=$D$4,V39&gt;=$D$4),"Quick win",IF(U39&gt;=$D$4,"Strategic bet",IF(V39&gt;=$D$4,"Fill-in","Deprioritise"))))</f>
        <v/>
      </c>
      <c r="Y39" s="39" t="str">
        <f>IF(U39="","",ROUND(U39*V39*IF(W39="High",0.85,1)*IF(T39="Redesign / standardise first",0.8,1),2))</f>
        <v/>
      </c>
      <c r="Z39" s="40" t="str">
        <f>IF(Y39="","",RANK(Y39,$Y$8:$Y$57)+COUNTIF($Y$7:Y38,Y39))</f>
        <v/>
      </c>
      <c r="AA39" s="36" t="str">
        <f>IF(AC39="","",INDEX(Lists!$AV$2:$AV$5,AC39))</f>
        <v/>
      </c>
      <c r="AB39" s="41" t="str">
        <f>IF(Y39="","",ROUND(G39*12*INDEX(Lists!$F$2:$F$11,MATCH(O39,Lists!$B$2:$B$11,0)),0))</f>
        <v/>
      </c>
      <c r="AC39" s="37" t="str">
        <f>IF(Y39="","",IF(X39="Deprioritise",4,IF(T39="AI later - close data gap first",3,IF(OR(T39="Redesign / standardise first",T39="Stretch - partner or later stage",X39="Strategic bet"),2,1))))</f>
        <v/>
      </c>
      <c r="AD39" s="37" t="str">
        <f>IF(Z39="","",AC39*100+Z39)</f>
        <v/>
      </c>
    </row>
    <row r="40" ht="40" customHeight="1">
      <c r="A40" s="14" t="n">
        <v>33</v>
      </c>
      <c r="B40" s="35" t="n"/>
      <c r="C40" s="35" t="n"/>
      <c r="D40" s="35" t="n"/>
      <c r="E40" s="35" t="n"/>
      <c r="F40" s="35" t="n"/>
      <c r="G40" s="35" t="n"/>
      <c r="H40" s="35" t="n"/>
      <c r="I40" s="35" t="n"/>
      <c r="J40" s="35" t="n"/>
      <c r="K40" s="35" t="n"/>
      <c r="L40" s="35" t="n"/>
      <c r="M40" s="35" t="n"/>
      <c r="N40" s="35" t="n"/>
      <c r="O40" s="36" t="str">
        <f>IF(OR(C40="",E40=""),"",INDEX(Lists!$B$2:$B$11,MATCH(E40,Lists!$A$2:$A$11,0)))</f>
        <v/>
      </c>
      <c r="P40" s="37" t="str">
        <f>IF(O40="","",INDEX(Lists!$C$2:$C$11,MATCH(O40,Lists!$B$2:$B$11,0)))</f>
        <v/>
      </c>
      <c r="Q40" s="37" t="str">
        <f>IF(O40="","",INDEX(Lists!$D$2:$D$11,MATCH(O40,Lists!$B$2:$B$11,0)))</f>
        <v/>
      </c>
      <c r="R40" s="37" t="str">
        <f>IF(OR(O40="",I40=""),"",IF(INDEX(Lists!$N$2:$N$5,MATCH(I40,Lists!$M$2:$M$5,0))&gt;=INDEX(Lists!$E$2:$E$11,MATCH(O40,Lists!$B$2:$B$11,0)),"Data ready","Data gap"))</f>
        <v/>
      </c>
      <c r="S40" s="36" t="str">
        <f>IF(O40="","",IF(P40&lt;=IF('1. AI Position'!$C$30="",5,INDEX(Lists!$AI$2:$AI$5,'1. AI Position'!$C$30)),"Within current position","Beyond current position"))</f>
        <v/>
      </c>
      <c r="T40" s="38" t="str">
        <f>IF(O40="","",IF(COUNTA(E40:N40)&lt;10,"Complete inputs",IF(H40="No - varies by person / team","Redesign / standardise first",IF(Q40="No","Automate - AI not needed",IF(R40="Data gap","AI later - close data gap first",IF(S40="Beyond current position","Stretch - partner or later stage","AI fit now"))))))</f>
        <v/>
      </c>
      <c r="U40" s="39" t="str">
        <f>IF(OR(T40="",T40="Complete inputs"),"",ROUND(0.3*INDEX(Lists!$N$8:$N$10,MATCH(F40,Lists!$M$8:$M$10,0))+0.25*IF(G40&lt;20,1,IF(G40&lt;80,2,IF(G40&lt;160,3,IF(G40&lt;480,4,5))))+0.25*J40+0.2*K40,2))</f>
        <v/>
      </c>
      <c r="V40" s="39" t="str">
        <f>IF(U40="","",ROUND(0.3*IF(R40="Data ready",5,IF(INDEX(Lists!$N$2:$N$5,MATCH(I40,Lists!$M$2:$M$5,0))=INDEX(Lists!$E$2:$E$11,MATCH(O40,Lists!$B$2:$B$11,0))-1,3,1))+0.25*INDEX(Lists!$N$13:$N$15,MATCH(H40,Lists!$M$13:$M$15,0))+0.25*(6-P40)+0.2*IF(S40="Within current position",5,2),2))</f>
        <v/>
      </c>
      <c r="W40" s="37" t="str">
        <f>IF(U40="","",IF(Q40="No",IF(L40="Yes","Medium","Low"),IF(IF(L40="Yes",2,0)+IF(M40="Yes",1,0)+INDEX(Lists!$N$18:$N$20,MATCH(N40,Lists!$M$18:$M$20,0))+IF(K40=5,2,IF(K40&gt;=4,1,0))&gt;=4,"High",IF(IF(L40="Yes",2,0)+IF(M40="Yes",1,0)+INDEX(Lists!$N$18:$N$20,MATCH(N40,Lists!$M$18:$M$20,0))+IF(K40=5,2,IF(K40&gt;=4,1,0))&gt;=2,"Medium","Low"))))</f>
        <v/>
      </c>
      <c r="X40" s="37" t="str">
        <f>IF(U40="","",IF(AND(U40&gt;=$D$4,V40&gt;=$D$4),"Quick win",IF(U40&gt;=$D$4,"Strategic bet",IF(V40&gt;=$D$4,"Fill-in","Deprioritise"))))</f>
        <v/>
      </c>
      <c r="Y40" s="39" t="str">
        <f>IF(U40="","",ROUND(U40*V40*IF(W40="High",0.85,1)*IF(T40="Redesign / standardise first",0.8,1),2))</f>
        <v/>
      </c>
      <c r="Z40" s="40" t="str">
        <f>IF(Y40="","",RANK(Y40,$Y$8:$Y$57)+COUNTIF($Y$7:Y39,Y40))</f>
        <v/>
      </c>
      <c r="AA40" s="36" t="str">
        <f>IF(AC40="","",INDEX(Lists!$AV$2:$AV$5,AC40))</f>
        <v/>
      </c>
      <c r="AB40" s="41" t="str">
        <f>IF(Y40="","",ROUND(G40*12*INDEX(Lists!$F$2:$F$11,MATCH(O40,Lists!$B$2:$B$11,0)),0))</f>
        <v/>
      </c>
      <c r="AC40" s="37" t="str">
        <f>IF(Y40="","",IF(X40="Deprioritise",4,IF(T40="AI later - close data gap first",3,IF(OR(T40="Redesign / standardise first",T40="Stretch - partner or later stage",X40="Strategic bet"),2,1))))</f>
        <v/>
      </c>
      <c r="AD40" s="37" t="str">
        <f>IF(Z40="","",AC40*100+Z40)</f>
        <v/>
      </c>
    </row>
    <row r="41" ht="40" customHeight="1">
      <c r="A41" s="14" t="n">
        <v>34</v>
      </c>
      <c r="B41" s="35" t="n"/>
      <c r="C41" s="35" t="n"/>
      <c r="D41" s="35" t="n"/>
      <c r="E41" s="35" t="n"/>
      <c r="F41" s="35" t="n"/>
      <c r="G41" s="35" t="n"/>
      <c r="H41" s="35" t="n"/>
      <c r="I41" s="35" t="n"/>
      <c r="J41" s="35" t="n"/>
      <c r="K41" s="35" t="n"/>
      <c r="L41" s="35" t="n"/>
      <c r="M41" s="35" t="n"/>
      <c r="N41" s="35" t="n"/>
      <c r="O41" s="36" t="str">
        <f>IF(OR(C41="",E41=""),"",INDEX(Lists!$B$2:$B$11,MATCH(E41,Lists!$A$2:$A$11,0)))</f>
        <v/>
      </c>
      <c r="P41" s="37" t="str">
        <f>IF(O41="","",INDEX(Lists!$C$2:$C$11,MATCH(O41,Lists!$B$2:$B$11,0)))</f>
        <v/>
      </c>
      <c r="Q41" s="37" t="str">
        <f>IF(O41="","",INDEX(Lists!$D$2:$D$11,MATCH(O41,Lists!$B$2:$B$11,0)))</f>
        <v/>
      </c>
      <c r="R41" s="37" t="str">
        <f>IF(OR(O41="",I41=""),"",IF(INDEX(Lists!$N$2:$N$5,MATCH(I41,Lists!$M$2:$M$5,0))&gt;=INDEX(Lists!$E$2:$E$11,MATCH(O41,Lists!$B$2:$B$11,0)),"Data ready","Data gap"))</f>
        <v/>
      </c>
      <c r="S41" s="36" t="str">
        <f>IF(O41="","",IF(P41&lt;=IF('1. AI Position'!$C$30="",5,INDEX(Lists!$AI$2:$AI$5,'1. AI Position'!$C$30)),"Within current position","Beyond current position"))</f>
        <v/>
      </c>
      <c r="T41" s="38" t="str">
        <f>IF(O41="","",IF(COUNTA(E41:N41)&lt;10,"Complete inputs",IF(H41="No - varies by person / team","Redesign / standardise first",IF(Q41="No","Automate - AI not needed",IF(R41="Data gap","AI later - close data gap first",IF(S41="Beyond current position","Stretch - partner or later stage","AI fit now"))))))</f>
        <v/>
      </c>
      <c r="U41" s="39" t="str">
        <f>IF(OR(T41="",T41="Complete inputs"),"",ROUND(0.3*INDEX(Lists!$N$8:$N$10,MATCH(F41,Lists!$M$8:$M$10,0))+0.25*IF(G41&lt;20,1,IF(G41&lt;80,2,IF(G41&lt;160,3,IF(G41&lt;480,4,5))))+0.25*J41+0.2*K41,2))</f>
        <v/>
      </c>
      <c r="V41" s="39" t="str">
        <f>IF(U41="","",ROUND(0.3*IF(R41="Data ready",5,IF(INDEX(Lists!$N$2:$N$5,MATCH(I41,Lists!$M$2:$M$5,0))=INDEX(Lists!$E$2:$E$11,MATCH(O41,Lists!$B$2:$B$11,0))-1,3,1))+0.25*INDEX(Lists!$N$13:$N$15,MATCH(H41,Lists!$M$13:$M$15,0))+0.25*(6-P41)+0.2*IF(S41="Within current position",5,2),2))</f>
        <v/>
      </c>
      <c r="W41" s="37" t="str">
        <f>IF(U41="","",IF(Q41="No",IF(L41="Yes","Medium","Low"),IF(IF(L41="Yes",2,0)+IF(M41="Yes",1,0)+INDEX(Lists!$N$18:$N$20,MATCH(N41,Lists!$M$18:$M$20,0))+IF(K41=5,2,IF(K41&gt;=4,1,0))&gt;=4,"High",IF(IF(L41="Yes",2,0)+IF(M41="Yes",1,0)+INDEX(Lists!$N$18:$N$20,MATCH(N41,Lists!$M$18:$M$20,0))+IF(K41=5,2,IF(K41&gt;=4,1,0))&gt;=2,"Medium","Low"))))</f>
        <v/>
      </c>
      <c r="X41" s="37" t="str">
        <f>IF(U41="","",IF(AND(U41&gt;=$D$4,V41&gt;=$D$4),"Quick win",IF(U41&gt;=$D$4,"Strategic bet",IF(V41&gt;=$D$4,"Fill-in","Deprioritise"))))</f>
        <v/>
      </c>
      <c r="Y41" s="39" t="str">
        <f>IF(U41="","",ROUND(U41*V41*IF(W41="High",0.85,1)*IF(T41="Redesign / standardise first",0.8,1),2))</f>
        <v/>
      </c>
      <c r="Z41" s="40" t="str">
        <f>IF(Y41="","",RANK(Y41,$Y$8:$Y$57)+COUNTIF($Y$7:Y40,Y41))</f>
        <v/>
      </c>
      <c r="AA41" s="36" t="str">
        <f>IF(AC41="","",INDEX(Lists!$AV$2:$AV$5,AC41))</f>
        <v/>
      </c>
      <c r="AB41" s="41" t="str">
        <f>IF(Y41="","",ROUND(G41*12*INDEX(Lists!$F$2:$F$11,MATCH(O41,Lists!$B$2:$B$11,0)),0))</f>
        <v/>
      </c>
      <c r="AC41" s="37" t="str">
        <f>IF(Y41="","",IF(X41="Deprioritise",4,IF(T41="AI later - close data gap first",3,IF(OR(T41="Redesign / standardise first",T41="Stretch - partner or later stage",X41="Strategic bet"),2,1))))</f>
        <v/>
      </c>
      <c r="AD41" s="37" t="str">
        <f>IF(Z41="","",AC41*100+Z41)</f>
        <v/>
      </c>
    </row>
    <row r="42" ht="40" customHeight="1">
      <c r="A42" s="14" t="n">
        <v>35</v>
      </c>
      <c r="B42" s="35" t="n"/>
      <c r="C42" s="35" t="n"/>
      <c r="D42" s="35" t="n"/>
      <c r="E42" s="35" t="n"/>
      <c r="F42" s="35" t="n"/>
      <c r="G42" s="35" t="n"/>
      <c r="H42" s="35" t="n"/>
      <c r="I42" s="35" t="n"/>
      <c r="J42" s="35" t="n"/>
      <c r="K42" s="35" t="n"/>
      <c r="L42" s="35" t="n"/>
      <c r="M42" s="35" t="n"/>
      <c r="N42" s="35" t="n"/>
      <c r="O42" s="36" t="str">
        <f>IF(OR(C42="",E42=""),"",INDEX(Lists!$B$2:$B$11,MATCH(E42,Lists!$A$2:$A$11,0)))</f>
        <v/>
      </c>
      <c r="P42" s="37" t="str">
        <f>IF(O42="","",INDEX(Lists!$C$2:$C$11,MATCH(O42,Lists!$B$2:$B$11,0)))</f>
        <v/>
      </c>
      <c r="Q42" s="37" t="str">
        <f>IF(O42="","",INDEX(Lists!$D$2:$D$11,MATCH(O42,Lists!$B$2:$B$11,0)))</f>
        <v/>
      </c>
      <c r="R42" s="37" t="str">
        <f>IF(OR(O42="",I42=""),"",IF(INDEX(Lists!$N$2:$N$5,MATCH(I42,Lists!$M$2:$M$5,0))&gt;=INDEX(Lists!$E$2:$E$11,MATCH(O42,Lists!$B$2:$B$11,0)),"Data ready","Data gap"))</f>
        <v/>
      </c>
      <c r="S42" s="36" t="str">
        <f>IF(O42="","",IF(P42&lt;=IF('1. AI Position'!$C$30="",5,INDEX(Lists!$AI$2:$AI$5,'1. AI Position'!$C$30)),"Within current position","Beyond current position"))</f>
        <v/>
      </c>
      <c r="T42" s="38" t="str">
        <f>IF(O42="","",IF(COUNTA(E42:N42)&lt;10,"Complete inputs",IF(H42="No - varies by person / team","Redesign / standardise first",IF(Q42="No","Automate - AI not needed",IF(R42="Data gap","AI later - close data gap first",IF(S42="Beyond current position","Stretch - partner or later stage","AI fit now"))))))</f>
        <v/>
      </c>
      <c r="U42" s="39" t="str">
        <f>IF(OR(T42="",T42="Complete inputs"),"",ROUND(0.3*INDEX(Lists!$N$8:$N$10,MATCH(F42,Lists!$M$8:$M$10,0))+0.25*IF(G42&lt;20,1,IF(G42&lt;80,2,IF(G42&lt;160,3,IF(G42&lt;480,4,5))))+0.25*J42+0.2*K42,2))</f>
        <v/>
      </c>
      <c r="V42" s="39" t="str">
        <f>IF(U42="","",ROUND(0.3*IF(R42="Data ready",5,IF(INDEX(Lists!$N$2:$N$5,MATCH(I42,Lists!$M$2:$M$5,0))=INDEX(Lists!$E$2:$E$11,MATCH(O42,Lists!$B$2:$B$11,0))-1,3,1))+0.25*INDEX(Lists!$N$13:$N$15,MATCH(H42,Lists!$M$13:$M$15,0))+0.25*(6-P42)+0.2*IF(S42="Within current position",5,2),2))</f>
        <v/>
      </c>
      <c r="W42" s="37" t="str">
        <f>IF(U42="","",IF(Q42="No",IF(L42="Yes","Medium","Low"),IF(IF(L42="Yes",2,0)+IF(M42="Yes",1,0)+INDEX(Lists!$N$18:$N$20,MATCH(N42,Lists!$M$18:$M$20,0))+IF(K42=5,2,IF(K42&gt;=4,1,0))&gt;=4,"High",IF(IF(L42="Yes",2,0)+IF(M42="Yes",1,0)+INDEX(Lists!$N$18:$N$20,MATCH(N42,Lists!$M$18:$M$20,0))+IF(K42=5,2,IF(K42&gt;=4,1,0))&gt;=2,"Medium","Low"))))</f>
        <v/>
      </c>
      <c r="X42" s="37" t="str">
        <f>IF(U42="","",IF(AND(U42&gt;=$D$4,V42&gt;=$D$4),"Quick win",IF(U42&gt;=$D$4,"Strategic bet",IF(V42&gt;=$D$4,"Fill-in","Deprioritise"))))</f>
        <v/>
      </c>
      <c r="Y42" s="39" t="str">
        <f>IF(U42="","",ROUND(U42*V42*IF(W42="High",0.85,1)*IF(T42="Redesign / standardise first",0.8,1),2))</f>
        <v/>
      </c>
      <c r="Z42" s="40" t="str">
        <f>IF(Y42="","",RANK(Y42,$Y$8:$Y$57)+COUNTIF($Y$7:Y41,Y42))</f>
        <v/>
      </c>
      <c r="AA42" s="36" t="str">
        <f>IF(AC42="","",INDEX(Lists!$AV$2:$AV$5,AC42))</f>
        <v/>
      </c>
      <c r="AB42" s="41" t="str">
        <f>IF(Y42="","",ROUND(G42*12*INDEX(Lists!$F$2:$F$11,MATCH(O42,Lists!$B$2:$B$11,0)),0))</f>
        <v/>
      </c>
      <c r="AC42" s="37" t="str">
        <f>IF(Y42="","",IF(X42="Deprioritise",4,IF(T42="AI later - close data gap first",3,IF(OR(T42="Redesign / standardise first",T42="Stretch - partner or later stage",X42="Strategic bet"),2,1))))</f>
        <v/>
      </c>
      <c r="AD42" s="37" t="str">
        <f>IF(Z42="","",AC42*100+Z42)</f>
        <v/>
      </c>
    </row>
    <row r="43" ht="40" customHeight="1">
      <c r="A43" s="14" t="n">
        <v>36</v>
      </c>
      <c r="B43" s="35" t="n"/>
      <c r="C43" s="35" t="n"/>
      <c r="D43" s="35" t="n"/>
      <c r="E43" s="35" t="n"/>
      <c r="F43" s="35" t="n"/>
      <c r="G43" s="35" t="n"/>
      <c r="H43" s="35" t="n"/>
      <c r="I43" s="35" t="n"/>
      <c r="J43" s="35" t="n"/>
      <c r="K43" s="35" t="n"/>
      <c r="L43" s="35" t="n"/>
      <c r="M43" s="35" t="n"/>
      <c r="N43" s="35" t="n"/>
      <c r="O43" s="36" t="str">
        <f>IF(OR(C43="",E43=""),"",INDEX(Lists!$B$2:$B$11,MATCH(E43,Lists!$A$2:$A$11,0)))</f>
        <v/>
      </c>
      <c r="P43" s="37" t="str">
        <f>IF(O43="","",INDEX(Lists!$C$2:$C$11,MATCH(O43,Lists!$B$2:$B$11,0)))</f>
        <v/>
      </c>
      <c r="Q43" s="37" t="str">
        <f>IF(O43="","",INDEX(Lists!$D$2:$D$11,MATCH(O43,Lists!$B$2:$B$11,0)))</f>
        <v/>
      </c>
      <c r="R43" s="37" t="str">
        <f>IF(OR(O43="",I43=""),"",IF(INDEX(Lists!$N$2:$N$5,MATCH(I43,Lists!$M$2:$M$5,0))&gt;=INDEX(Lists!$E$2:$E$11,MATCH(O43,Lists!$B$2:$B$11,0)),"Data ready","Data gap"))</f>
        <v/>
      </c>
      <c r="S43" s="36" t="str">
        <f>IF(O43="","",IF(P43&lt;=IF('1. AI Position'!$C$30="",5,INDEX(Lists!$AI$2:$AI$5,'1. AI Position'!$C$30)),"Within current position","Beyond current position"))</f>
        <v/>
      </c>
      <c r="T43" s="38" t="str">
        <f>IF(O43="","",IF(COUNTA(E43:N43)&lt;10,"Complete inputs",IF(H43="No - varies by person / team","Redesign / standardise first",IF(Q43="No","Automate - AI not needed",IF(R43="Data gap","AI later - close data gap first",IF(S43="Beyond current position","Stretch - partner or later stage","AI fit now"))))))</f>
        <v/>
      </c>
      <c r="U43" s="39" t="str">
        <f>IF(OR(T43="",T43="Complete inputs"),"",ROUND(0.3*INDEX(Lists!$N$8:$N$10,MATCH(F43,Lists!$M$8:$M$10,0))+0.25*IF(G43&lt;20,1,IF(G43&lt;80,2,IF(G43&lt;160,3,IF(G43&lt;480,4,5))))+0.25*J43+0.2*K43,2))</f>
        <v/>
      </c>
      <c r="V43" s="39" t="str">
        <f>IF(U43="","",ROUND(0.3*IF(R43="Data ready",5,IF(INDEX(Lists!$N$2:$N$5,MATCH(I43,Lists!$M$2:$M$5,0))=INDEX(Lists!$E$2:$E$11,MATCH(O43,Lists!$B$2:$B$11,0))-1,3,1))+0.25*INDEX(Lists!$N$13:$N$15,MATCH(H43,Lists!$M$13:$M$15,0))+0.25*(6-P43)+0.2*IF(S43="Within current position",5,2),2))</f>
        <v/>
      </c>
      <c r="W43" s="37" t="str">
        <f>IF(U43="","",IF(Q43="No",IF(L43="Yes","Medium","Low"),IF(IF(L43="Yes",2,0)+IF(M43="Yes",1,0)+INDEX(Lists!$N$18:$N$20,MATCH(N43,Lists!$M$18:$M$20,0))+IF(K43=5,2,IF(K43&gt;=4,1,0))&gt;=4,"High",IF(IF(L43="Yes",2,0)+IF(M43="Yes",1,0)+INDEX(Lists!$N$18:$N$20,MATCH(N43,Lists!$M$18:$M$20,0))+IF(K43=5,2,IF(K43&gt;=4,1,0))&gt;=2,"Medium","Low"))))</f>
        <v/>
      </c>
      <c r="X43" s="37" t="str">
        <f>IF(U43="","",IF(AND(U43&gt;=$D$4,V43&gt;=$D$4),"Quick win",IF(U43&gt;=$D$4,"Strategic bet",IF(V43&gt;=$D$4,"Fill-in","Deprioritise"))))</f>
        <v/>
      </c>
      <c r="Y43" s="39" t="str">
        <f>IF(U43="","",ROUND(U43*V43*IF(W43="High",0.85,1)*IF(T43="Redesign / standardise first",0.8,1),2))</f>
        <v/>
      </c>
      <c r="Z43" s="40" t="str">
        <f>IF(Y43="","",RANK(Y43,$Y$8:$Y$57)+COUNTIF($Y$7:Y42,Y43))</f>
        <v/>
      </c>
      <c r="AA43" s="36" t="str">
        <f>IF(AC43="","",INDEX(Lists!$AV$2:$AV$5,AC43))</f>
        <v/>
      </c>
      <c r="AB43" s="41" t="str">
        <f>IF(Y43="","",ROUND(G43*12*INDEX(Lists!$F$2:$F$11,MATCH(O43,Lists!$B$2:$B$11,0)),0))</f>
        <v/>
      </c>
      <c r="AC43" s="37" t="str">
        <f>IF(Y43="","",IF(X43="Deprioritise",4,IF(T43="AI later - close data gap first",3,IF(OR(T43="Redesign / standardise first",T43="Stretch - partner or later stage",X43="Strategic bet"),2,1))))</f>
        <v/>
      </c>
      <c r="AD43" s="37" t="str">
        <f>IF(Z43="","",AC43*100+Z43)</f>
        <v/>
      </c>
    </row>
    <row r="44" ht="40" customHeight="1">
      <c r="A44" s="14" t="n">
        <v>37</v>
      </c>
      <c r="B44" s="35" t="n"/>
      <c r="C44" s="35" t="n"/>
      <c r="D44" s="35" t="n"/>
      <c r="E44" s="35" t="n"/>
      <c r="F44" s="35" t="n"/>
      <c r="G44" s="35" t="n"/>
      <c r="H44" s="35" t="n"/>
      <c r="I44" s="35" t="n"/>
      <c r="J44" s="35" t="n"/>
      <c r="K44" s="35" t="n"/>
      <c r="L44" s="35" t="n"/>
      <c r="M44" s="35" t="n"/>
      <c r="N44" s="35" t="n"/>
      <c r="O44" s="36" t="str">
        <f>IF(OR(C44="",E44=""),"",INDEX(Lists!$B$2:$B$11,MATCH(E44,Lists!$A$2:$A$11,0)))</f>
        <v/>
      </c>
      <c r="P44" s="37" t="str">
        <f>IF(O44="","",INDEX(Lists!$C$2:$C$11,MATCH(O44,Lists!$B$2:$B$11,0)))</f>
        <v/>
      </c>
      <c r="Q44" s="37" t="str">
        <f>IF(O44="","",INDEX(Lists!$D$2:$D$11,MATCH(O44,Lists!$B$2:$B$11,0)))</f>
        <v/>
      </c>
      <c r="R44" s="37" t="str">
        <f>IF(OR(O44="",I44=""),"",IF(INDEX(Lists!$N$2:$N$5,MATCH(I44,Lists!$M$2:$M$5,0))&gt;=INDEX(Lists!$E$2:$E$11,MATCH(O44,Lists!$B$2:$B$11,0)),"Data ready","Data gap"))</f>
        <v/>
      </c>
      <c r="S44" s="36" t="str">
        <f>IF(O44="","",IF(P44&lt;=IF('1. AI Position'!$C$30="",5,INDEX(Lists!$AI$2:$AI$5,'1. AI Position'!$C$30)),"Within current position","Beyond current position"))</f>
        <v/>
      </c>
      <c r="T44" s="38" t="str">
        <f>IF(O44="","",IF(COUNTA(E44:N44)&lt;10,"Complete inputs",IF(H44="No - varies by person / team","Redesign / standardise first",IF(Q44="No","Automate - AI not needed",IF(R44="Data gap","AI later - close data gap first",IF(S44="Beyond current position","Stretch - partner or later stage","AI fit now"))))))</f>
        <v/>
      </c>
      <c r="U44" s="39" t="str">
        <f>IF(OR(T44="",T44="Complete inputs"),"",ROUND(0.3*INDEX(Lists!$N$8:$N$10,MATCH(F44,Lists!$M$8:$M$10,0))+0.25*IF(G44&lt;20,1,IF(G44&lt;80,2,IF(G44&lt;160,3,IF(G44&lt;480,4,5))))+0.25*J44+0.2*K44,2))</f>
        <v/>
      </c>
      <c r="V44" s="39" t="str">
        <f>IF(U44="","",ROUND(0.3*IF(R44="Data ready",5,IF(INDEX(Lists!$N$2:$N$5,MATCH(I44,Lists!$M$2:$M$5,0))=INDEX(Lists!$E$2:$E$11,MATCH(O44,Lists!$B$2:$B$11,0))-1,3,1))+0.25*INDEX(Lists!$N$13:$N$15,MATCH(H44,Lists!$M$13:$M$15,0))+0.25*(6-P44)+0.2*IF(S44="Within current position",5,2),2))</f>
        <v/>
      </c>
      <c r="W44" s="37" t="str">
        <f>IF(U44="","",IF(Q44="No",IF(L44="Yes","Medium","Low"),IF(IF(L44="Yes",2,0)+IF(M44="Yes",1,0)+INDEX(Lists!$N$18:$N$20,MATCH(N44,Lists!$M$18:$M$20,0))+IF(K44=5,2,IF(K44&gt;=4,1,0))&gt;=4,"High",IF(IF(L44="Yes",2,0)+IF(M44="Yes",1,0)+INDEX(Lists!$N$18:$N$20,MATCH(N44,Lists!$M$18:$M$20,0))+IF(K44=5,2,IF(K44&gt;=4,1,0))&gt;=2,"Medium","Low"))))</f>
        <v/>
      </c>
      <c r="X44" s="37" t="str">
        <f>IF(U44="","",IF(AND(U44&gt;=$D$4,V44&gt;=$D$4),"Quick win",IF(U44&gt;=$D$4,"Strategic bet",IF(V44&gt;=$D$4,"Fill-in","Deprioritise"))))</f>
        <v/>
      </c>
      <c r="Y44" s="39" t="str">
        <f>IF(U44="","",ROUND(U44*V44*IF(W44="High",0.85,1)*IF(T44="Redesign / standardise first",0.8,1),2))</f>
        <v/>
      </c>
      <c r="Z44" s="40" t="str">
        <f>IF(Y44="","",RANK(Y44,$Y$8:$Y$57)+COUNTIF($Y$7:Y43,Y44))</f>
        <v/>
      </c>
      <c r="AA44" s="36" t="str">
        <f>IF(AC44="","",INDEX(Lists!$AV$2:$AV$5,AC44))</f>
        <v/>
      </c>
      <c r="AB44" s="41" t="str">
        <f>IF(Y44="","",ROUND(G44*12*INDEX(Lists!$F$2:$F$11,MATCH(O44,Lists!$B$2:$B$11,0)),0))</f>
        <v/>
      </c>
      <c r="AC44" s="37" t="str">
        <f>IF(Y44="","",IF(X44="Deprioritise",4,IF(T44="AI later - close data gap first",3,IF(OR(T44="Redesign / standardise first",T44="Stretch - partner or later stage",X44="Strategic bet"),2,1))))</f>
        <v/>
      </c>
      <c r="AD44" s="37" t="str">
        <f>IF(Z44="","",AC44*100+Z44)</f>
        <v/>
      </c>
    </row>
    <row r="45" ht="40" customHeight="1">
      <c r="A45" s="14" t="n">
        <v>38</v>
      </c>
      <c r="B45" s="35" t="n"/>
      <c r="C45" s="35" t="n"/>
      <c r="D45" s="35" t="n"/>
      <c r="E45" s="35" t="n"/>
      <c r="F45" s="35" t="n"/>
      <c r="G45" s="35" t="n"/>
      <c r="H45" s="35" t="n"/>
      <c r="I45" s="35" t="n"/>
      <c r="J45" s="35" t="n"/>
      <c r="K45" s="35" t="n"/>
      <c r="L45" s="35" t="n"/>
      <c r="M45" s="35" t="n"/>
      <c r="N45" s="35" t="n"/>
      <c r="O45" s="36" t="str">
        <f>IF(OR(C45="",E45=""),"",INDEX(Lists!$B$2:$B$11,MATCH(E45,Lists!$A$2:$A$11,0)))</f>
        <v/>
      </c>
      <c r="P45" s="37" t="str">
        <f>IF(O45="","",INDEX(Lists!$C$2:$C$11,MATCH(O45,Lists!$B$2:$B$11,0)))</f>
        <v/>
      </c>
      <c r="Q45" s="37" t="str">
        <f>IF(O45="","",INDEX(Lists!$D$2:$D$11,MATCH(O45,Lists!$B$2:$B$11,0)))</f>
        <v/>
      </c>
      <c r="R45" s="37" t="str">
        <f>IF(OR(O45="",I45=""),"",IF(INDEX(Lists!$N$2:$N$5,MATCH(I45,Lists!$M$2:$M$5,0))&gt;=INDEX(Lists!$E$2:$E$11,MATCH(O45,Lists!$B$2:$B$11,0)),"Data ready","Data gap"))</f>
        <v/>
      </c>
      <c r="S45" s="36" t="str">
        <f>IF(O45="","",IF(P45&lt;=IF('1. AI Position'!$C$30="",5,INDEX(Lists!$AI$2:$AI$5,'1. AI Position'!$C$30)),"Within current position","Beyond current position"))</f>
        <v/>
      </c>
      <c r="T45" s="38" t="str">
        <f>IF(O45="","",IF(COUNTA(E45:N45)&lt;10,"Complete inputs",IF(H45="No - varies by person / team","Redesign / standardise first",IF(Q45="No","Automate - AI not needed",IF(R45="Data gap","AI later - close data gap first",IF(S45="Beyond current position","Stretch - partner or later stage","AI fit now"))))))</f>
        <v/>
      </c>
      <c r="U45" s="39" t="str">
        <f>IF(OR(T45="",T45="Complete inputs"),"",ROUND(0.3*INDEX(Lists!$N$8:$N$10,MATCH(F45,Lists!$M$8:$M$10,0))+0.25*IF(G45&lt;20,1,IF(G45&lt;80,2,IF(G45&lt;160,3,IF(G45&lt;480,4,5))))+0.25*J45+0.2*K45,2))</f>
        <v/>
      </c>
      <c r="V45" s="39" t="str">
        <f>IF(U45="","",ROUND(0.3*IF(R45="Data ready",5,IF(INDEX(Lists!$N$2:$N$5,MATCH(I45,Lists!$M$2:$M$5,0))=INDEX(Lists!$E$2:$E$11,MATCH(O45,Lists!$B$2:$B$11,0))-1,3,1))+0.25*INDEX(Lists!$N$13:$N$15,MATCH(H45,Lists!$M$13:$M$15,0))+0.25*(6-P45)+0.2*IF(S45="Within current position",5,2),2))</f>
        <v/>
      </c>
      <c r="W45" s="37" t="str">
        <f>IF(U45="","",IF(Q45="No",IF(L45="Yes","Medium","Low"),IF(IF(L45="Yes",2,0)+IF(M45="Yes",1,0)+INDEX(Lists!$N$18:$N$20,MATCH(N45,Lists!$M$18:$M$20,0))+IF(K45=5,2,IF(K45&gt;=4,1,0))&gt;=4,"High",IF(IF(L45="Yes",2,0)+IF(M45="Yes",1,0)+INDEX(Lists!$N$18:$N$20,MATCH(N45,Lists!$M$18:$M$20,0))+IF(K45=5,2,IF(K45&gt;=4,1,0))&gt;=2,"Medium","Low"))))</f>
        <v/>
      </c>
      <c r="X45" s="37" t="str">
        <f>IF(U45="","",IF(AND(U45&gt;=$D$4,V45&gt;=$D$4),"Quick win",IF(U45&gt;=$D$4,"Strategic bet",IF(V45&gt;=$D$4,"Fill-in","Deprioritise"))))</f>
        <v/>
      </c>
      <c r="Y45" s="39" t="str">
        <f>IF(U45="","",ROUND(U45*V45*IF(W45="High",0.85,1)*IF(T45="Redesign / standardise first",0.8,1),2))</f>
        <v/>
      </c>
      <c r="Z45" s="40" t="str">
        <f>IF(Y45="","",RANK(Y45,$Y$8:$Y$57)+COUNTIF($Y$7:Y44,Y45))</f>
        <v/>
      </c>
      <c r="AA45" s="36" t="str">
        <f>IF(AC45="","",INDEX(Lists!$AV$2:$AV$5,AC45))</f>
        <v/>
      </c>
      <c r="AB45" s="41" t="str">
        <f>IF(Y45="","",ROUND(G45*12*INDEX(Lists!$F$2:$F$11,MATCH(O45,Lists!$B$2:$B$11,0)),0))</f>
        <v/>
      </c>
      <c r="AC45" s="37" t="str">
        <f>IF(Y45="","",IF(X45="Deprioritise",4,IF(T45="AI later - close data gap first",3,IF(OR(T45="Redesign / standardise first",T45="Stretch - partner or later stage",X45="Strategic bet"),2,1))))</f>
        <v/>
      </c>
      <c r="AD45" s="37" t="str">
        <f>IF(Z45="","",AC45*100+Z45)</f>
        <v/>
      </c>
    </row>
    <row r="46" ht="40" customHeight="1">
      <c r="A46" s="14" t="n">
        <v>39</v>
      </c>
      <c r="B46" s="35" t="n"/>
      <c r="C46" s="35" t="n"/>
      <c r="D46" s="35" t="n"/>
      <c r="E46" s="35" t="n"/>
      <c r="F46" s="35" t="n"/>
      <c r="G46" s="35" t="n"/>
      <c r="H46" s="35" t="n"/>
      <c r="I46" s="35" t="n"/>
      <c r="J46" s="35" t="n"/>
      <c r="K46" s="35" t="n"/>
      <c r="L46" s="35" t="n"/>
      <c r="M46" s="35" t="n"/>
      <c r="N46" s="35" t="n"/>
      <c r="O46" s="36" t="str">
        <f>IF(OR(C46="",E46=""),"",INDEX(Lists!$B$2:$B$11,MATCH(E46,Lists!$A$2:$A$11,0)))</f>
        <v/>
      </c>
      <c r="P46" s="37" t="str">
        <f>IF(O46="","",INDEX(Lists!$C$2:$C$11,MATCH(O46,Lists!$B$2:$B$11,0)))</f>
        <v/>
      </c>
      <c r="Q46" s="37" t="str">
        <f>IF(O46="","",INDEX(Lists!$D$2:$D$11,MATCH(O46,Lists!$B$2:$B$11,0)))</f>
        <v/>
      </c>
      <c r="R46" s="37" t="str">
        <f>IF(OR(O46="",I46=""),"",IF(INDEX(Lists!$N$2:$N$5,MATCH(I46,Lists!$M$2:$M$5,0))&gt;=INDEX(Lists!$E$2:$E$11,MATCH(O46,Lists!$B$2:$B$11,0)),"Data ready","Data gap"))</f>
        <v/>
      </c>
      <c r="S46" s="36" t="str">
        <f>IF(O46="","",IF(P46&lt;=IF('1. AI Position'!$C$30="",5,INDEX(Lists!$AI$2:$AI$5,'1. AI Position'!$C$30)),"Within current position","Beyond current position"))</f>
        <v/>
      </c>
      <c r="T46" s="38" t="str">
        <f>IF(O46="","",IF(COUNTA(E46:N46)&lt;10,"Complete inputs",IF(H46="No - varies by person / team","Redesign / standardise first",IF(Q46="No","Automate - AI not needed",IF(R46="Data gap","AI later - close data gap first",IF(S46="Beyond current position","Stretch - partner or later stage","AI fit now"))))))</f>
        <v/>
      </c>
      <c r="U46" s="39" t="str">
        <f>IF(OR(T46="",T46="Complete inputs"),"",ROUND(0.3*INDEX(Lists!$N$8:$N$10,MATCH(F46,Lists!$M$8:$M$10,0))+0.25*IF(G46&lt;20,1,IF(G46&lt;80,2,IF(G46&lt;160,3,IF(G46&lt;480,4,5))))+0.25*J46+0.2*K46,2))</f>
        <v/>
      </c>
      <c r="V46" s="39" t="str">
        <f>IF(U46="","",ROUND(0.3*IF(R46="Data ready",5,IF(INDEX(Lists!$N$2:$N$5,MATCH(I46,Lists!$M$2:$M$5,0))=INDEX(Lists!$E$2:$E$11,MATCH(O46,Lists!$B$2:$B$11,0))-1,3,1))+0.25*INDEX(Lists!$N$13:$N$15,MATCH(H46,Lists!$M$13:$M$15,0))+0.25*(6-P46)+0.2*IF(S46="Within current position",5,2),2))</f>
        <v/>
      </c>
      <c r="W46" s="37" t="str">
        <f>IF(U46="","",IF(Q46="No",IF(L46="Yes","Medium","Low"),IF(IF(L46="Yes",2,0)+IF(M46="Yes",1,0)+INDEX(Lists!$N$18:$N$20,MATCH(N46,Lists!$M$18:$M$20,0))+IF(K46=5,2,IF(K46&gt;=4,1,0))&gt;=4,"High",IF(IF(L46="Yes",2,0)+IF(M46="Yes",1,0)+INDEX(Lists!$N$18:$N$20,MATCH(N46,Lists!$M$18:$M$20,0))+IF(K46=5,2,IF(K46&gt;=4,1,0))&gt;=2,"Medium","Low"))))</f>
        <v/>
      </c>
      <c r="X46" s="37" t="str">
        <f>IF(U46="","",IF(AND(U46&gt;=$D$4,V46&gt;=$D$4),"Quick win",IF(U46&gt;=$D$4,"Strategic bet",IF(V46&gt;=$D$4,"Fill-in","Deprioritise"))))</f>
        <v/>
      </c>
      <c r="Y46" s="39" t="str">
        <f>IF(U46="","",ROUND(U46*V46*IF(W46="High",0.85,1)*IF(T46="Redesign / standardise first",0.8,1),2))</f>
        <v/>
      </c>
      <c r="Z46" s="40" t="str">
        <f>IF(Y46="","",RANK(Y46,$Y$8:$Y$57)+COUNTIF($Y$7:Y45,Y46))</f>
        <v/>
      </c>
      <c r="AA46" s="36" t="str">
        <f>IF(AC46="","",INDEX(Lists!$AV$2:$AV$5,AC46))</f>
        <v/>
      </c>
      <c r="AB46" s="41" t="str">
        <f>IF(Y46="","",ROUND(G46*12*INDEX(Lists!$F$2:$F$11,MATCH(O46,Lists!$B$2:$B$11,0)),0))</f>
        <v/>
      </c>
      <c r="AC46" s="37" t="str">
        <f>IF(Y46="","",IF(X46="Deprioritise",4,IF(T46="AI later - close data gap first",3,IF(OR(T46="Redesign / standardise first",T46="Stretch - partner or later stage",X46="Strategic bet"),2,1))))</f>
        <v/>
      </c>
      <c r="AD46" s="37" t="str">
        <f>IF(Z46="","",AC46*100+Z46)</f>
        <v/>
      </c>
    </row>
    <row r="47" ht="40" customHeight="1">
      <c r="A47" s="14" t="n">
        <v>40</v>
      </c>
      <c r="B47" s="35" t="n"/>
      <c r="C47" s="35" t="n"/>
      <c r="D47" s="35" t="n"/>
      <c r="E47" s="35" t="n"/>
      <c r="F47" s="35" t="n"/>
      <c r="G47" s="35" t="n"/>
      <c r="H47" s="35" t="n"/>
      <c r="I47" s="35" t="n"/>
      <c r="J47" s="35" t="n"/>
      <c r="K47" s="35" t="n"/>
      <c r="L47" s="35" t="n"/>
      <c r="M47" s="35" t="n"/>
      <c r="N47" s="35" t="n"/>
      <c r="O47" s="36" t="str">
        <f>IF(OR(C47="",E47=""),"",INDEX(Lists!$B$2:$B$11,MATCH(E47,Lists!$A$2:$A$11,0)))</f>
        <v/>
      </c>
      <c r="P47" s="37" t="str">
        <f>IF(O47="","",INDEX(Lists!$C$2:$C$11,MATCH(O47,Lists!$B$2:$B$11,0)))</f>
        <v/>
      </c>
      <c r="Q47" s="37" t="str">
        <f>IF(O47="","",INDEX(Lists!$D$2:$D$11,MATCH(O47,Lists!$B$2:$B$11,0)))</f>
        <v/>
      </c>
      <c r="R47" s="37" t="str">
        <f>IF(OR(O47="",I47=""),"",IF(INDEX(Lists!$N$2:$N$5,MATCH(I47,Lists!$M$2:$M$5,0))&gt;=INDEX(Lists!$E$2:$E$11,MATCH(O47,Lists!$B$2:$B$11,0)),"Data ready","Data gap"))</f>
        <v/>
      </c>
      <c r="S47" s="36" t="str">
        <f>IF(O47="","",IF(P47&lt;=IF('1. AI Position'!$C$30="",5,INDEX(Lists!$AI$2:$AI$5,'1. AI Position'!$C$30)),"Within current position","Beyond current position"))</f>
        <v/>
      </c>
      <c r="T47" s="38" t="str">
        <f>IF(O47="","",IF(COUNTA(E47:N47)&lt;10,"Complete inputs",IF(H47="No - varies by person / team","Redesign / standardise first",IF(Q47="No","Automate - AI not needed",IF(R47="Data gap","AI later - close data gap first",IF(S47="Beyond current position","Stretch - partner or later stage","AI fit now"))))))</f>
        <v/>
      </c>
      <c r="U47" s="39" t="str">
        <f>IF(OR(T47="",T47="Complete inputs"),"",ROUND(0.3*INDEX(Lists!$N$8:$N$10,MATCH(F47,Lists!$M$8:$M$10,0))+0.25*IF(G47&lt;20,1,IF(G47&lt;80,2,IF(G47&lt;160,3,IF(G47&lt;480,4,5))))+0.25*J47+0.2*K47,2))</f>
        <v/>
      </c>
      <c r="V47" s="39" t="str">
        <f>IF(U47="","",ROUND(0.3*IF(R47="Data ready",5,IF(INDEX(Lists!$N$2:$N$5,MATCH(I47,Lists!$M$2:$M$5,0))=INDEX(Lists!$E$2:$E$11,MATCH(O47,Lists!$B$2:$B$11,0))-1,3,1))+0.25*INDEX(Lists!$N$13:$N$15,MATCH(H47,Lists!$M$13:$M$15,0))+0.25*(6-P47)+0.2*IF(S47="Within current position",5,2),2))</f>
        <v/>
      </c>
      <c r="W47" s="37" t="str">
        <f>IF(U47="","",IF(Q47="No",IF(L47="Yes","Medium","Low"),IF(IF(L47="Yes",2,0)+IF(M47="Yes",1,0)+INDEX(Lists!$N$18:$N$20,MATCH(N47,Lists!$M$18:$M$20,0))+IF(K47=5,2,IF(K47&gt;=4,1,0))&gt;=4,"High",IF(IF(L47="Yes",2,0)+IF(M47="Yes",1,0)+INDEX(Lists!$N$18:$N$20,MATCH(N47,Lists!$M$18:$M$20,0))+IF(K47=5,2,IF(K47&gt;=4,1,0))&gt;=2,"Medium","Low"))))</f>
        <v/>
      </c>
      <c r="X47" s="37" t="str">
        <f>IF(U47="","",IF(AND(U47&gt;=$D$4,V47&gt;=$D$4),"Quick win",IF(U47&gt;=$D$4,"Strategic bet",IF(V47&gt;=$D$4,"Fill-in","Deprioritise"))))</f>
        <v/>
      </c>
      <c r="Y47" s="39" t="str">
        <f>IF(U47="","",ROUND(U47*V47*IF(W47="High",0.85,1)*IF(T47="Redesign / standardise first",0.8,1),2))</f>
        <v/>
      </c>
      <c r="Z47" s="40" t="str">
        <f>IF(Y47="","",RANK(Y47,$Y$8:$Y$57)+COUNTIF($Y$7:Y46,Y47))</f>
        <v/>
      </c>
      <c r="AA47" s="36" t="str">
        <f>IF(AC47="","",INDEX(Lists!$AV$2:$AV$5,AC47))</f>
        <v/>
      </c>
      <c r="AB47" s="41" t="str">
        <f>IF(Y47="","",ROUND(G47*12*INDEX(Lists!$F$2:$F$11,MATCH(O47,Lists!$B$2:$B$11,0)),0))</f>
        <v/>
      </c>
      <c r="AC47" s="37" t="str">
        <f>IF(Y47="","",IF(X47="Deprioritise",4,IF(T47="AI later - close data gap first",3,IF(OR(T47="Redesign / standardise first",T47="Stretch - partner or later stage",X47="Strategic bet"),2,1))))</f>
        <v/>
      </c>
      <c r="AD47" s="37" t="str">
        <f>IF(Z47="","",AC47*100+Z47)</f>
        <v/>
      </c>
    </row>
    <row r="48" ht="40" customHeight="1">
      <c r="A48" s="14" t="n">
        <v>41</v>
      </c>
      <c r="B48" s="35" t="n"/>
      <c r="C48" s="35" t="n"/>
      <c r="D48" s="35" t="n"/>
      <c r="E48" s="35" t="n"/>
      <c r="F48" s="35" t="n"/>
      <c r="G48" s="35" t="n"/>
      <c r="H48" s="35" t="n"/>
      <c r="I48" s="35" t="n"/>
      <c r="J48" s="35" t="n"/>
      <c r="K48" s="35" t="n"/>
      <c r="L48" s="35" t="n"/>
      <c r="M48" s="35" t="n"/>
      <c r="N48" s="35" t="n"/>
      <c r="O48" s="36" t="str">
        <f>IF(OR(C48="",E48=""),"",INDEX(Lists!$B$2:$B$11,MATCH(E48,Lists!$A$2:$A$11,0)))</f>
        <v/>
      </c>
      <c r="P48" s="37" t="str">
        <f>IF(O48="","",INDEX(Lists!$C$2:$C$11,MATCH(O48,Lists!$B$2:$B$11,0)))</f>
        <v/>
      </c>
      <c r="Q48" s="37" t="str">
        <f>IF(O48="","",INDEX(Lists!$D$2:$D$11,MATCH(O48,Lists!$B$2:$B$11,0)))</f>
        <v/>
      </c>
      <c r="R48" s="37" t="str">
        <f>IF(OR(O48="",I48=""),"",IF(INDEX(Lists!$N$2:$N$5,MATCH(I48,Lists!$M$2:$M$5,0))&gt;=INDEX(Lists!$E$2:$E$11,MATCH(O48,Lists!$B$2:$B$11,0)),"Data ready","Data gap"))</f>
        <v/>
      </c>
      <c r="S48" s="36" t="str">
        <f>IF(O48="","",IF(P48&lt;=IF('1. AI Position'!$C$30="",5,INDEX(Lists!$AI$2:$AI$5,'1. AI Position'!$C$30)),"Within current position","Beyond current position"))</f>
        <v/>
      </c>
      <c r="T48" s="38" t="str">
        <f>IF(O48="","",IF(COUNTA(E48:N48)&lt;10,"Complete inputs",IF(H48="No - varies by person / team","Redesign / standardise first",IF(Q48="No","Automate - AI not needed",IF(R48="Data gap","AI later - close data gap first",IF(S48="Beyond current position","Stretch - partner or later stage","AI fit now"))))))</f>
        <v/>
      </c>
      <c r="U48" s="39" t="str">
        <f>IF(OR(T48="",T48="Complete inputs"),"",ROUND(0.3*INDEX(Lists!$N$8:$N$10,MATCH(F48,Lists!$M$8:$M$10,0))+0.25*IF(G48&lt;20,1,IF(G48&lt;80,2,IF(G48&lt;160,3,IF(G48&lt;480,4,5))))+0.25*J48+0.2*K48,2))</f>
        <v/>
      </c>
      <c r="V48" s="39" t="str">
        <f>IF(U48="","",ROUND(0.3*IF(R48="Data ready",5,IF(INDEX(Lists!$N$2:$N$5,MATCH(I48,Lists!$M$2:$M$5,0))=INDEX(Lists!$E$2:$E$11,MATCH(O48,Lists!$B$2:$B$11,0))-1,3,1))+0.25*INDEX(Lists!$N$13:$N$15,MATCH(H48,Lists!$M$13:$M$15,0))+0.25*(6-P48)+0.2*IF(S48="Within current position",5,2),2))</f>
        <v/>
      </c>
      <c r="W48" s="37" t="str">
        <f>IF(U48="","",IF(Q48="No",IF(L48="Yes","Medium","Low"),IF(IF(L48="Yes",2,0)+IF(M48="Yes",1,0)+INDEX(Lists!$N$18:$N$20,MATCH(N48,Lists!$M$18:$M$20,0))+IF(K48=5,2,IF(K48&gt;=4,1,0))&gt;=4,"High",IF(IF(L48="Yes",2,0)+IF(M48="Yes",1,0)+INDEX(Lists!$N$18:$N$20,MATCH(N48,Lists!$M$18:$M$20,0))+IF(K48=5,2,IF(K48&gt;=4,1,0))&gt;=2,"Medium","Low"))))</f>
        <v/>
      </c>
      <c r="X48" s="37" t="str">
        <f>IF(U48="","",IF(AND(U48&gt;=$D$4,V48&gt;=$D$4),"Quick win",IF(U48&gt;=$D$4,"Strategic bet",IF(V48&gt;=$D$4,"Fill-in","Deprioritise"))))</f>
        <v/>
      </c>
      <c r="Y48" s="39" t="str">
        <f>IF(U48="","",ROUND(U48*V48*IF(W48="High",0.85,1)*IF(T48="Redesign / standardise first",0.8,1),2))</f>
        <v/>
      </c>
      <c r="Z48" s="40" t="str">
        <f>IF(Y48="","",RANK(Y48,$Y$8:$Y$57)+COUNTIF($Y$7:Y47,Y48))</f>
        <v/>
      </c>
      <c r="AA48" s="36" t="str">
        <f>IF(AC48="","",INDEX(Lists!$AV$2:$AV$5,AC48))</f>
        <v/>
      </c>
      <c r="AB48" s="41" t="str">
        <f>IF(Y48="","",ROUND(G48*12*INDEX(Lists!$F$2:$F$11,MATCH(O48,Lists!$B$2:$B$11,0)),0))</f>
        <v/>
      </c>
      <c r="AC48" s="37" t="str">
        <f>IF(Y48="","",IF(X48="Deprioritise",4,IF(T48="AI later - close data gap first",3,IF(OR(T48="Redesign / standardise first",T48="Stretch - partner or later stage",X48="Strategic bet"),2,1))))</f>
        <v/>
      </c>
      <c r="AD48" s="37" t="str">
        <f>IF(Z48="","",AC48*100+Z48)</f>
        <v/>
      </c>
    </row>
    <row r="49" ht="40" customHeight="1">
      <c r="A49" s="14" t="n">
        <v>42</v>
      </c>
      <c r="B49" s="35" t="n"/>
      <c r="C49" s="35" t="n"/>
      <c r="D49" s="35" t="n"/>
      <c r="E49" s="35" t="n"/>
      <c r="F49" s="35" t="n"/>
      <c r="G49" s="35" t="n"/>
      <c r="H49" s="35" t="n"/>
      <c r="I49" s="35" t="n"/>
      <c r="J49" s="35" t="n"/>
      <c r="K49" s="35" t="n"/>
      <c r="L49" s="35" t="n"/>
      <c r="M49" s="35" t="n"/>
      <c r="N49" s="35" t="n"/>
      <c r="O49" s="36" t="str">
        <f>IF(OR(C49="",E49=""),"",INDEX(Lists!$B$2:$B$11,MATCH(E49,Lists!$A$2:$A$11,0)))</f>
        <v/>
      </c>
      <c r="P49" s="37" t="str">
        <f>IF(O49="","",INDEX(Lists!$C$2:$C$11,MATCH(O49,Lists!$B$2:$B$11,0)))</f>
        <v/>
      </c>
      <c r="Q49" s="37" t="str">
        <f>IF(O49="","",INDEX(Lists!$D$2:$D$11,MATCH(O49,Lists!$B$2:$B$11,0)))</f>
        <v/>
      </c>
      <c r="R49" s="37" t="str">
        <f>IF(OR(O49="",I49=""),"",IF(INDEX(Lists!$N$2:$N$5,MATCH(I49,Lists!$M$2:$M$5,0))&gt;=INDEX(Lists!$E$2:$E$11,MATCH(O49,Lists!$B$2:$B$11,0)),"Data ready","Data gap"))</f>
        <v/>
      </c>
      <c r="S49" s="36" t="str">
        <f>IF(O49="","",IF(P49&lt;=IF('1. AI Position'!$C$30="",5,INDEX(Lists!$AI$2:$AI$5,'1. AI Position'!$C$30)),"Within current position","Beyond current position"))</f>
        <v/>
      </c>
      <c r="T49" s="38" t="str">
        <f>IF(O49="","",IF(COUNTA(E49:N49)&lt;10,"Complete inputs",IF(H49="No - varies by person / team","Redesign / standardise first",IF(Q49="No","Automate - AI not needed",IF(R49="Data gap","AI later - close data gap first",IF(S49="Beyond current position","Stretch - partner or later stage","AI fit now"))))))</f>
        <v/>
      </c>
      <c r="U49" s="39" t="str">
        <f>IF(OR(T49="",T49="Complete inputs"),"",ROUND(0.3*INDEX(Lists!$N$8:$N$10,MATCH(F49,Lists!$M$8:$M$10,0))+0.25*IF(G49&lt;20,1,IF(G49&lt;80,2,IF(G49&lt;160,3,IF(G49&lt;480,4,5))))+0.25*J49+0.2*K49,2))</f>
        <v/>
      </c>
      <c r="V49" s="39" t="str">
        <f>IF(U49="","",ROUND(0.3*IF(R49="Data ready",5,IF(INDEX(Lists!$N$2:$N$5,MATCH(I49,Lists!$M$2:$M$5,0))=INDEX(Lists!$E$2:$E$11,MATCH(O49,Lists!$B$2:$B$11,0))-1,3,1))+0.25*INDEX(Lists!$N$13:$N$15,MATCH(H49,Lists!$M$13:$M$15,0))+0.25*(6-P49)+0.2*IF(S49="Within current position",5,2),2))</f>
        <v/>
      </c>
      <c r="W49" s="37" t="str">
        <f>IF(U49="","",IF(Q49="No",IF(L49="Yes","Medium","Low"),IF(IF(L49="Yes",2,0)+IF(M49="Yes",1,0)+INDEX(Lists!$N$18:$N$20,MATCH(N49,Lists!$M$18:$M$20,0))+IF(K49=5,2,IF(K49&gt;=4,1,0))&gt;=4,"High",IF(IF(L49="Yes",2,0)+IF(M49="Yes",1,0)+INDEX(Lists!$N$18:$N$20,MATCH(N49,Lists!$M$18:$M$20,0))+IF(K49=5,2,IF(K49&gt;=4,1,0))&gt;=2,"Medium","Low"))))</f>
        <v/>
      </c>
      <c r="X49" s="37" t="str">
        <f>IF(U49="","",IF(AND(U49&gt;=$D$4,V49&gt;=$D$4),"Quick win",IF(U49&gt;=$D$4,"Strategic bet",IF(V49&gt;=$D$4,"Fill-in","Deprioritise"))))</f>
        <v/>
      </c>
      <c r="Y49" s="39" t="str">
        <f>IF(U49="","",ROUND(U49*V49*IF(W49="High",0.85,1)*IF(T49="Redesign / standardise first",0.8,1),2))</f>
        <v/>
      </c>
      <c r="Z49" s="40" t="str">
        <f>IF(Y49="","",RANK(Y49,$Y$8:$Y$57)+COUNTIF($Y$7:Y48,Y49))</f>
        <v/>
      </c>
      <c r="AA49" s="36" t="str">
        <f>IF(AC49="","",INDEX(Lists!$AV$2:$AV$5,AC49))</f>
        <v/>
      </c>
      <c r="AB49" s="41" t="str">
        <f>IF(Y49="","",ROUND(G49*12*INDEX(Lists!$F$2:$F$11,MATCH(O49,Lists!$B$2:$B$11,0)),0))</f>
        <v/>
      </c>
      <c r="AC49" s="37" t="str">
        <f>IF(Y49="","",IF(X49="Deprioritise",4,IF(T49="AI later - close data gap first",3,IF(OR(T49="Redesign / standardise first",T49="Stretch - partner or later stage",X49="Strategic bet"),2,1))))</f>
        <v/>
      </c>
      <c r="AD49" s="37" t="str">
        <f>IF(Z49="","",AC49*100+Z49)</f>
        <v/>
      </c>
    </row>
    <row r="50" ht="40" customHeight="1">
      <c r="A50" s="14" t="n">
        <v>43</v>
      </c>
      <c r="B50" s="35" t="n"/>
      <c r="C50" s="35" t="n"/>
      <c r="D50" s="35" t="n"/>
      <c r="E50" s="35" t="n"/>
      <c r="F50" s="35" t="n"/>
      <c r="G50" s="35" t="n"/>
      <c r="H50" s="35" t="n"/>
      <c r="I50" s="35" t="n"/>
      <c r="J50" s="35" t="n"/>
      <c r="K50" s="35" t="n"/>
      <c r="L50" s="35" t="n"/>
      <c r="M50" s="35" t="n"/>
      <c r="N50" s="35" t="n"/>
      <c r="O50" s="36" t="str">
        <f>IF(OR(C50="",E50=""),"",INDEX(Lists!$B$2:$B$11,MATCH(E50,Lists!$A$2:$A$11,0)))</f>
        <v/>
      </c>
      <c r="P50" s="37" t="str">
        <f>IF(O50="","",INDEX(Lists!$C$2:$C$11,MATCH(O50,Lists!$B$2:$B$11,0)))</f>
        <v/>
      </c>
      <c r="Q50" s="37" t="str">
        <f>IF(O50="","",INDEX(Lists!$D$2:$D$11,MATCH(O50,Lists!$B$2:$B$11,0)))</f>
        <v/>
      </c>
      <c r="R50" s="37" t="str">
        <f>IF(OR(O50="",I50=""),"",IF(INDEX(Lists!$N$2:$N$5,MATCH(I50,Lists!$M$2:$M$5,0))&gt;=INDEX(Lists!$E$2:$E$11,MATCH(O50,Lists!$B$2:$B$11,0)),"Data ready","Data gap"))</f>
        <v/>
      </c>
      <c r="S50" s="36" t="str">
        <f>IF(O50="","",IF(P50&lt;=IF('1. AI Position'!$C$30="",5,INDEX(Lists!$AI$2:$AI$5,'1. AI Position'!$C$30)),"Within current position","Beyond current position"))</f>
        <v/>
      </c>
      <c r="T50" s="38" t="str">
        <f>IF(O50="","",IF(COUNTA(E50:N50)&lt;10,"Complete inputs",IF(H50="No - varies by person / team","Redesign / standardise first",IF(Q50="No","Automate - AI not needed",IF(R50="Data gap","AI later - close data gap first",IF(S50="Beyond current position","Stretch - partner or later stage","AI fit now"))))))</f>
        <v/>
      </c>
      <c r="U50" s="39" t="str">
        <f>IF(OR(T50="",T50="Complete inputs"),"",ROUND(0.3*INDEX(Lists!$N$8:$N$10,MATCH(F50,Lists!$M$8:$M$10,0))+0.25*IF(G50&lt;20,1,IF(G50&lt;80,2,IF(G50&lt;160,3,IF(G50&lt;480,4,5))))+0.25*J50+0.2*K50,2))</f>
        <v/>
      </c>
      <c r="V50" s="39" t="str">
        <f>IF(U50="","",ROUND(0.3*IF(R50="Data ready",5,IF(INDEX(Lists!$N$2:$N$5,MATCH(I50,Lists!$M$2:$M$5,0))=INDEX(Lists!$E$2:$E$11,MATCH(O50,Lists!$B$2:$B$11,0))-1,3,1))+0.25*INDEX(Lists!$N$13:$N$15,MATCH(H50,Lists!$M$13:$M$15,0))+0.25*(6-P50)+0.2*IF(S50="Within current position",5,2),2))</f>
        <v/>
      </c>
      <c r="W50" s="37" t="str">
        <f>IF(U50="","",IF(Q50="No",IF(L50="Yes","Medium","Low"),IF(IF(L50="Yes",2,0)+IF(M50="Yes",1,0)+INDEX(Lists!$N$18:$N$20,MATCH(N50,Lists!$M$18:$M$20,0))+IF(K50=5,2,IF(K50&gt;=4,1,0))&gt;=4,"High",IF(IF(L50="Yes",2,0)+IF(M50="Yes",1,0)+INDEX(Lists!$N$18:$N$20,MATCH(N50,Lists!$M$18:$M$20,0))+IF(K50=5,2,IF(K50&gt;=4,1,0))&gt;=2,"Medium","Low"))))</f>
        <v/>
      </c>
      <c r="X50" s="37" t="str">
        <f>IF(U50="","",IF(AND(U50&gt;=$D$4,V50&gt;=$D$4),"Quick win",IF(U50&gt;=$D$4,"Strategic bet",IF(V50&gt;=$D$4,"Fill-in","Deprioritise"))))</f>
        <v/>
      </c>
      <c r="Y50" s="39" t="str">
        <f>IF(U50="","",ROUND(U50*V50*IF(W50="High",0.85,1)*IF(T50="Redesign / standardise first",0.8,1),2))</f>
        <v/>
      </c>
      <c r="Z50" s="40" t="str">
        <f>IF(Y50="","",RANK(Y50,$Y$8:$Y$57)+COUNTIF($Y$7:Y49,Y50))</f>
        <v/>
      </c>
      <c r="AA50" s="36" t="str">
        <f>IF(AC50="","",INDEX(Lists!$AV$2:$AV$5,AC50))</f>
        <v/>
      </c>
      <c r="AB50" s="41" t="str">
        <f>IF(Y50="","",ROUND(G50*12*INDEX(Lists!$F$2:$F$11,MATCH(O50,Lists!$B$2:$B$11,0)),0))</f>
        <v/>
      </c>
      <c r="AC50" s="37" t="str">
        <f>IF(Y50="","",IF(X50="Deprioritise",4,IF(T50="AI later - close data gap first",3,IF(OR(T50="Redesign / standardise first",T50="Stretch - partner or later stage",X50="Strategic bet"),2,1))))</f>
        <v/>
      </c>
      <c r="AD50" s="37" t="str">
        <f>IF(Z50="","",AC50*100+Z50)</f>
        <v/>
      </c>
    </row>
    <row r="51" ht="40" customHeight="1">
      <c r="A51" s="14" t="n">
        <v>44</v>
      </c>
      <c r="B51" s="35" t="n"/>
      <c r="C51" s="35" t="n"/>
      <c r="D51" s="35" t="n"/>
      <c r="E51" s="35" t="n"/>
      <c r="F51" s="35" t="n"/>
      <c r="G51" s="35" t="n"/>
      <c r="H51" s="35" t="n"/>
      <c r="I51" s="35" t="n"/>
      <c r="J51" s="35" t="n"/>
      <c r="K51" s="35" t="n"/>
      <c r="L51" s="35" t="n"/>
      <c r="M51" s="35" t="n"/>
      <c r="N51" s="35" t="n"/>
      <c r="O51" s="36" t="str">
        <f>IF(OR(C51="",E51=""),"",INDEX(Lists!$B$2:$B$11,MATCH(E51,Lists!$A$2:$A$11,0)))</f>
        <v/>
      </c>
      <c r="P51" s="37" t="str">
        <f>IF(O51="","",INDEX(Lists!$C$2:$C$11,MATCH(O51,Lists!$B$2:$B$11,0)))</f>
        <v/>
      </c>
      <c r="Q51" s="37" t="str">
        <f>IF(O51="","",INDEX(Lists!$D$2:$D$11,MATCH(O51,Lists!$B$2:$B$11,0)))</f>
        <v/>
      </c>
      <c r="R51" s="37" t="str">
        <f>IF(OR(O51="",I51=""),"",IF(INDEX(Lists!$N$2:$N$5,MATCH(I51,Lists!$M$2:$M$5,0))&gt;=INDEX(Lists!$E$2:$E$11,MATCH(O51,Lists!$B$2:$B$11,0)),"Data ready","Data gap"))</f>
        <v/>
      </c>
      <c r="S51" s="36" t="str">
        <f>IF(O51="","",IF(P51&lt;=IF('1. AI Position'!$C$30="",5,INDEX(Lists!$AI$2:$AI$5,'1. AI Position'!$C$30)),"Within current position","Beyond current position"))</f>
        <v/>
      </c>
      <c r="T51" s="38" t="str">
        <f>IF(O51="","",IF(COUNTA(E51:N51)&lt;10,"Complete inputs",IF(H51="No - varies by person / team","Redesign / standardise first",IF(Q51="No","Automate - AI not needed",IF(R51="Data gap","AI later - close data gap first",IF(S51="Beyond current position","Stretch - partner or later stage","AI fit now"))))))</f>
        <v/>
      </c>
      <c r="U51" s="39" t="str">
        <f>IF(OR(T51="",T51="Complete inputs"),"",ROUND(0.3*INDEX(Lists!$N$8:$N$10,MATCH(F51,Lists!$M$8:$M$10,0))+0.25*IF(G51&lt;20,1,IF(G51&lt;80,2,IF(G51&lt;160,3,IF(G51&lt;480,4,5))))+0.25*J51+0.2*K51,2))</f>
        <v/>
      </c>
      <c r="V51" s="39" t="str">
        <f>IF(U51="","",ROUND(0.3*IF(R51="Data ready",5,IF(INDEX(Lists!$N$2:$N$5,MATCH(I51,Lists!$M$2:$M$5,0))=INDEX(Lists!$E$2:$E$11,MATCH(O51,Lists!$B$2:$B$11,0))-1,3,1))+0.25*INDEX(Lists!$N$13:$N$15,MATCH(H51,Lists!$M$13:$M$15,0))+0.25*(6-P51)+0.2*IF(S51="Within current position",5,2),2))</f>
        <v/>
      </c>
      <c r="W51" s="37" t="str">
        <f>IF(U51="","",IF(Q51="No",IF(L51="Yes","Medium","Low"),IF(IF(L51="Yes",2,0)+IF(M51="Yes",1,0)+INDEX(Lists!$N$18:$N$20,MATCH(N51,Lists!$M$18:$M$20,0))+IF(K51=5,2,IF(K51&gt;=4,1,0))&gt;=4,"High",IF(IF(L51="Yes",2,0)+IF(M51="Yes",1,0)+INDEX(Lists!$N$18:$N$20,MATCH(N51,Lists!$M$18:$M$20,0))+IF(K51=5,2,IF(K51&gt;=4,1,0))&gt;=2,"Medium","Low"))))</f>
        <v/>
      </c>
      <c r="X51" s="37" t="str">
        <f>IF(U51="","",IF(AND(U51&gt;=$D$4,V51&gt;=$D$4),"Quick win",IF(U51&gt;=$D$4,"Strategic bet",IF(V51&gt;=$D$4,"Fill-in","Deprioritise"))))</f>
        <v/>
      </c>
      <c r="Y51" s="39" t="str">
        <f>IF(U51="","",ROUND(U51*V51*IF(W51="High",0.85,1)*IF(T51="Redesign / standardise first",0.8,1),2))</f>
        <v/>
      </c>
      <c r="Z51" s="40" t="str">
        <f>IF(Y51="","",RANK(Y51,$Y$8:$Y$57)+COUNTIF($Y$7:Y50,Y51))</f>
        <v/>
      </c>
      <c r="AA51" s="36" t="str">
        <f>IF(AC51="","",INDEX(Lists!$AV$2:$AV$5,AC51))</f>
        <v/>
      </c>
      <c r="AB51" s="41" t="str">
        <f>IF(Y51="","",ROUND(G51*12*INDEX(Lists!$F$2:$F$11,MATCH(O51,Lists!$B$2:$B$11,0)),0))</f>
        <v/>
      </c>
      <c r="AC51" s="37" t="str">
        <f>IF(Y51="","",IF(X51="Deprioritise",4,IF(T51="AI later - close data gap first",3,IF(OR(T51="Redesign / standardise first",T51="Stretch - partner or later stage",X51="Strategic bet"),2,1))))</f>
        <v/>
      </c>
      <c r="AD51" s="37" t="str">
        <f>IF(Z51="","",AC51*100+Z51)</f>
        <v/>
      </c>
    </row>
    <row r="52" ht="40" customHeight="1">
      <c r="A52" s="14" t="n">
        <v>45</v>
      </c>
      <c r="B52" s="35" t="n"/>
      <c r="C52" s="35" t="n"/>
      <c r="D52" s="35" t="n"/>
      <c r="E52" s="35" t="n"/>
      <c r="F52" s="35" t="n"/>
      <c r="G52" s="35" t="n"/>
      <c r="H52" s="35" t="n"/>
      <c r="I52" s="35" t="n"/>
      <c r="J52" s="35" t="n"/>
      <c r="K52" s="35" t="n"/>
      <c r="L52" s="35" t="n"/>
      <c r="M52" s="35" t="n"/>
      <c r="N52" s="35" t="n"/>
      <c r="O52" s="36" t="str">
        <f>IF(OR(C52="",E52=""),"",INDEX(Lists!$B$2:$B$11,MATCH(E52,Lists!$A$2:$A$11,0)))</f>
        <v/>
      </c>
      <c r="P52" s="37" t="str">
        <f>IF(O52="","",INDEX(Lists!$C$2:$C$11,MATCH(O52,Lists!$B$2:$B$11,0)))</f>
        <v/>
      </c>
      <c r="Q52" s="37" t="str">
        <f>IF(O52="","",INDEX(Lists!$D$2:$D$11,MATCH(O52,Lists!$B$2:$B$11,0)))</f>
        <v/>
      </c>
      <c r="R52" s="37" t="str">
        <f>IF(OR(O52="",I52=""),"",IF(INDEX(Lists!$N$2:$N$5,MATCH(I52,Lists!$M$2:$M$5,0))&gt;=INDEX(Lists!$E$2:$E$11,MATCH(O52,Lists!$B$2:$B$11,0)),"Data ready","Data gap"))</f>
        <v/>
      </c>
      <c r="S52" s="36" t="str">
        <f>IF(O52="","",IF(P52&lt;=IF('1. AI Position'!$C$30="",5,INDEX(Lists!$AI$2:$AI$5,'1. AI Position'!$C$30)),"Within current position","Beyond current position"))</f>
        <v/>
      </c>
      <c r="T52" s="38" t="str">
        <f>IF(O52="","",IF(COUNTA(E52:N52)&lt;10,"Complete inputs",IF(H52="No - varies by person / team","Redesign / standardise first",IF(Q52="No","Automate - AI not needed",IF(R52="Data gap","AI later - close data gap first",IF(S52="Beyond current position","Stretch - partner or later stage","AI fit now"))))))</f>
        <v/>
      </c>
      <c r="U52" s="39" t="str">
        <f>IF(OR(T52="",T52="Complete inputs"),"",ROUND(0.3*INDEX(Lists!$N$8:$N$10,MATCH(F52,Lists!$M$8:$M$10,0))+0.25*IF(G52&lt;20,1,IF(G52&lt;80,2,IF(G52&lt;160,3,IF(G52&lt;480,4,5))))+0.25*J52+0.2*K52,2))</f>
        <v/>
      </c>
      <c r="V52" s="39" t="str">
        <f>IF(U52="","",ROUND(0.3*IF(R52="Data ready",5,IF(INDEX(Lists!$N$2:$N$5,MATCH(I52,Lists!$M$2:$M$5,0))=INDEX(Lists!$E$2:$E$11,MATCH(O52,Lists!$B$2:$B$11,0))-1,3,1))+0.25*INDEX(Lists!$N$13:$N$15,MATCH(H52,Lists!$M$13:$M$15,0))+0.25*(6-P52)+0.2*IF(S52="Within current position",5,2),2))</f>
        <v/>
      </c>
      <c r="W52" s="37" t="str">
        <f>IF(U52="","",IF(Q52="No",IF(L52="Yes","Medium","Low"),IF(IF(L52="Yes",2,0)+IF(M52="Yes",1,0)+INDEX(Lists!$N$18:$N$20,MATCH(N52,Lists!$M$18:$M$20,0))+IF(K52=5,2,IF(K52&gt;=4,1,0))&gt;=4,"High",IF(IF(L52="Yes",2,0)+IF(M52="Yes",1,0)+INDEX(Lists!$N$18:$N$20,MATCH(N52,Lists!$M$18:$M$20,0))+IF(K52=5,2,IF(K52&gt;=4,1,0))&gt;=2,"Medium","Low"))))</f>
        <v/>
      </c>
      <c r="X52" s="37" t="str">
        <f>IF(U52="","",IF(AND(U52&gt;=$D$4,V52&gt;=$D$4),"Quick win",IF(U52&gt;=$D$4,"Strategic bet",IF(V52&gt;=$D$4,"Fill-in","Deprioritise"))))</f>
        <v/>
      </c>
      <c r="Y52" s="39" t="str">
        <f>IF(U52="","",ROUND(U52*V52*IF(W52="High",0.85,1)*IF(T52="Redesign / standardise first",0.8,1),2))</f>
        <v/>
      </c>
      <c r="Z52" s="40" t="str">
        <f>IF(Y52="","",RANK(Y52,$Y$8:$Y$57)+COUNTIF($Y$7:Y51,Y52))</f>
        <v/>
      </c>
      <c r="AA52" s="36" t="str">
        <f>IF(AC52="","",INDEX(Lists!$AV$2:$AV$5,AC52))</f>
        <v/>
      </c>
      <c r="AB52" s="41" t="str">
        <f>IF(Y52="","",ROUND(G52*12*INDEX(Lists!$F$2:$F$11,MATCH(O52,Lists!$B$2:$B$11,0)),0))</f>
        <v/>
      </c>
      <c r="AC52" s="37" t="str">
        <f>IF(Y52="","",IF(X52="Deprioritise",4,IF(T52="AI later - close data gap first",3,IF(OR(T52="Redesign / standardise first",T52="Stretch - partner or later stage",X52="Strategic bet"),2,1))))</f>
        <v/>
      </c>
      <c r="AD52" s="37" t="str">
        <f>IF(Z52="","",AC52*100+Z52)</f>
        <v/>
      </c>
    </row>
    <row r="53" ht="40" customHeight="1">
      <c r="A53" s="14" t="n">
        <v>46</v>
      </c>
      <c r="B53" s="35" t="n"/>
      <c r="C53" s="35" t="n"/>
      <c r="D53" s="35" t="n"/>
      <c r="E53" s="35" t="n"/>
      <c r="F53" s="35" t="n"/>
      <c r="G53" s="35" t="n"/>
      <c r="H53" s="35" t="n"/>
      <c r="I53" s="35" t="n"/>
      <c r="J53" s="35" t="n"/>
      <c r="K53" s="35" t="n"/>
      <c r="L53" s="35" t="n"/>
      <c r="M53" s="35" t="n"/>
      <c r="N53" s="35" t="n"/>
      <c r="O53" s="36" t="str">
        <f>IF(OR(C53="",E53=""),"",INDEX(Lists!$B$2:$B$11,MATCH(E53,Lists!$A$2:$A$11,0)))</f>
        <v/>
      </c>
      <c r="P53" s="37" t="str">
        <f>IF(O53="","",INDEX(Lists!$C$2:$C$11,MATCH(O53,Lists!$B$2:$B$11,0)))</f>
        <v/>
      </c>
      <c r="Q53" s="37" t="str">
        <f>IF(O53="","",INDEX(Lists!$D$2:$D$11,MATCH(O53,Lists!$B$2:$B$11,0)))</f>
        <v/>
      </c>
      <c r="R53" s="37" t="str">
        <f>IF(OR(O53="",I53=""),"",IF(INDEX(Lists!$N$2:$N$5,MATCH(I53,Lists!$M$2:$M$5,0))&gt;=INDEX(Lists!$E$2:$E$11,MATCH(O53,Lists!$B$2:$B$11,0)),"Data ready","Data gap"))</f>
        <v/>
      </c>
      <c r="S53" s="36" t="str">
        <f>IF(O53="","",IF(P53&lt;=IF('1. AI Position'!$C$30="",5,INDEX(Lists!$AI$2:$AI$5,'1. AI Position'!$C$30)),"Within current position","Beyond current position"))</f>
        <v/>
      </c>
      <c r="T53" s="38" t="str">
        <f>IF(O53="","",IF(COUNTA(E53:N53)&lt;10,"Complete inputs",IF(H53="No - varies by person / team","Redesign / standardise first",IF(Q53="No","Automate - AI not needed",IF(R53="Data gap","AI later - close data gap first",IF(S53="Beyond current position","Stretch - partner or later stage","AI fit now"))))))</f>
        <v/>
      </c>
      <c r="U53" s="39" t="str">
        <f>IF(OR(T53="",T53="Complete inputs"),"",ROUND(0.3*INDEX(Lists!$N$8:$N$10,MATCH(F53,Lists!$M$8:$M$10,0))+0.25*IF(G53&lt;20,1,IF(G53&lt;80,2,IF(G53&lt;160,3,IF(G53&lt;480,4,5))))+0.25*J53+0.2*K53,2))</f>
        <v/>
      </c>
      <c r="V53" s="39" t="str">
        <f>IF(U53="","",ROUND(0.3*IF(R53="Data ready",5,IF(INDEX(Lists!$N$2:$N$5,MATCH(I53,Lists!$M$2:$M$5,0))=INDEX(Lists!$E$2:$E$11,MATCH(O53,Lists!$B$2:$B$11,0))-1,3,1))+0.25*INDEX(Lists!$N$13:$N$15,MATCH(H53,Lists!$M$13:$M$15,0))+0.25*(6-P53)+0.2*IF(S53="Within current position",5,2),2))</f>
        <v/>
      </c>
      <c r="W53" s="37" t="str">
        <f>IF(U53="","",IF(Q53="No",IF(L53="Yes","Medium","Low"),IF(IF(L53="Yes",2,0)+IF(M53="Yes",1,0)+INDEX(Lists!$N$18:$N$20,MATCH(N53,Lists!$M$18:$M$20,0))+IF(K53=5,2,IF(K53&gt;=4,1,0))&gt;=4,"High",IF(IF(L53="Yes",2,0)+IF(M53="Yes",1,0)+INDEX(Lists!$N$18:$N$20,MATCH(N53,Lists!$M$18:$M$20,0))+IF(K53=5,2,IF(K53&gt;=4,1,0))&gt;=2,"Medium","Low"))))</f>
        <v/>
      </c>
      <c r="X53" s="37" t="str">
        <f>IF(U53="","",IF(AND(U53&gt;=$D$4,V53&gt;=$D$4),"Quick win",IF(U53&gt;=$D$4,"Strategic bet",IF(V53&gt;=$D$4,"Fill-in","Deprioritise"))))</f>
        <v/>
      </c>
      <c r="Y53" s="39" t="str">
        <f>IF(U53="","",ROUND(U53*V53*IF(W53="High",0.85,1)*IF(T53="Redesign / standardise first",0.8,1),2))</f>
        <v/>
      </c>
      <c r="Z53" s="40" t="str">
        <f>IF(Y53="","",RANK(Y53,$Y$8:$Y$57)+COUNTIF($Y$7:Y52,Y53))</f>
        <v/>
      </c>
      <c r="AA53" s="36" t="str">
        <f>IF(AC53="","",INDEX(Lists!$AV$2:$AV$5,AC53))</f>
        <v/>
      </c>
      <c r="AB53" s="41" t="str">
        <f>IF(Y53="","",ROUND(G53*12*INDEX(Lists!$F$2:$F$11,MATCH(O53,Lists!$B$2:$B$11,0)),0))</f>
        <v/>
      </c>
      <c r="AC53" s="37" t="str">
        <f>IF(Y53="","",IF(X53="Deprioritise",4,IF(T53="AI later - close data gap first",3,IF(OR(T53="Redesign / standardise first",T53="Stretch - partner or later stage",X53="Strategic bet"),2,1))))</f>
        <v/>
      </c>
      <c r="AD53" s="37" t="str">
        <f>IF(Z53="","",AC53*100+Z53)</f>
        <v/>
      </c>
    </row>
    <row r="54" ht="40" customHeight="1">
      <c r="A54" s="14" t="n">
        <v>47</v>
      </c>
      <c r="B54" s="35" t="n"/>
      <c r="C54" s="35" t="n"/>
      <c r="D54" s="35" t="n"/>
      <c r="E54" s="35" t="n"/>
      <c r="F54" s="35" t="n"/>
      <c r="G54" s="35" t="n"/>
      <c r="H54" s="35" t="n"/>
      <c r="I54" s="35" t="n"/>
      <c r="J54" s="35" t="n"/>
      <c r="K54" s="35" t="n"/>
      <c r="L54" s="35" t="n"/>
      <c r="M54" s="35" t="n"/>
      <c r="N54" s="35" t="n"/>
      <c r="O54" s="36" t="str">
        <f>IF(OR(C54="",E54=""),"",INDEX(Lists!$B$2:$B$11,MATCH(E54,Lists!$A$2:$A$11,0)))</f>
        <v/>
      </c>
      <c r="P54" s="37" t="str">
        <f>IF(O54="","",INDEX(Lists!$C$2:$C$11,MATCH(O54,Lists!$B$2:$B$11,0)))</f>
        <v/>
      </c>
      <c r="Q54" s="37" t="str">
        <f>IF(O54="","",INDEX(Lists!$D$2:$D$11,MATCH(O54,Lists!$B$2:$B$11,0)))</f>
        <v/>
      </c>
      <c r="R54" s="37" t="str">
        <f>IF(OR(O54="",I54=""),"",IF(INDEX(Lists!$N$2:$N$5,MATCH(I54,Lists!$M$2:$M$5,0))&gt;=INDEX(Lists!$E$2:$E$11,MATCH(O54,Lists!$B$2:$B$11,0)),"Data ready","Data gap"))</f>
        <v/>
      </c>
      <c r="S54" s="36" t="str">
        <f>IF(O54="","",IF(P54&lt;=IF('1. AI Position'!$C$30="",5,INDEX(Lists!$AI$2:$AI$5,'1. AI Position'!$C$30)),"Within current position","Beyond current position"))</f>
        <v/>
      </c>
      <c r="T54" s="38" t="str">
        <f>IF(O54="","",IF(COUNTA(E54:N54)&lt;10,"Complete inputs",IF(H54="No - varies by person / team","Redesign / standardise first",IF(Q54="No","Automate - AI not needed",IF(R54="Data gap","AI later - close data gap first",IF(S54="Beyond current position","Stretch - partner or later stage","AI fit now"))))))</f>
        <v/>
      </c>
      <c r="U54" s="39" t="str">
        <f>IF(OR(T54="",T54="Complete inputs"),"",ROUND(0.3*INDEX(Lists!$N$8:$N$10,MATCH(F54,Lists!$M$8:$M$10,0))+0.25*IF(G54&lt;20,1,IF(G54&lt;80,2,IF(G54&lt;160,3,IF(G54&lt;480,4,5))))+0.25*J54+0.2*K54,2))</f>
        <v/>
      </c>
      <c r="V54" s="39" t="str">
        <f>IF(U54="","",ROUND(0.3*IF(R54="Data ready",5,IF(INDEX(Lists!$N$2:$N$5,MATCH(I54,Lists!$M$2:$M$5,0))=INDEX(Lists!$E$2:$E$11,MATCH(O54,Lists!$B$2:$B$11,0))-1,3,1))+0.25*INDEX(Lists!$N$13:$N$15,MATCH(H54,Lists!$M$13:$M$15,0))+0.25*(6-P54)+0.2*IF(S54="Within current position",5,2),2))</f>
        <v/>
      </c>
      <c r="W54" s="37" t="str">
        <f>IF(U54="","",IF(Q54="No",IF(L54="Yes","Medium","Low"),IF(IF(L54="Yes",2,0)+IF(M54="Yes",1,0)+INDEX(Lists!$N$18:$N$20,MATCH(N54,Lists!$M$18:$M$20,0))+IF(K54=5,2,IF(K54&gt;=4,1,0))&gt;=4,"High",IF(IF(L54="Yes",2,0)+IF(M54="Yes",1,0)+INDEX(Lists!$N$18:$N$20,MATCH(N54,Lists!$M$18:$M$20,0))+IF(K54=5,2,IF(K54&gt;=4,1,0))&gt;=2,"Medium","Low"))))</f>
        <v/>
      </c>
      <c r="X54" s="37" t="str">
        <f>IF(U54="","",IF(AND(U54&gt;=$D$4,V54&gt;=$D$4),"Quick win",IF(U54&gt;=$D$4,"Strategic bet",IF(V54&gt;=$D$4,"Fill-in","Deprioritise"))))</f>
        <v/>
      </c>
      <c r="Y54" s="39" t="str">
        <f>IF(U54="","",ROUND(U54*V54*IF(W54="High",0.85,1)*IF(T54="Redesign / standardise first",0.8,1),2))</f>
        <v/>
      </c>
      <c r="Z54" s="40" t="str">
        <f>IF(Y54="","",RANK(Y54,$Y$8:$Y$57)+COUNTIF($Y$7:Y53,Y54))</f>
        <v/>
      </c>
      <c r="AA54" s="36" t="str">
        <f>IF(AC54="","",INDEX(Lists!$AV$2:$AV$5,AC54))</f>
        <v/>
      </c>
      <c r="AB54" s="41" t="str">
        <f>IF(Y54="","",ROUND(G54*12*INDEX(Lists!$F$2:$F$11,MATCH(O54,Lists!$B$2:$B$11,0)),0))</f>
        <v/>
      </c>
      <c r="AC54" s="37" t="str">
        <f>IF(Y54="","",IF(X54="Deprioritise",4,IF(T54="AI later - close data gap first",3,IF(OR(T54="Redesign / standardise first",T54="Stretch - partner or later stage",X54="Strategic bet"),2,1))))</f>
        <v/>
      </c>
      <c r="AD54" s="37" t="str">
        <f>IF(Z54="","",AC54*100+Z54)</f>
        <v/>
      </c>
    </row>
    <row r="55" ht="40" customHeight="1">
      <c r="A55" s="14" t="n">
        <v>48</v>
      </c>
      <c r="B55" s="35" t="n"/>
      <c r="C55" s="35" t="n"/>
      <c r="D55" s="35" t="n"/>
      <c r="E55" s="35" t="n"/>
      <c r="F55" s="35" t="n"/>
      <c r="G55" s="35" t="n"/>
      <c r="H55" s="35" t="n"/>
      <c r="I55" s="35" t="n"/>
      <c r="J55" s="35" t="n"/>
      <c r="K55" s="35" t="n"/>
      <c r="L55" s="35" t="n"/>
      <c r="M55" s="35" t="n"/>
      <c r="N55" s="35" t="n"/>
      <c r="O55" s="36" t="str">
        <f>IF(OR(C55="",E55=""),"",INDEX(Lists!$B$2:$B$11,MATCH(E55,Lists!$A$2:$A$11,0)))</f>
        <v/>
      </c>
      <c r="P55" s="37" t="str">
        <f>IF(O55="","",INDEX(Lists!$C$2:$C$11,MATCH(O55,Lists!$B$2:$B$11,0)))</f>
        <v/>
      </c>
      <c r="Q55" s="37" t="str">
        <f>IF(O55="","",INDEX(Lists!$D$2:$D$11,MATCH(O55,Lists!$B$2:$B$11,0)))</f>
        <v/>
      </c>
      <c r="R55" s="37" t="str">
        <f>IF(OR(O55="",I55=""),"",IF(INDEX(Lists!$N$2:$N$5,MATCH(I55,Lists!$M$2:$M$5,0))&gt;=INDEX(Lists!$E$2:$E$11,MATCH(O55,Lists!$B$2:$B$11,0)),"Data ready","Data gap"))</f>
        <v/>
      </c>
      <c r="S55" s="36" t="str">
        <f>IF(O55="","",IF(P55&lt;=IF('1. AI Position'!$C$30="",5,INDEX(Lists!$AI$2:$AI$5,'1. AI Position'!$C$30)),"Within current position","Beyond current position"))</f>
        <v/>
      </c>
      <c r="T55" s="38" t="str">
        <f>IF(O55="","",IF(COUNTA(E55:N55)&lt;10,"Complete inputs",IF(H55="No - varies by person / team","Redesign / standardise first",IF(Q55="No","Automate - AI not needed",IF(R55="Data gap","AI later - close data gap first",IF(S55="Beyond current position","Stretch - partner or later stage","AI fit now"))))))</f>
        <v/>
      </c>
      <c r="U55" s="39" t="str">
        <f>IF(OR(T55="",T55="Complete inputs"),"",ROUND(0.3*INDEX(Lists!$N$8:$N$10,MATCH(F55,Lists!$M$8:$M$10,0))+0.25*IF(G55&lt;20,1,IF(G55&lt;80,2,IF(G55&lt;160,3,IF(G55&lt;480,4,5))))+0.25*J55+0.2*K55,2))</f>
        <v/>
      </c>
      <c r="V55" s="39" t="str">
        <f>IF(U55="","",ROUND(0.3*IF(R55="Data ready",5,IF(INDEX(Lists!$N$2:$N$5,MATCH(I55,Lists!$M$2:$M$5,0))=INDEX(Lists!$E$2:$E$11,MATCH(O55,Lists!$B$2:$B$11,0))-1,3,1))+0.25*INDEX(Lists!$N$13:$N$15,MATCH(H55,Lists!$M$13:$M$15,0))+0.25*(6-P55)+0.2*IF(S55="Within current position",5,2),2))</f>
        <v/>
      </c>
      <c r="W55" s="37" t="str">
        <f>IF(U55="","",IF(Q55="No",IF(L55="Yes","Medium","Low"),IF(IF(L55="Yes",2,0)+IF(M55="Yes",1,0)+INDEX(Lists!$N$18:$N$20,MATCH(N55,Lists!$M$18:$M$20,0))+IF(K55=5,2,IF(K55&gt;=4,1,0))&gt;=4,"High",IF(IF(L55="Yes",2,0)+IF(M55="Yes",1,0)+INDEX(Lists!$N$18:$N$20,MATCH(N55,Lists!$M$18:$M$20,0))+IF(K55=5,2,IF(K55&gt;=4,1,0))&gt;=2,"Medium","Low"))))</f>
        <v/>
      </c>
      <c r="X55" s="37" t="str">
        <f>IF(U55="","",IF(AND(U55&gt;=$D$4,V55&gt;=$D$4),"Quick win",IF(U55&gt;=$D$4,"Strategic bet",IF(V55&gt;=$D$4,"Fill-in","Deprioritise"))))</f>
        <v/>
      </c>
      <c r="Y55" s="39" t="str">
        <f>IF(U55="","",ROUND(U55*V55*IF(W55="High",0.85,1)*IF(T55="Redesign / standardise first",0.8,1),2))</f>
        <v/>
      </c>
      <c r="Z55" s="40" t="str">
        <f>IF(Y55="","",RANK(Y55,$Y$8:$Y$57)+COUNTIF($Y$7:Y54,Y55))</f>
        <v/>
      </c>
      <c r="AA55" s="36" t="str">
        <f>IF(AC55="","",INDEX(Lists!$AV$2:$AV$5,AC55))</f>
        <v/>
      </c>
      <c r="AB55" s="41" t="str">
        <f>IF(Y55="","",ROUND(G55*12*INDEX(Lists!$F$2:$F$11,MATCH(O55,Lists!$B$2:$B$11,0)),0))</f>
        <v/>
      </c>
      <c r="AC55" s="37" t="str">
        <f>IF(Y55="","",IF(X55="Deprioritise",4,IF(T55="AI later - close data gap first",3,IF(OR(T55="Redesign / standardise first",T55="Stretch - partner or later stage",X55="Strategic bet"),2,1))))</f>
        <v/>
      </c>
      <c r="AD55" s="37" t="str">
        <f>IF(Z55="","",AC55*100+Z55)</f>
        <v/>
      </c>
    </row>
    <row r="56" ht="40" customHeight="1">
      <c r="A56" s="14" t="n">
        <v>49</v>
      </c>
      <c r="B56" s="35" t="n"/>
      <c r="C56" s="35" t="n"/>
      <c r="D56" s="35" t="n"/>
      <c r="E56" s="35" t="n"/>
      <c r="F56" s="35" t="n"/>
      <c r="G56" s="35" t="n"/>
      <c r="H56" s="35" t="n"/>
      <c r="I56" s="35" t="n"/>
      <c r="J56" s="35" t="n"/>
      <c r="K56" s="35" t="n"/>
      <c r="L56" s="35" t="n"/>
      <c r="M56" s="35" t="n"/>
      <c r="N56" s="35" t="n"/>
      <c r="O56" s="36" t="str">
        <f>IF(OR(C56="",E56=""),"",INDEX(Lists!$B$2:$B$11,MATCH(E56,Lists!$A$2:$A$11,0)))</f>
        <v/>
      </c>
      <c r="P56" s="37" t="str">
        <f>IF(O56="","",INDEX(Lists!$C$2:$C$11,MATCH(O56,Lists!$B$2:$B$11,0)))</f>
        <v/>
      </c>
      <c r="Q56" s="37" t="str">
        <f>IF(O56="","",INDEX(Lists!$D$2:$D$11,MATCH(O56,Lists!$B$2:$B$11,0)))</f>
        <v/>
      </c>
      <c r="R56" s="37" t="str">
        <f>IF(OR(O56="",I56=""),"",IF(INDEX(Lists!$N$2:$N$5,MATCH(I56,Lists!$M$2:$M$5,0))&gt;=INDEX(Lists!$E$2:$E$11,MATCH(O56,Lists!$B$2:$B$11,0)),"Data ready","Data gap"))</f>
        <v/>
      </c>
      <c r="S56" s="36" t="str">
        <f>IF(O56="","",IF(P56&lt;=IF('1. AI Position'!$C$30="",5,INDEX(Lists!$AI$2:$AI$5,'1. AI Position'!$C$30)),"Within current position","Beyond current position"))</f>
        <v/>
      </c>
      <c r="T56" s="38" t="str">
        <f>IF(O56="","",IF(COUNTA(E56:N56)&lt;10,"Complete inputs",IF(H56="No - varies by person / team","Redesign / standardise first",IF(Q56="No","Automate - AI not needed",IF(R56="Data gap","AI later - close data gap first",IF(S56="Beyond current position","Stretch - partner or later stage","AI fit now"))))))</f>
        <v/>
      </c>
      <c r="U56" s="39" t="str">
        <f>IF(OR(T56="",T56="Complete inputs"),"",ROUND(0.3*INDEX(Lists!$N$8:$N$10,MATCH(F56,Lists!$M$8:$M$10,0))+0.25*IF(G56&lt;20,1,IF(G56&lt;80,2,IF(G56&lt;160,3,IF(G56&lt;480,4,5))))+0.25*J56+0.2*K56,2))</f>
        <v/>
      </c>
      <c r="V56" s="39" t="str">
        <f>IF(U56="","",ROUND(0.3*IF(R56="Data ready",5,IF(INDEX(Lists!$N$2:$N$5,MATCH(I56,Lists!$M$2:$M$5,0))=INDEX(Lists!$E$2:$E$11,MATCH(O56,Lists!$B$2:$B$11,0))-1,3,1))+0.25*INDEX(Lists!$N$13:$N$15,MATCH(H56,Lists!$M$13:$M$15,0))+0.25*(6-P56)+0.2*IF(S56="Within current position",5,2),2))</f>
        <v/>
      </c>
      <c r="W56" s="37" t="str">
        <f>IF(U56="","",IF(Q56="No",IF(L56="Yes","Medium","Low"),IF(IF(L56="Yes",2,0)+IF(M56="Yes",1,0)+INDEX(Lists!$N$18:$N$20,MATCH(N56,Lists!$M$18:$M$20,0))+IF(K56=5,2,IF(K56&gt;=4,1,0))&gt;=4,"High",IF(IF(L56="Yes",2,0)+IF(M56="Yes",1,0)+INDEX(Lists!$N$18:$N$20,MATCH(N56,Lists!$M$18:$M$20,0))+IF(K56=5,2,IF(K56&gt;=4,1,0))&gt;=2,"Medium","Low"))))</f>
        <v/>
      </c>
      <c r="X56" s="37" t="str">
        <f>IF(U56="","",IF(AND(U56&gt;=$D$4,V56&gt;=$D$4),"Quick win",IF(U56&gt;=$D$4,"Strategic bet",IF(V56&gt;=$D$4,"Fill-in","Deprioritise"))))</f>
        <v/>
      </c>
      <c r="Y56" s="39" t="str">
        <f>IF(U56="","",ROUND(U56*V56*IF(W56="High",0.85,1)*IF(T56="Redesign / standardise first",0.8,1),2))</f>
        <v/>
      </c>
      <c r="Z56" s="40" t="str">
        <f>IF(Y56="","",RANK(Y56,$Y$8:$Y$57)+COUNTIF($Y$7:Y55,Y56))</f>
        <v/>
      </c>
      <c r="AA56" s="36" t="str">
        <f>IF(AC56="","",INDEX(Lists!$AV$2:$AV$5,AC56))</f>
        <v/>
      </c>
      <c r="AB56" s="41" t="str">
        <f>IF(Y56="","",ROUND(G56*12*INDEX(Lists!$F$2:$F$11,MATCH(O56,Lists!$B$2:$B$11,0)),0))</f>
        <v/>
      </c>
      <c r="AC56" s="37" t="str">
        <f>IF(Y56="","",IF(X56="Deprioritise",4,IF(T56="AI later - close data gap first",3,IF(OR(T56="Redesign / standardise first",T56="Stretch - partner or later stage",X56="Strategic bet"),2,1))))</f>
        <v/>
      </c>
      <c r="AD56" s="37" t="str">
        <f>IF(Z56="","",AC56*100+Z56)</f>
        <v/>
      </c>
    </row>
    <row r="57" ht="40" customHeight="1">
      <c r="A57" s="14" t="n">
        <v>50</v>
      </c>
      <c r="B57" s="35" t="n"/>
      <c r="C57" s="35" t="n"/>
      <c r="D57" s="35" t="n"/>
      <c r="E57" s="35" t="n"/>
      <c r="F57" s="35" t="n"/>
      <c r="G57" s="35" t="n"/>
      <c r="H57" s="35" t="n"/>
      <c r="I57" s="35" t="n"/>
      <c r="J57" s="35" t="n"/>
      <c r="K57" s="35" t="n"/>
      <c r="L57" s="35" t="n"/>
      <c r="M57" s="35" t="n"/>
      <c r="N57" s="35" t="n"/>
      <c r="O57" s="36" t="str">
        <f>IF(OR(C57="",E57=""),"",INDEX(Lists!$B$2:$B$11,MATCH(E57,Lists!$A$2:$A$11,0)))</f>
        <v/>
      </c>
      <c r="P57" s="37" t="str">
        <f>IF(O57="","",INDEX(Lists!$C$2:$C$11,MATCH(O57,Lists!$B$2:$B$11,0)))</f>
        <v/>
      </c>
      <c r="Q57" s="37" t="str">
        <f>IF(O57="","",INDEX(Lists!$D$2:$D$11,MATCH(O57,Lists!$B$2:$B$11,0)))</f>
        <v/>
      </c>
      <c r="R57" s="37" t="str">
        <f>IF(OR(O57="",I57=""),"",IF(INDEX(Lists!$N$2:$N$5,MATCH(I57,Lists!$M$2:$M$5,0))&gt;=INDEX(Lists!$E$2:$E$11,MATCH(O57,Lists!$B$2:$B$11,0)),"Data ready","Data gap"))</f>
        <v/>
      </c>
      <c r="S57" s="36" t="str">
        <f>IF(O57="","",IF(P57&lt;=IF('1. AI Position'!$C$30="",5,INDEX(Lists!$AI$2:$AI$5,'1. AI Position'!$C$30)),"Within current position","Beyond current position"))</f>
        <v/>
      </c>
      <c r="T57" s="38" t="str">
        <f>IF(O57="","",IF(COUNTA(E57:N57)&lt;10,"Complete inputs",IF(H57="No - varies by person / team","Redesign / standardise first",IF(Q57="No","Automate - AI not needed",IF(R57="Data gap","AI later - close data gap first",IF(S57="Beyond current position","Stretch - partner or later stage","AI fit now"))))))</f>
        <v/>
      </c>
      <c r="U57" s="39" t="str">
        <f>IF(OR(T57="",T57="Complete inputs"),"",ROUND(0.3*INDEX(Lists!$N$8:$N$10,MATCH(F57,Lists!$M$8:$M$10,0))+0.25*IF(G57&lt;20,1,IF(G57&lt;80,2,IF(G57&lt;160,3,IF(G57&lt;480,4,5))))+0.25*J57+0.2*K57,2))</f>
        <v/>
      </c>
      <c r="V57" s="39" t="str">
        <f>IF(U57="","",ROUND(0.3*IF(R57="Data ready",5,IF(INDEX(Lists!$N$2:$N$5,MATCH(I57,Lists!$M$2:$M$5,0))=INDEX(Lists!$E$2:$E$11,MATCH(O57,Lists!$B$2:$B$11,0))-1,3,1))+0.25*INDEX(Lists!$N$13:$N$15,MATCH(H57,Lists!$M$13:$M$15,0))+0.25*(6-P57)+0.2*IF(S57="Within current position",5,2),2))</f>
        <v/>
      </c>
      <c r="W57" s="37" t="str">
        <f>IF(U57="","",IF(Q57="No",IF(L57="Yes","Medium","Low"),IF(IF(L57="Yes",2,0)+IF(M57="Yes",1,0)+INDEX(Lists!$N$18:$N$20,MATCH(N57,Lists!$M$18:$M$20,0))+IF(K57=5,2,IF(K57&gt;=4,1,0))&gt;=4,"High",IF(IF(L57="Yes",2,0)+IF(M57="Yes",1,0)+INDEX(Lists!$N$18:$N$20,MATCH(N57,Lists!$M$18:$M$20,0))+IF(K57=5,2,IF(K57&gt;=4,1,0))&gt;=2,"Medium","Low"))))</f>
        <v/>
      </c>
      <c r="X57" s="37" t="str">
        <f>IF(U57="","",IF(AND(U57&gt;=$D$4,V57&gt;=$D$4),"Quick win",IF(U57&gt;=$D$4,"Strategic bet",IF(V57&gt;=$D$4,"Fill-in","Deprioritise"))))</f>
        <v/>
      </c>
      <c r="Y57" s="39" t="str">
        <f>IF(U57="","",ROUND(U57*V57*IF(W57="High",0.85,1)*IF(T57="Redesign / standardise first",0.8,1),2))</f>
        <v/>
      </c>
      <c r="Z57" s="40" t="str">
        <f>IF(Y57="","",RANK(Y57,$Y$8:$Y$57)+COUNTIF($Y$7:Y56,Y57))</f>
        <v/>
      </c>
      <c r="AA57" s="36" t="str">
        <f>IF(AC57="","",INDEX(Lists!$AV$2:$AV$5,AC57))</f>
        <v/>
      </c>
      <c r="AB57" s="41" t="str">
        <f>IF(Y57="","",ROUND(G57*12*INDEX(Lists!$F$2:$F$11,MATCH(O57,Lists!$B$2:$B$11,0)),0))</f>
        <v/>
      </c>
      <c r="AC57" s="37" t="str">
        <f>IF(Y57="","",IF(X57="Deprioritise",4,IF(T57="AI later - close data gap first",3,IF(OR(T57="Redesign / standardise first",T57="Stretch - partner or later stage",X57="Strategic bet"),2,1))))</f>
        <v/>
      </c>
      <c r="AD57" s="37" t="str">
        <f>IF(Z57="","",AC57*100+Z57)</f>
        <v/>
      </c>
    </row>
  </sheetData>
  <mergeCells count="8">
    <mergeCell ref="A6:N6"/>
    <mergeCell ref="B3:C3"/>
    <mergeCell ref="A2:AD2"/>
    <mergeCell ref="D3:F3"/>
    <mergeCell ref="O6:AB6"/>
    <mergeCell ref="H3:J3"/>
    <mergeCell ref="B4:C4"/>
    <mergeCell ref="A1:AD1"/>
  </mergeCells>
  <conditionalFormatting sqref="T8:T57">
    <cfRule type="cellIs" priority="1" operator="equal" dxfId="1">
      <formula>"AI fit now"</formula>
    </cfRule>
    <cfRule type="cellIs" priority="2" operator="equal" dxfId="2">
      <formula>"Automate - AI not needed"</formula>
    </cfRule>
    <cfRule type="cellIs" priority="3" operator="equal" dxfId="3">
      <formula>"AI later - close data gap first"</formula>
    </cfRule>
    <cfRule type="cellIs" priority="4" operator="equal" dxfId="4">
      <formula>"Stretch - partner or later stage"</formula>
    </cfRule>
    <cfRule type="cellIs" priority="5" operator="equal" dxfId="5">
      <formula>"Redesign / standardise first"</formula>
    </cfRule>
  </conditionalFormatting>
  <conditionalFormatting sqref="W8:W57">
    <cfRule type="cellIs" priority="6" operator="equal" dxfId="6">
      <formula>"Low"</formula>
    </cfRule>
    <cfRule type="cellIs" priority="7" operator="equal" dxfId="3">
      <formula>"Medium"</formula>
    </cfRule>
    <cfRule type="cellIs" priority="8" operator="equal" dxfId="4">
      <formula>"High"</formula>
    </cfRule>
  </conditionalFormatting>
  <conditionalFormatting sqref="R8:R57">
    <cfRule type="cellIs" priority="9" operator="equal" dxfId="7">
      <formula>"Data gap"</formula>
    </cfRule>
  </conditionalFormatting>
  <conditionalFormatting sqref="S8:S57">
    <cfRule type="cellIs" priority="10" operator="equal" dxfId="8">
      <formula>"Beyond current position"</formula>
    </cfRule>
  </conditionalFormatting>
  <conditionalFormatting sqref="X8:X57">
    <cfRule type="cellIs" priority="11" operator="equal" dxfId="1">
      <formula>"Quick win"</formula>
    </cfRule>
  </conditionalFormatting>
  <dataValidations count="9">
    <dataValidation sqref="B8:B57" showDropDown="0" showInputMessage="0" showErrorMessage="1" allowBlank="1" type="list">
      <formula1>=Lists!$P$2:$P$11</formula1>
    </dataValidation>
    <dataValidation sqref="E8:E57" showDropDown="0" showInputMessage="1" showErrorMessage="1" allowBlank="1" prompt="What is the work, essentially? This determines the solution family." type="list">
      <formula1>=Lists!$A$2:$A$11</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68"/>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Map</t>
        </is>
      </c>
    </row>
    <row r="2" ht="32" customHeight="1">
      <c r="A2" s="2" t="inlineStr">
        <is>
          <t>Where AI fits - and where automation is enough - by function, with the top-ranked opportunities. Calculated from sheets 1 and 3.</t>
        </is>
      </c>
    </row>
    <row r="4" ht="22" customHeight="1">
      <c r="A4" s="3" t="inlineStr">
        <is>
          <t>A. ORGANISATIONAL AI POSITION</t>
        </is>
      </c>
    </row>
    <row r="5" ht="18" customHeight="1">
      <c r="A5" s="4" t="inlineStr">
        <is>
          <t>Organisation</t>
        </is>
      </c>
      <c r="B5" s="26" t="n"/>
      <c r="C5" s="5">
        <f>'1. AI Position'!C4</f>
        <v>0</v>
      </c>
      <c r="D5" s="15" t="n"/>
      <c r="E5" s="15" t="n"/>
      <c r="F5" s="15" t="n"/>
      <c r="G5" s="15" t="n"/>
      <c r="H5" s="15" t="n"/>
      <c r="I5" s="15" t="n"/>
      <c r="J5" s="15" t="n"/>
      <c r="K5" s="15" t="n"/>
    </row>
    <row r="6" ht="18" customHeight="1">
      <c r="A6" s="4" t="inlineStr">
        <is>
          <t>AI position (archetype)</t>
        </is>
      </c>
      <c r="B6" s="26" t="n"/>
      <c r="C6" s="19" t="str">
        <f>'1. AI Position'!$C$31</f>
        <v>Complete all 12 questions</v>
      </c>
      <c r="D6" s="18" t="n"/>
      <c r="E6" s="18" t="n"/>
      <c r="F6" s="18" t="n"/>
      <c r="G6" s="18" t="n"/>
      <c r="H6" s="18" t="n"/>
      <c r="I6" s="18" t="n"/>
      <c r="J6" s="18" t="n"/>
      <c r="K6" s="18" t="n"/>
    </row>
    <row r="7" ht="18" customHeight="1">
      <c r="A7" s="4" t="inlineStr">
        <is>
          <t>Data Position / Scale &amp; Capacity</t>
        </is>
      </c>
      <c r="B7" s="26" t="n"/>
      <c r="C7" s="5" t="str">
        <f>IF('1. AI Position'!$C$28="","",TEXT('1. AI Position'!$C$28,"0%")&amp;"  /  "&amp;TEXT('1. AI Position'!$C$29,"0%"))</f>
        <v/>
      </c>
      <c r="D7" s="15" t="n"/>
      <c r="E7" s="15" t="n"/>
      <c r="F7" s="15" t="n"/>
      <c r="G7" s="15" t="n"/>
      <c r="H7" s="15" t="n"/>
      <c r="I7" s="15" t="n"/>
      <c r="J7" s="15" t="n"/>
      <c r="K7" s="15" t="n"/>
    </row>
    <row r="8" ht="30" customHeight="1">
      <c r="A8" s="4" t="inlineStr">
        <is>
          <t>What it means</t>
        </is>
      </c>
      <c r="B8" s="26" t="n"/>
      <c r="C8" s="5" t="str">
        <f>'1. AI Position'!C33</f>
        <v/>
      </c>
      <c r="D8" s="15" t="n"/>
      <c r="E8" s="15" t="n"/>
      <c r="F8" s="15" t="n"/>
      <c r="G8" s="15" t="n"/>
      <c r="H8" s="15" t="n"/>
      <c r="I8" s="15" t="n"/>
      <c r="J8" s="15" t="n"/>
      <c r="K8" s="15" t="n"/>
    </row>
    <row r="9" ht="30" customHeight="1">
      <c r="A9" s="4" t="inlineStr">
        <is>
          <t>Foundation flag</t>
        </is>
      </c>
      <c r="B9" s="26" t="n"/>
      <c r="C9" s="5" t="str">
        <f>'1. AI Position'!$C$35</f>
        <v>No foundation red flags from the position screen.</v>
      </c>
      <c r="D9" s="15" t="n"/>
      <c r="E9" s="15" t="n"/>
      <c r="F9" s="15" t="n"/>
      <c r="G9" s="15" t="n"/>
      <c r="H9" s="15" t="n"/>
      <c r="I9" s="15" t="n"/>
      <c r="J9" s="15" t="n"/>
      <c r="K9" s="15" t="n"/>
    </row>
    <row r="11" ht="22" customHeight="1">
      <c r="A11" s="3" t="inlineStr">
        <is>
          <t>B. VERDICT SUMMARY - what kind of solution fits the processes assessed</t>
        </is>
      </c>
    </row>
    <row r="12">
      <c r="B12" s="9" t="inlineStr">
        <is>
          <t>Verdict</t>
        </is>
      </c>
      <c r="C12" s="9" t="inlineStr">
        <is>
          <t>Processes</t>
        </is>
      </c>
      <c r="D12" s="9" t="inlineStr">
        <is>
          <t>% of total</t>
        </is>
      </c>
      <c r="E12" s="9" t="inlineStr">
        <is>
          <t>Hours released / yr</t>
        </is>
      </c>
      <c r="G12" s="9" t="inlineStr">
        <is>
          <t>Meaning</t>
        </is>
      </c>
      <c r="H12" s="42" t="n"/>
      <c r="I12" s="42" t="n"/>
      <c r="J12" s="42" t="n"/>
      <c r="K12" s="43" t="n"/>
    </row>
    <row r="13" ht="30" customHeight="1">
      <c r="B13" s="44" t="inlineStr">
        <is>
          <t>AI fit now</t>
        </is>
      </c>
      <c r="C13" s="22">
        <f>COUNTIF('3. AI Fit Diagnostic'!$T$8:$T$57,B13)</f>
        <v>0</v>
      </c>
      <c r="D13" s="45" t="str">
        <f>IF(SUM($C$13:$C$17)=0,"",C13/SUM($C$13:$C$17))</f>
        <v/>
      </c>
      <c r="E13" s="46">
        <f>SUMIF('3. AI Fit Diagnostic'!$T$8:$T$57,B13,'3. AI Fit Diagnostic'!$AB$8:$AB$57)</f>
        <v>0</v>
      </c>
      <c r="F13" s="24" t="inlineStr">
        <is>
          <t>AI is the right tool, the data exists and it is within the organisation's current position.</t>
        </is>
      </c>
      <c r="G13" s="15" t="n"/>
      <c r="H13" s="15" t="n"/>
      <c r="I13" s="15" t="n"/>
      <c r="J13" s="15" t="n"/>
      <c r="K13" s="15" t="n"/>
    </row>
    <row r="14" ht="30" customHeight="1">
      <c r="B14" s="47" t="inlineStr">
        <is>
          <t>Automate - AI not needed</t>
        </is>
      </c>
      <c r="C14" s="22">
        <f>COUNTIF('3. AI Fit Diagnostic'!$T$8:$T$57,B14)</f>
        <v>0</v>
      </c>
      <c r="D14" s="45" t="str">
        <f>IF(SUM($C$13:$C$17)=0,"",C14/SUM($C$13:$C$17))</f>
        <v/>
      </c>
      <c r="E14" s="46">
        <f>SUMIF('3. AI Fit Diagnostic'!$T$8:$T$57,B14,'3. AI Fit Diagnostic'!$AB$8:$AB$57)</f>
        <v>0</v>
      </c>
      <c r="F14" s="24" t="inlineStr">
        <is>
          <t>The work follows fixed rules or is a data / reporting problem; automation or BI delivers the value with less risk and cost.</t>
        </is>
      </c>
      <c r="G14" s="15" t="n"/>
      <c r="H14" s="15" t="n"/>
      <c r="I14" s="15" t="n"/>
      <c r="J14" s="15" t="n"/>
      <c r="K14" s="15" t="n"/>
    </row>
    <row r="15" ht="30" customHeight="1">
      <c r="B15" s="48" t="inlineStr">
        <is>
          <t>AI later - close data gap first</t>
        </is>
      </c>
      <c r="C15" s="22">
        <f>COUNTIF('3. AI Fit Diagnostic'!$T$8:$T$57,B15)</f>
        <v>0</v>
      </c>
      <c r="D15" s="45" t="str">
        <f>IF(SUM($C$13:$C$17)=0,"",C15/SUM($C$13:$C$17))</f>
        <v/>
      </c>
      <c r="E15" s="46">
        <f>SUMIF('3. AI Fit Diagnostic'!$T$8:$T$57,B15,'3. AI Fit Diagnostic'!$AB$8:$AB$57)</f>
        <v>0</v>
      </c>
      <c r="F15" s="24" t="inlineStr">
        <is>
          <t>AI would fit, but the data it needs is not captured, digital or labelled yet.</t>
        </is>
      </c>
      <c r="G15" s="15" t="n"/>
      <c r="H15" s="15" t="n"/>
      <c r="I15" s="15" t="n"/>
      <c r="J15" s="15" t="n"/>
      <c r="K15" s="15" t="n"/>
    </row>
    <row r="16" ht="30" customHeight="1">
      <c r="B16" s="49" t="inlineStr">
        <is>
          <t>Stretch - partner or later stage</t>
        </is>
      </c>
      <c r="C16" s="22">
        <f>COUNTIF('3. AI Fit Diagnostic'!$T$8:$T$57,B16)</f>
        <v>0</v>
      </c>
      <c r="D16" s="45" t="str">
        <f>IF(SUM($C$13:$C$17)=0,"",C16/SUM($C$13:$C$17))</f>
        <v/>
      </c>
      <c r="E16" s="46">
        <f>SUMIF('3. AI Fit Diagnostic'!$T$8:$T$57,B16,'3. AI Fit Diagnostic'!$AB$8:$AB$57)</f>
        <v>0</v>
      </c>
      <c r="F16" s="24" t="inlineStr">
        <is>
          <t>AI fits and the data exists, but the solution is more complex than the organisation can build or run today.</t>
        </is>
      </c>
      <c r="G16" s="15" t="n"/>
      <c r="H16" s="15" t="n"/>
      <c r="I16" s="15" t="n"/>
      <c r="J16" s="15" t="n"/>
      <c r="K16" s="15" t="n"/>
    </row>
    <row r="17" ht="30" customHeight="1">
      <c r="B17" s="50" t="inlineStr">
        <is>
          <t>Redesign / standardise first</t>
        </is>
      </c>
      <c r="C17" s="22">
        <f>COUNTIF('3. AI Fit Diagnostic'!$T$8:$T$57,B17)</f>
        <v>0</v>
      </c>
      <c r="D17" s="45" t="str">
        <f>IF(SUM($C$13:$C$17)=0,"",C17/SUM($C$13:$C$17))</f>
        <v/>
      </c>
      <c r="E17" s="46">
        <f>SUMIF('3. AI Fit Diagnostic'!$T$8:$T$57,B17,'3. AI Fit Diagnostic'!$AB$8:$AB$57)</f>
        <v>0</v>
      </c>
      <c r="F17" s="24" t="inlineStr">
        <is>
          <t>The process varies by person or team; automating or adding AI would scale inconsistency.</t>
        </is>
      </c>
      <c r="G17" s="15" t="n"/>
      <c r="H17" s="15" t="n"/>
      <c r="I17" s="15" t="n"/>
      <c r="J17" s="15" t="n"/>
      <c r="K17" s="15" t="n"/>
    </row>
    <row r="18">
      <c r="B18" s="4" t="inlineStr">
        <is>
          <t>Total assessed</t>
        </is>
      </c>
      <c r="C18" s="11">
        <f>SUM(C13:C17)</f>
        <v>0</v>
      </c>
      <c r="D18" s="6" t="inlineStr"/>
      <c r="E18" s="51">
        <f>SUM(E13:E17)</f>
        <v>0</v>
      </c>
    </row>
    <row r="19" ht="30" customHeight="1">
      <c r="B19" s="52" t="str">
        <f>IF(C18=0,"",TEXT((C13+C16)/C18,"0%")&amp;" of assessed processes are AI opportunities (now or with a partner); "&amp;TEXT(C14/C18,"0%")&amp;" are better served by automation without AI; "&amp;TEXT((C15+C17)/C18,"0%")&amp;" need data or process foundations first.")</f>
        <v/>
      </c>
      <c r="C19" s="15" t="n"/>
      <c r="D19" s="15" t="n"/>
      <c r="E19" s="15" t="n"/>
      <c r="F19" s="15" t="n"/>
      <c r="G19" s="15" t="n"/>
      <c r="H19" s="15" t="n"/>
      <c r="I19" s="15" t="n"/>
      <c r="J19" s="15" t="n"/>
      <c r="K19" s="15" t="n"/>
    </row>
    <row r="21" ht="22" customHeight="1">
      <c r="A21" s="3" t="inlineStr">
        <is>
          <t>C. WHERE AI FITS BY FUNCTION (number of processes)</t>
        </is>
      </c>
    </row>
    <row r="22" ht="30" customHeight="1">
      <c r="B22" s="33" t="inlineStr">
        <is>
          <t>Function</t>
        </is>
      </c>
      <c r="C22" s="33" t="inlineStr">
        <is>
          <t>AI fit now</t>
        </is>
      </c>
      <c r="D22" s="33" t="inlineStr">
        <is>
          <t>Stretch</t>
        </is>
      </c>
      <c r="E22" s="33" t="inlineStr">
        <is>
          <t>AI later (data)</t>
        </is>
      </c>
      <c r="F22" s="33" t="inlineStr">
        <is>
          <t>Automate (no AI)</t>
        </is>
      </c>
      <c r="G22" s="33" t="inlineStr">
        <is>
          <t>Redesign first</t>
        </is>
      </c>
      <c r="H22" s="33" t="inlineStr">
        <is>
          <t>Total</t>
        </is>
      </c>
      <c r="I22" s="33" t="inlineStr">
        <is>
          <t>Hours / yr</t>
        </is>
      </c>
      <c r="J22" s="33" t="inlineStr">
        <is>
          <t>High-risk items</t>
        </is>
      </c>
      <c r="K22" s="33" t="inlineStr">
        <is>
          <t>Headline</t>
        </is>
      </c>
    </row>
    <row r="23">
      <c r="B23" s="53" t="inlineStr">
        <is>
          <t>Core service delivery / operations</t>
        </is>
      </c>
      <c r="C23" s="22">
        <f>COUNTIFS('3. AI Fit Diagnostic'!$B$8:$B$57,$B23,'3. AI Fit Diagnostic'!$T$8:$T$57,"AI fit now")</f>
        <v>0</v>
      </c>
      <c r="D23" s="22">
        <f>COUNTIFS('3. AI Fit Diagnostic'!$B$8:$B$57,$B23,'3. AI Fit Diagnostic'!$T$8:$T$57,"Stretch - partner or later stage")</f>
        <v>0</v>
      </c>
      <c r="E23" s="22">
        <f>COUNTIFS('3. AI Fit Diagnostic'!$B$8:$B$57,$B23,'3. AI Fit Diagnostic'!$T$8:$T$57,"AI later - close data gap first")</f>
        <v>0</v>
      </c>
      <c r="F23" s="22">
        <f>COUNTIFS('3. AI Fit Diagnostic'!$B$8:$B$57,$B23,'3. AI Fit Diagnostic'!$T$8:$T$57,"Automate - AI not needed")</f>
        <v>0</v>
      </c>
      <c r="G23" s="22">
        <f>COUNTIFS('3. AI Fit Diagnostic'!$B$8:$B$57,$B23,'3. AI Fit Diagnostic'!$T$8:$T$57,"Redesign / standardise first")</f>
        <v>0</v>
      </c>
      <c r="H23" s="54">
        <f>SUM(C23:G23)</f>
        <v>0</v>
      </c>
      <c r="I23" s="46">
        <f>SUMIF('3. AI Fit Diagnostic'!$B$8:$B$57,$B23,'3. AI Fit Diagnostic'!$AB$8:$AB$57)</f>
        <v>0</v>
      </c>
      <c r="J23" s="22">
        <f>COUNTIFS('3. AI Fit Diagnostic'!$B$8:$B$57,$B23,'3. AI Fit Diagnostic'!$W$8:$W$57,"High")</f>
        <v>0</v>
      </c>
      <c r="K23" s="40" t="str">
        <f>IF(H23=0,"",IF(C23+D23&gt;=MAX(E23,F23,G23),"AI opportunity",IF(F23&gt;=MAX(E23,G23),"Automation is enough",IF(E23&gt;=G23,"Fix data first","Redesign first"))))</f>
        <v/>
      </c>
    </row>
    <row r="24">
      <c r="B24" s="53" t="inlineStr">
        <is>
          <t>Customer service &amp; sales</t>
        </is>
      </c>
      <c r="C24" s="22">
        <f>COUNTIFS('3. AI Fit Diagnostic'!$B$8:$B$57,$B24,'3. AI Fit Diagnostic'!$T$8:$T$57,"AI fit now")</f>
        <v>0</v>
      </c>
      <c r="D24" s="22">
        <f>COUNTIFS('3. AI Fit Diagnostic'!$B$8:$B$57,$B24,'3. AI Fit Diagnostic'!$T$8:$T$57,"Stretch - partner or later stage")</f>
        <v>0</v>
      </c>
      <c r="E24" s="22">
        <f>COUNTIFS('3. AI Fit Diagnostic'!$B$8:$B$57,$B24,'3. AI Fit Diagnostic'!$T$8:$T$57,"AI later - close data gap first")</f>
        <v>0</v>
      </c>
      <c r="F24" s="22">
        <f>COUNTIFS('3. AI Fit Diagnostic'!$B$8:$B$57,$B24,'3. AI Fit Diagnostic'!$T$8:$T$57,"Automate - AI not needed")</f>
        <v>0</v>
      </c>
      <c r="G24" s="22">
        <f>COUNTIFS('3. AI Fit Diagnostic'!$B$8:$B$57,$B24,'3. AI Fit Diagnostic'!$T$8:$T$57,"Redesign / standardise first")</f>
        <v>0</v>
      </c>
      <c r="H24" s="54">
        <f>SUM(C24:G24)</f>
        <v>0</v>
      </c>
      <c r="I24" s="46">
        <f>SUMIF('3. AI Fit Diagnostic'!$B$8:$B$57,$B24,'3. AI Fit Diagnostic'!$AB$8:$AB$57)</f>
        <v>0</v>
      </c>
      <c r="J24" s="22">
        <f>COUNTIFS('3. AI Fit Diagnostic'!$B$8:$B$57,$B24,'3. AI Fit Diagnostic'!$W$8:$W$57,"High")</f>
        <v>0</v>
      </c>
      <c r="K24" s="40" t="str">
        <f>IF(H24=0,"",IF(C24+D24&gt;=MAX(E24,F24,G24),"AI opportunity",IF(F24&gt;=MAX(E24,G24),"Automation is enough",IF(E24&gt;=G24,"Fix data first","Redesign first"))))</f>
        <v/>
      </c>
    </row>
    <row r="25">
      <c r="B25" s="53" t="inlineStr">
        <is>
          <t>Marketing &amp; communications</t>
        </is>
      </c>
      <c r="C25" s="22">
        <f>COUNTIFS('3. AI Fit Diagnostic'!$B$8:$B$57,$B25,'3. AI Fit Diagnostic'!$T$8:$T$57,"AI fit now")</f>
        <v>0</v>
      </c>
      <c r="D25" s="22">
        <f>COUNTIFS('3. AI Fit Diagnostic'!$B$8:$B$57,$B25,'3. AI Fit Diagnostic'!$T$8:$T$57,"Stretch - partner or later stage")</f>
        <v>0</v>
      </c>
      <c r="E25" s="22">
        <f>COUNTIFS('3. AI Fit Diagnostic'!$B$8:$B$57,$B25,'3. AI Fit Diagnostic'!$T$8:$T$57,"AI later - close data gap first")</f>
        <v>0</v>
      </c>
      <c r="F25" s="22">
        <f>COUNTIFS('3. AI Fit Diagnostic'!$B$8:$B$57,$B25,'3. AI Fit Diagnostic'!$T$8:$T$57,"Automate - AI not needed")</f>
        <v>0</v>
      </c>
      <c r="G25" s="22">
        <f>COUNTIFS('3. AI Fit Diagnostic'!$B$8:$B$57,$B25,'3. AI Fit Diagnostic'!$T$8:$T$57,"Redesign / standardise first")</f>
        <v>0</v>
      </c>
      <c r="H25" s="54">
        <f>SUM(C25:G25)</f>
        <v>0</v>
      </c>
      <c r="I25" s="46">
        <f>SUMIF('3. AI Fit Diagnostic'!$B$8:$B$57,$B25,'3. AI Fit Diagnostic'!$AB$8:$AB$57)</f>
        <v>0</v>
      </c>
      <c r="J25" s="22">
        <f>COUNTIFS('3. AI Fit Diagnostic'!$B$8:$B$57,$B25,'3. AI Fit Diagnostic'!$W$8:$W$57,"High")</f>
        <v>0</v>
      </c>
      <c r="K25" s="40" t="str">
        <f>IF(H25=0,"",IF(C25+D25&gt;=MAX(E25,F25,G25),"AI opportunity",IF(F25&gt;=MAX(E25,G25),"Automation is enough",IF(E25&gt;=G25,"Fix data first","Redesign first"))))</f>
        <v/>
      </c>
    </row>
    <row r="26">
      <c r="B26" s="53" t="inlineStr">
        <is>
          <t>Finance &amp; accounting</t>
        </is>
      </c>
      <c r="C26" s="22">
        <f>COUNTIFS('3. AI Fit Diagnostic'!$B$8:$B$57,$B26,'3. AI Fit Diagnostic'!$T$8:$T$57,"AI fit now")</f>
        <v>0</v>
      </c>
      <c r="D26" s="22">
        <f>COUNTIFS('3. AI Fit Diagnostic'!$B$8:$B$57,$B26,'3. AI Fit Diagnostic'!$T$8:$T$57,"Stretch - partner or later stage")</f>
        <v>0</v>
      </c>
      <c r="E26" s="22">
        <f>COUNTIFS('3. AI Fit Diagnostic'!$B$8:$B$57,$B26,'3. AI Fit Diagnostic'!$T$8:$T$57,"AI later - close data gap first")</f>
        <v>0</v>
      </c>
      <c r="F26" s="22">
        <f>COUNTIFS('3. AI Fit Diagnostic'!$B$8:$B$57,$B26,'3. AI Fit Diagnostic'!$T$8:$T$57,"Automate - AI not needed")</f>
        <v>0</v>
      </c>
      <c r="G26" s="22">
        <f>COUNTIFS('3. AI Fit Diagnostic'!$B$8:$B$57,$B26,'3. AI Fit Diagnostic'!$T$8:$T$57,"Redesign / standardise first")</f>
        <v>0</v>
      </c>
      <c r="H26" s="54">
        <f>SUM(C26:G26)</f>
        <v>0</v>
      </c>
      <c r="I26" s="46">
        <f>SUMIF('3. AI Fit Diagnostic'!$B$8:$B$57,$B26,'3. AI Fit Diagnostic'!$AB$8:$AB$57)</f>
        <v>0</v>
      </c>
      <c r="J26" s="22">
        <f>COUNTIFS('3. AI Fit Diagnostic'!$B$8:$B$57,$B26,'3. AI Fit Diagnostic'!$W$8:$W$57,"High")</f>
        <v>0</v>
      </c>
      <c r="K26" s="40" t="str">
        <f>IF(H26=0,"",IF(C26+D26&gt;=MAX(E26,F26,G26),"AI opportunity",IF(F26&gt;=MAX(E26,G26),"Automation is enough",IF(E26&gt;=G26,"Fix data first","Redesign first"))))</f>
        <v/>
      </c>
    </row>
    <row r="27">
      <c r="B27" s="53" t="inlineStr">
        <is>
          <t>HR &amp; people</t>
        </is>
      </c>
      <c r="C27" s="22">
        <f>COUNTIFS('3. AI Fit Diagnostic'!$B$8:$B$57,$B27,'3. AI Fit Diagnostic'!$T$8:$T$57,"AI fit now")</f>
        <v>0</v>
      </c>
      <c r="D27" s="22">
        <f>COUNTIFS('3. AI Fit Diagnostic'!$B$8:$B$57,$B27,'3. AI Fit Diagnostic'!$T$8:$T$57,"Stretch - partner or later stage")</f>
        <v>0</v>
      </c>
      <c r="E27" s="22">
        <f>COUNTIFS('3. AI Fit Diagnostic'!$B$8:$B$57,$B27,'3. AI Fit Diagnostic'!$T$8:$T$57,"AI later - close data gap first")</f>
        <v>0</v>
      </c>
      <c r="F27" s="22">
        <f>COUNTIFS('3. AI Fit Diagnostic'!$B$8:$B$57,$B27,'3. AI Fit Diagnostic'!$T$8:$T$57,"Automate - AI not needed")</f>
        <v>0</v>
      </c>
      <c r="G27" s="22">
        <f>COUNTIFS('3. AI Fit Diagnostic'!$B$8:$B$57,$B27,'3. AI Fit Diagnostic'!$T$8:$T$57,"Redesign / standardise first")</f>
        <v>0</v>
      </c>
      <c r="H27" s="54">
        <f>SUM(C27:G27)</f>
        <v>0</v>
      </c>
      <c r="I27" s="46">
        <f>SUMIF('3. AI Fit Diagnostic'!$B$8:$B$57,$B27,'3. AI Fit Diagnostic'!$AB$8:$AB$57)</f>
        <v>0</v>
      </c>
      <c r="J27" s="22">
        <f>COUNTIFS('3. AI Fit Diagnostic'!$B$8:$B$57,$B27,'3. AI Fit Diagnostic'!$W$8:$W$57,"High")</f>
        <v>0</v>
      </c>
      <c r="K27" s="40" t="str">
        <f>IF(H27=0,"",IF(C27+D27&gt;=MAX(E27,F27,G27),"AI opportunity",IF(F27&gt;=MAX(E27,G27),"Automation is enough",IF(E27&gt;=G27,"Fix data first","Redesign first"))))</f>
        <v/>
      </c>
    </row>
    <row r="28">
      <c r="B28" s="53" t="inlineStr">
        <is>
          <t>Procurement &amp; supply chain</t>
        </is>
      </c>
      <c r="C28" s="22">
        <f>COUNTIFS('3. AI Fit Diagnostic'!$B$8:$B$57,$B28,'3. AI Fit Diagnostic'!$T$8:$T$57,"AI fit now")</f>
        <v>0</v>
      </c>
      <c r="D28" s="22">
        <f>COUNTIFS('3. AI Fit Diagnostic'!$B$8:$B$57,$B28,'3. AI Fit Diagnostic'!$T$8:$T$57,"Stretch - partner or later stage")</f>
        <v>0</v>
      </c>
      <c r="E28" s="22">
        <f>COUNTIFS('3. AI Fit Diagnostic'!$B$8:$B$57,$B28,'3. AI Fit Diagnostic'!$T$8:$T$57,"AI later - close data gap first")</f>
        <v>0</v>
      </c>
      <c r="F28" s="22">
        <f>COUNTIFS('3. AI Fit Diagnostic'!$B$8:$B$57,$B28,'3. AI Fit Diagnostic'!$T$8:$T$57,"Automate - AI not needed")</f>
        <v>0</v>
      </c>
      <c r="G28" s="22">
        <f>COUNTIFS('3. AI Fit Diagnostic'!$B$8:$B$57,$B28,'3. AI Fit Diagnostic'!$T$8:$T$57,"Redesign / standardise first")</f>
        <v>0</v>
      </c>
      <c r="H28" s="54">
        <f>SUM(C28:G28)</f>
        <v>0</v>
      </c>
      <c r="I28" s="46">
        <f>SUMIF('3. AI Fit Diagnostic'!$B$8:$B$57,$B28,'3. AI Fit Diagnostic'!$AB$8:$AB$57)</f>
        <v>0</v>
      </c>
      <c r="J28" s="22">
        <f>COUNTIFS('3. AI Fit Diagnostic'!$B$8:$B$57,$B28,'3. AI Fit Diagnostic'!$W$8:$W$57,"High")</f>
        <v>0</v>
      </c>
      <c r="K28" s="40" t="str">
        <f>IF(H28=0,"",IF(C28+D28&gt;=MAX(E28,F28,G28),"AI opportunity",IF(F28&gt;=MAX(E28,G28),"Automation is enough",IF(E28&gt;=G28,"Fix data first","Redesign first"))))</f>
        <v/>
      </c>
    </row>
    <row r="29">
      <c r="B29" s="53" t="inlineStr">
        <is>
          <t>Risk, compliance &amp; legal</t>
        </is>
      </c>
      <c r="C29" s="22">
        <f>COUNTIFS('3. AI Fit Diagnostic'!$B$8:$B$57,$B29,'3. AI Fit Diagnostic'!$T$8:$T$57,"AI fit now")</f>
        <v>0</v>
      </c>
      <c r="D29" s="22">
        <f>COUNTIFS('3. AI Fit Diagnostic'!$B$8:$B$57,$B29,'3. AI Fit Diagnostic'!$T$8:$T$57,"Stretch - partner or later stage")</f>
        <v>0</v>
      </c>
      <c r="E29" s="22">
        <f>COUNTIFS('3. AI Fit Diagnostic'!$B$8:$B$57,$B29,'3. AI Fit Diagnostic'!$T$8:$T$57,"AI later - close data gap first")</f>
        <v>0</v>
      </c>
      <c r="F29" s="22">
        <f>COUNTIFS('3. AI Fit Diagnostic'!$B$8:$B$57,$B29,'3. AI Fit Diagnostic'!$T$8:$T$57,"Automate - AI not needed")</f>
        <v>0</v>
      </c>
      <c r="G29" s="22">
        <f>COUNTIFS('3. AI Fit Diagnostic'!$B$8:$B$57,$B29,'3. AI Fit Diagnostic'!$T$8:$T$57,"Redesign / standardise first")</f>
        <v>0</v>
      </c>
      <c r="H29" s="54">
        <f>SUM(C29:G29)</f>
        <v>0</v>
      </c>
      <c r="I29" s="46">
        <f>SUMIF('3. AI Fit Diagnostic'!$B$8:$B$57,$B29,'3. AI Fit Diagnostic'!$AB$8:$AB$57)</f>
        <v>0</v>
      </c>
      <c r="J29" s="22">
        <f>COUNTIFS('3. AI Fit Diagnostic'!$B$8:$B$57,$B29,'3. AI Fit Diagnostic'!$W$8:$W$57,"High")</f>
        <v>0</v>
      </c>
      <c r="K29" s="40" t="str">
        <f>IF(H29=0,"",IF(C29+D29&gt;=MAX(E29,F29,G29),"AI opportunity",IF(F29&gt;=MAX(E29,G29),"Automation is enough",IF(E29&gt;=G29,"Fix data first","Redesign first"))))</f>
        <v/>
      </c>
    </row>
    <row r="30">
      <c r="B30" s="53" t="inlineStr">
        <is>
          <t>IT &amp; security</t>
        </is>
      </c>
      <c r="C30" s="22">
        <f>COUNTIFS('3. AI Fit Diagnostic'!$B$8:$B$57,$B30,'3. AI Fit Diagnostic'!$T$8:$T$57,"AI fit now")</f>
        <v>0</v>
      </c>
      <c r="D30" s="22">
        <f>COUNTIFS('3. AI Fit Diagnostic'!$B$8:$B$57,$B30,'3. AI Fit Diagnostic'!$T$8:$T$57,"Stretch - partner or later stage")</f>
        <v>0</v>
      </c>
      <c r="E30" s="22">
        <f>COUNTIFS('3. AI Fit Diagnostic'!$B$8:$B$57,$B30,'3. AI Fit Diagnostic'!$T$8:$T$57,"AI later - close data gap first")</f>
        <v>0</v>
      </c>
      <c r="F30" s="22">
        <f>COUNTIFS('3. AI Fit Diagnostic'!$B$8:$B$57,$B30,'3. AI Fit Diagnostic'!$T$8:$T$57,"Automate - AI not needed")</f>
        <v>0</v>
      </c>
      <c r="G30" s="22">
        <f>COUNTIFS('3. AI Fit Diagnostic'!$B$8:$B$57,$B30,'3. AI Fit Diagnostic'!$T$8:$T$57,"Redesign / standardise first")</f>
        <v>0</v>
      </c>
      <c r="H30" s="54">
        <f>SUM(C30:G30)</f>
        <v>0</v>
      </c>
      <c r="I30" s="46">
        <f>SUMIF('3. AI Fit Diagnostic'!$B$8:$B$57,$B30,'3. AI Fit Diagnostic'!$AB$8:$AB$57)</f>
        <v>0</v>
      </c>
      <c r="J30" s="22">
        <f>COUNTIFS('3. AI Fit Diagnostic'!$B$8:$B$57,$B30,'3. AI Fit Diagnostic'!$W$8:$W$57,"High")</f>
        <v>0</v>
      </c>
      <c r="K30" s="40" t="str">
        <f>IF(H30=0,"",IF(C30+D30&gt;=MAX(E30,F30,G30),"AI opportunity",IF(F30&gt;=MAX(E30,G30),"Automation is enough",IF(E30&gt;=G30,"Fix data first","Redesign first"))))</f>
        <v/>
      </c>
    </row>
    <row r="31">
      <c r="B31" s="53" t="inlineStr">
        <is>
          <t>Management &amp; reporting</t>
        </is>
      </c>
      <c r="C31" s="22">
        <f>COUNTIFS('3. AI Fit Diagnostic'!$B$8:$B$57,$B31,'3. AI Fit Diagnostic'!$T$8:$T$57,"AI fit now")</f>
        <v>0</v>
      </c>
      <c r="D31" s="22">
        <f>COUNTIFS('3. AI Fit Diagnostic'!$B$8:$B$57,$B31,'3. AI Fit Diagnostic'!$T$8:$T$57,"Stretch - partner or later stage")</f>
        <v>0</v>
      </c>
      <c r="E31" s="22">
        <f>COUNTIFS('3. AI Fit Diagnostic'!$B$8:$B$57,$B31,'3. AI Fit Diagnostic'!$T$8:$T$57,"AI later - close data gap first")</f>
        <v>0</v>
      </c>
      <c r="F31" s="22">
        <f>COUNTIFS('3. AI Fit Diagnostic'!$B$8:$B$57,$B31,'3. AI Fit Diagnostic'!$T$8:$T$57,"Automate - AI not needed")</f>
        <v>0</v>
      </c>
      <c r="G31" s="22">
        <f>COUNTIFS('3. AI Fit Diagnostic'!$B$8:$B$57,$B31,'3. AI Fit Diagnostic'!$T$8:$T$57,"Redesign / standardise first")</f>
        <v>0</v>
      </c>
      <c r="H31" s="54">
        <f>SUM(C31:G31)</f>
        <v>0</v>
      </c>
      <c r="I31" s="46">
        <f>SUMIF('3. AI Fit Diagnostic'!$B$8:$B$57,$B31,'3. AI Fit Diagnostic'!$AB$8:$AB$57)</f>
        <v>0</v>
      </c>
      <c r="J31" s="22">
        <f>COUNTIFS('3. AI Fit Diagnostic'!$B$8:$B$57,$B31,'3. AI Fit Diagnostic'!$W$8:$W$57,"High")</f>
        <v>0</v>
      </c>
      <c r="K31" s="40" t="str">
        <f>IF(H31=0,"",IF(C31+D31&gt;=MAX(E31,F31,G31),"AI opportunity",IF(F31&gt;=MAX(E31,G31),"Automation is enough",IF(E31&gt;=G31,"Fix data first","Redesign first"))))</f>
        <v/>
      </c>
    </row>
    <row r="32">
      <c r="B32" s="53" t="inlineStr">
        <is>
          <t>Knowledge &amp; collaboration</t>
        </is>
      </c>
      <c r="C32" s="22">
        <f>COUNTIFS('3. AI Fit Diagnostic'!$B$8:$B$57,$B32,'3. AI Fit Diagnostic'!$T$8:$T$57,"AI fit now")</f>
        <v>0</v>
      </c>
      <c r="D32" s="22">
        <f>COUNTIFS('3. AI Fit Diagnostic'!$B$8:$B$57,$B32,'3. AI Fit Diagnostic'!$T$8:$T$57,"Stretch - partner or later stage")</f>
        <v>0</v>
      </c>
      <c r="E32" s="22">
        <f>COUNTIFS('3. AI Fit Diagnostic'!$B$8:$B$57,$B32,'3. AI Fit Diagnostic'!$T$8:$T$57,"AI later - close data gap first")</f>
        <v>0</v>
      </c>
      <c r="F32" s="22">
        <f>COUNTIFS('3. AI Fit Diagnostic'!$B$8:$B$57,$B32,'3. AI Fit Diagnostic'!$T$8:$T$57,"Automate - AI not needed")</f>
        <v>0</v>
      </c>
      <c r="G32" s="22">
        <f>COUNTIFS('3. AI Fit Diagnostic'!$B$8:$B$57,$B32,'3. AI Fit Diagnostic'!$T$8:$T$57,"Redesign / standardise first")</f>
        <v>0</v>
      </c>
      <c r="H32" s="54">
        <f>SUM(C32:G32)</f>
        <v>0</v>
      </c>
      <c r="I32" s="46">
        <f>SUMIF('3. AI Fit Diagnostic'!$B$8:$B$57,$B32,'3. AI Fit Diagnostic'!$AB$8:$AB$57)</f>
        <v>0</v>
      </c>
      <c r="J32" s="22">
        <f>COUNTIFS('3. AI Fit Diagnostic'!$B$8:$B$57,$B32,'3. AI Fit Diagnostic'!$W$8:$W$57,"High")</f>
        <v>0</v>
      </c>
      <c r="K32" s="40" t="str">
        <f>IF(H32=0,"",IF(C32+D32&gt;=MAX(E32,F32,G32),"AI opportunity",IF(F32&gt;=MAX(E32,G32),"Automation is enough",IF(E32&gt;=G32,"Fix data first","Redesign first"))))</f>
        <v/>
      </c>
    </row>
    <row r="33">
      <c r="B33" s="4" t="inlineStr">
        <is>
          <t>Total</t>
        </is>
      </c>
      <c r="C33" s="11">
        <f>SUM(C23:C32)</f>
        <v>0</v>
      </c>
      <c r="D33" s="11">
        <f>SUM(D23:D32)</f>
        <v>0</v>
      </c>
      <c r="E33" s="11">
        <f>SUM(E23:E32)</f>
        <v>0</v>
      </c>
      <c r="F33" s="11">
        <f>SUM(F23:F32)</f>
        <v>0</v>
      </c>
      <c r="G33" s="11">
        <f>SUM(G23:G32)</f>
        <v>0</v>
      </c>
      <c r="H33" s="11">
        <f>SUM(H23:H32)</f>
        <v>0</v>
      </c>
      <c r="I33" s="51">
        <f>SUM(I23:I32)</f>
        <v>0</v>
      </c>
      <c r="J33" s="11">
        <f>SUM(J23:J32)</f>
        <v>0</v>
      </c>
      <c r="K33" s="6" t="inlineStr"/>
    </row>
    <row r="55" ht="22" customHeight="1">
      <c r="A55" s="3" t="inlineStr">
        <is>
          <t>D. TOP 10 OPPORTUNITIES (risk-adjusted priority)</t>
        </is>
      </c>
    </row>
    <row r="56" ht="24" customHeight="1">
      <c r="A56" s="33" t="inlineStr">
        <is>
          <t>Rank</t>
        </is>
      </c>
      <c r="B56" s="33" t="inlineStr">
        <is>
          <t>Process / activity</t>
        </is>
      </c>
      <c r="C56" s="33" t="inlineStr">
        <is>
          <t>Function</t>
        </is>
      </c>
      <c r="D56" s="33" t="inlineStr">
        <is>
          <t>Solution family</t>
        </is>
      </c>
      <c r="E56" s="43" t="n"/>
      <c r="F56" s="33" t="inlineStr">
        <is>
          <t>Verdict</t>
        </is>
      </c>
      <c r="G56" s="43" t="n"/>
      <c r="H56" s="33" t="inlineStr">
        <is>
          <t>Value</t>
        </is>
      </c>
      <c r="I56" s="33" t="inlineStr">
        <is>
          <t>Feasibility</t>
        </is>
      </c>
      <c r="J56" s="33" t="inlineStr">
        <is>
          <t>Risk tier</t>
        </is>
      </c>
      <c r="K56" s="33" t="inlineStr">
        <is>
          <t>Horizon</t>
        </is>
      </c>
    </row>
    <row r="57" ht="36" customHeight="1">
      <c r="A57" s="11" t="n">
        <v>1</v>
      </c>
      <c r="B57" s="55" t="str">
        <f>IFERROR(INDEX('3. AI Fit Diagnostic'!$C$8:$C$57,MATCH(1,'3. AI Fit Diagnostic'!$Z$8:$Z$57,0)),"")</f>
        <v/>
      </c>
      <c r="C57" s="56" t="str">
        <f>IFERROR(INDEX('3. AI Fit Diagnostic'!$B$8:$B$57,MATCH(1,'3. AI Fit Diagnostic'!$Z$8:$Z$57,0)),"")</f>
        <v/>
      </c>
      <c r="D57" s="24" t="str">
        <f>IFERROR(INDEX('3. AI Fit Diagnostic'!$O$8:$O$57,MATCH(1,'3. AI Fit Diagnostic'!$Z$8:$Z$57,0)),"")</f>
        <v/>
      </c>
      <c r="E57" s="15" t="n"/>
      <c r="F57" s="55" t="str">
        <f>IFERROR(INDEX('3. AI Fit Diagnostic'!$T$8:$T$57,MATCH(1,'3. AI Fit Diagnostic'!$Z$8:$Z$57,0)),"")</f>
        <v/>
      </c>
      <c r="G57" s="15" t="n"/>
      <c r="H57" s="57" t="str">
        <f>IFERROR(INDEX('3. AI Fit Diagnostic'!$U$8:$U$57,MATCH(1,'3. AI Fit Diagnostic'!$Z$8:$Z$57,0)),"")</f>
        <v/>
      </c>
      <c r="I57" s="57" t="str">
        <f>IFERROR(INDEX('3. AI Fit Diagnostic'!$V$8:$V$57,MATCH(1,'3. AI Fit Diagnostic'!$Z$8:$Z$57,0)),"")</f>
        <v/>
      </c>
      <c r="J57" s="22" t="str">
        <f>IFERROR(INDEX('3. AI Fit Diagnostic'!$W$8:$W$57,MATCH(1,'3. AI Fit Diagnostic'!$Z$8:$Z$57,0)),"")</f>
        <v/>
      </c>
      <c r="K57" s="24" t="str">
        <f>IFERROR(INDEX('3. AI Fit Diagnostic'!$AA$8:$AA$57,MATCH(1,'3. AI Fit Diagnostic'!$Z$8:$Z$57,0)),"")</f>
        <v/>
      </c>
    </row>
    <row r="58" ht="36" customHeight="1">
      <c r="A58" s="11" t="n">
        <v>2</v>
      </c>
      <c r="B58" s="55" t="str">
        <f>IFERROR(INDEX('3. AI Fit Diagnostic'!$C$8:$C$57,MATCH(2,'3. AI Fit Diagnostic'!$Z$8:$Z$57,0)),"")</f>
        <v/>
      </c>
      <c r="C58" s="56" t="str">
        <f>IFERROR(INDEX('3. AI Fit Diagnostic'!$B$8:$B$57,MATCH(2,'3. AI Fit Diagnostic'!$Z$8:$Z$57,0)),"")</f>
        <v/>
      </c>
      <c r="D58" s="24" t="str">
        <f>IFERROR(INDEX('3. AI Fit Diagnostic'!$O$8:$O$57,MATCH(2,'3. AI Fit Diagnostic'!$Z$8:$Z$57,0)),"")</f>
        <v/>
      </c>
      <c r="E58" s="15" t="n"/>
      <c r="F58" s="55" t="str">
        <f>IFERROR(INDEX('3. AI Fit Diagnostic'!$T$8:$T$57,MATCH(2,'3. AI Fit Diagnostic'!$Z$8:$Z$57,0)),"")</f>
        <v/>
      </c>
      <c r="G58" s="15" t="n"/>
      <c r="H58" s="57" t="str">
        <f>IFERROR(INDEX('3. AI Fit Diagnostic'!$U$8:$U$57,MATCH(2,'3. AI Fit Diagnostic'!$Z$8:$Z$57,0)),"")</f>
        <v/>
      </c>
      <c r="I58" s="57" t="str">
        <f>IFERROR(INDEX('3. AI Fit Diagnostic'!$V$8:$V$57,MATCH(2,'3. AI Fit Diagnostic'!$Z$8:$Z$57,0)),"")</f>
        <v/>
      </c>
      <c r="J58" s="22" t="str">
        <f>IFERROR(INDEX('3. AI Fit Diagnostic'!$W$8:$W$57,MATCH(2,'3. AI Fit Diagnostic'!$Z$8:$Z$57,0)),"")</f>
        <v/>
      </c>
      <c r="K58" s="24" t="str">
        <f>IFERROR(INDEX('3. AI Fit Diagnostic'!$AA$8:$AA$57,MATCH(2,'3. AI Fit Diagnostic'!$Z$8:$Z$57,0)),"")</f>
        <v/>
      </c>
    </row>
    <row r="59" ht="36" customHeight="1">
      <c r="A59" s="11" t="n">
        <v>3</v>
      </c>
      <c r="B59" s="55" t="str">
        <f>IFERROR(INDEX('3. AI Fit Diagnostic'!$C$8:$C$57,MATCH(3,'3. AI Fit Diagnostic'!$Z$8:$Z$57,0)),"")</f>
        <v/>
      </c>
      <c r="C59" s="56" t="str">
        <f>IFERROR(INDEX('3. AI Fit Diagnostic'!$B$8:$B$57,MATCH(3,'3. AI Fit Diagnostic'!$Z$8:$Z$57,0)),"")</f>
        <v/>
      </c>
      <c r="D59" s="24" t="str">
        <f>IFERROR(INDEX('3. AI Fit Diagnostic'!$O$8:$O$57,MATCH(3,'3. AI Fit Diagnostic'!$Z$8:$Z$57,0)),"")</f>
        <v/>
      </c>
      <c r="E59" s="15" t="n"/>
      <c r="F59" s="55" t="str">
        <f>IFERROR(INDEX('3. AI Fit Diagnostic'!$T$8:$T$57,MATCH(3,'3. AI Fit Diagnostic'!$Z$8:$Z$57,0)),"")</f>
        <v/>
      </c>
      <c r="G59" s="15" t="n"/>
      <c r="H59" s="57" t="str">
        <f>IFERROR(INDEX('3. AI Fit Diagnostic'!$U$8:$U$57,MATCH(3,'3. AI Fit Diagnostic'!$Z$8:$Z$57,0)),"")</f>
        <v/>
      </c>
      <c r="I59" s="57" t="str">
        <f>IFERROR(INDEX('3. AI Fit Diagnostic'!$V$8:$V$57,MATCH(3,'3. AI Fit Diagnostic'!$Z$8:$Z$57,0)),"")</f>
        <v/>
      </c>
      <c r="J59" s="22" t="str">
        <f>IFERROR(INDEX('3. AI Fit Diagnostic'!$W$8:$W$57,MATCH(3,'3. AI Fit Diagnostic'!$Z$8:$Z$57,0)),"")</f>
        <v/>
      </c>
      <c r="K59" s="24" t="str">
        <f>IFERROR(INDEX('3. AI Fit Diagnostic'!$AA$8:$AA$57,MATCH(3,'3. AI Fit Diagnostic'!$Z$8:$Z$57,0)),"")</f>
        <v/>
      </c>
    </row>
    <row r="60" ht="36" customHeight="1">
      <c r="A60" s="11" t="n">
        <v>4</v>
      </c>
      <c r="B60" s="55" t="str">
        <f>IFERROR(INDEX('3. AI Fit Diagnostic'!$C$8:$C$57,MATCH(4,'3. AI Fit Diagnostic'!$Z$8:$Z$57,0)),"")</f>
        <v/>
      </c>
      <c r="C60" s="56" t="str">
        <f>IFERROR(INDEX('3. AI Fit Diagnostic'!$B$8:$B$57,MATCH(4,'3. AI Fit Diagnostic'!$Z$8:$Z$57,0)),"")</f>
        <v/>
      </c>
      <c r="D60" s="24" t="str">
        <f>IFERROR(INDEX('3. AI Fit Diagnostic'!$O$8:$O$57,MATCH(4,'3. AI Fit Diagnostic'!$Z$8:$Z$57,0)),"")</f>
        <v/>
      </c>
      <c r="E60" s="15" t="n"/>
      <c r="F60" s="55" t="str">
        <f>IFERROR(INDEX('3. AI Fit Diagnostic'!$T$8:$T$57,MATCH(4,'3. AI Fit Diagnostic'!$Z$8:$Z$57,0)),"")</f>
        <v/>
      </c>
      <c r="G60" s="15" t="n"/>
      <c r="H60" s="57" t="str">
        <f>IFERROR(INDEX('3. AI Fit Diagnostic'!$U$8:$U$57,MATCH(4,'3. AI Fit Diagnostic'!$Z$8:$Z$57,0)),"")</f>
        <v/>
      </c>
      <c r="I60" s="57" t="str">
        <f>IFERROR(INDEX('3. AI Fit Diagnostic'!$V$8:$V$57,MATCH(4,'3. AI Fit Diagnostic'!$Z$8:$Z$57,0)),"")</f>
        <v/>
      </c>
      <c r="J60" s="22" t="str">
        <f>IFERROR(INDEX('3. AI Fit Diagnostic'!$W$8:$W$57,MATCH(4,'3. AI Fit Diagnostic'!$Z$8:$Z$57,0)),"")</f>
        <v/>
      </c>
      <c r="K60" s="24" t="str">
        <f>IFERROR(INDEX('3. AI Fit Diagnostic'!$AA$8:$AA$57,MATCH(4,'3. AI Fit Diagnostic'!$Z$8:$Z$57,0)),"")</f>
        <v/>
      </c>
    </row>
    <row r="61" ht="36" customHeight="1">
      <c r="A61" s="11" t="n">
        <v>5</v>
      </c>
      <c r="B61" s="55" t="str">
        <f>IFERROR(INDEX('3. AI Fit Diagnostic'!$C$8:$C$57,MATCH(5,'3. AI Fit Diagnostic'!$Z$8:$Z$57,0)),"")</f>
        <v/>
      </c>
      <c r="C61" s="56" t="str">
        <f>IFERROR(INDEX('3. AI Fit Diagnostic'!$B$8:$B$57,MATCH(5,'3. AI Fit Diagnostic'!$Z$8:$Z$57,0)),"")</f>
        <v/>
      </c>
      <c r="D61" s="24" t="str">
        <f>IFERROR(INDEX('3. AI Fit Diagnostic'!$O$8:$O$57,MATCH(5,'3. AI Fit Diagnostic'!$Z$8:$Z$57,0)),"")</f>
        <v/>
      </c>
      <c r="E61" s="15" t="n"/>
      <c r="F61" s="55" t="str">
        <f>IFERROR(INDEX('3. AI Fit Diagnostic'!$T$8:$T$57,MATCH(5,'3. AI Fit Diagnostic'!$Z$8:$Z$57,0)),"")</f>
        <v/>
      </c>
      <c r="G61" s="15" t="n"/>
      <c r="H61" s="57" t="str">
        <f>IFERROR(INDEX('3. AI Fit Diagnostic'!$U$8:$U$57,MATCH(5,'3. AI Fit Diagnostic'!$Z$8:$Z$57,0)),"")</f>
        <v/>
      </c>
      <c r="I61" s="57" t="str">
        <f>IFERROR(INDEX('3. AI Fit Diagnostic'!$V$8:$V$57,MATCH(5,'3. AI Fit Diagnostic'!$Z$8:$Z$57,0)),"")</f>
        <v/>
      </c>
      <c r="J61" s="22" t="str">
        <f>IFERROR(INDEX('3. AI Fit Diagnostic'!$W$8:$W$57,MATCH(5,'3. AI Fit Diagnostic'!$Z$8:$Z$57,0)),"")</f>
        <v/>
      </c>
      <c r="K61" s="24" t="str">
        <f>IFERROR(INDEX('3. AI Fit Diagnostic'!$AA$8:$AA$57,MATCH(5,'3. AI Fit Diagnostic'!$Z$8:$Z$57,0)),"")</f>
        <v/>
      </c>
    </row>
    <row r="62" ht="36" customHeight="1">
      <c r="A62" s="11" t="n">
        <v>6</v>
      </c>
      <c r="B62" s="55" t="str">
        <f>IFERROR(INDEX('3. AI Fit Diagnostic'!$C$8:$C$57,MATCH(6,'3. AI Fit Diagnostic'!$Z$8:$Z$57,0)),"")</f>
        <v/>
      </c>
      <c r="C62" s="56" t="str">
        <f>IFERROR(INDEX('3. AI Fit Diagnostic'!$B$8:$B$57,MATCH(6,'3. AI Fit Diagnostic'!$Z$8:$Z$57,0)),"")</f>
        <v/>
      </c>
      <c r="D62" s="24" t="str">
        <f>IFERROR(INDEX('3. AI Fit Diagnostic'!$O$8:$O$57,MATCH(6,'3. AI Fit Diagnostic'!$Z$8:$Z$57,0)),"")</f>
        <v/>
      </c>
      <c r="E62" s="15" t="n"/>
      <c r="F62" s="55" t="str">
        <f>IFERROR(INDEX('3. AI Fit Diagnostic'!$T$8:$T$57,MATCH(6,'3. AI Fit Diagnostic'!$Z$8:$Z$57,0)),"")</f>
        <v/>
      </c>
      <c r="G62" s="15" t="n"/>
      <c r="H62" s="57" t="str">
        <f>IFERROR(INDEX('3. AI Fit Diagnostic'!$U$8:$U$57,MATCH(6,'3. AI Fit Diagnostic'!$Z$8:$Z$57,0)),"")</f>
        <v/>
      </c>
      <c r="I62" s="57" t="str">
        <f>IFERROR(INDEX('3. AI Fit Diagnostic'!$V$8:$V$57,MATCH(6,'3. AI Fit Diagnostic'!$Z$8:$Z$57,0)),"")</f>
        <v/>
      </c>
      <c r="J62" s="22" t="str">
        <f>IFERROR(INDEX('3. AI Fit Diagnostic'!$W$8:$W$57,MATCH(6,'3. AI Fit Diagnostic'!$Z$8:$Z$57,0)),"")</f>
        <v/>
      </c>
      <c r="K62" s="24" t="str">
        <f>IFERROR(INDEX('3. AI Fit Diagnostic'!$AA$8:$AA$57,MATCH(6,'3. AI Fit Diagnostic'!$Z$8:$Z$57,0)),"")</f>
        <v/>
      </c>
    </row>
    <row r="63" ht="36" customHeight="1">
      <c r="A63" s="11" t="n">
        <v>7</v>
      </c>
      <c r="B63" s="55" t="str">
        <f>IFERROR(INDEX('3. AI Fit Diagnostic'!$C$8:$C$57,MATCH(7,'3. AI Fit Diagnostic'!$Z$8:$Z$57,0)),"")</f>
        <v/>
      </c>
      <c r="C63" s="56" t="str">
        <f>IFERROR(INDEX('3. AI Fit Diagnostic'!$B$8:$B$57,MATCH(7,'3. AI Fit Diagnostic'!$Z$8:$Z$57,0)),"")</f>
        <v/>
      </c>
      <c r="D63" s="24" t="str">
        <f>IFERROR(INDEX('3. AI Fit Diagnostic'!$O$8:$O$57,MATCH(7,'3. AI Fit Diagnostic'!$Z$8:$Z$57,0)),"")</f>
        <v/>
      </c>
      <c r="E63" s="15" t="n"/>
      <c r="F63" s="55" t="str">
        <f>IFERROR(INDEX('3. AI Fit Diagnostic'!$T$8:$T$57,MATCH(7,'3. AI Fit Diagnostic'!$Z$8:$Z$57,0)),"")</f>
        <v/>
      </c>
      <c r="G63" s="15" t="n"/>
      <c r="H63" s="57" t="str">
        <f>IFERROR(INDEX('3. AI Fit Diagnostic'!$U$8:$U$57,MATCH(7,'3. AI Fit Diagnostic'!$Z$8:$Z$57,0)),"")</f>
        <v/>
      </c>
      <c r="I63" s="57" t="str">
        <f>IFERROR(INDEX('3. AI Fit Diagnostic'!$V$8:$V$57,MATCH(7,'3. AI Fit Diagnostic'!$Z$8:$Z$57,0)),"")</f>
        <v/>
      </c>
      <c r="J63" s="22" t="str">
        <f>IFERROR(INDEX('3. AI Fit Diagnostic'!$W$8:$W$57,MATCH(7,'3. AI Fit Diagnostic'!$Z$8:$Z$57,0)),"")</f>
        <v/>
      </c>
      <c r="K63" s="24" t="str">
        <f>IFERROR(INDEX('3. AI Fit Diagnostic'!$AA$8:$AA$57,MATCH(7,'3. AI Fit Diagnostic'!$Z$8:$Z$57,0)),"")</f>
        <v/>
      </c>
    </row>
    <row r="64" ht="36" customHeight="1">
      <c r="A64" s="11" t="n">
        <v>8</v>
      </c>
      <c r="B64" s="55" t="str">
        <f>IFERROR(INDEX('3. AI Fit Diagnostic'!$C$8:$C$57,MATCH(8,'3. AI Fit Diagnostic'!$Z$8:$Z$57,0)),"")</f>
        <v/>
      </c>
      <c r="C64" s="56" t="str">
        <f>IFERROR(INDEX('3. AI Fit Diagnostic'!$B$8:$B$57,MATCH(8,'3. AI Fit Diagnostic'!$Z$8:$Z$57,0)),"")</f>
        <v/>
      </c>
      <c r="D64" s="24" t="str">
        <f>IFERROR(INDEX('3. AI Fit Diagnostic'!$O$8:$O$57,MATCH(8,'3. AI Fit Diagnostic'!$Z$8:$Z$57,0)),"")</f>
        <v/>
      </c>
      <c r="E64" s="15" t="n"/>
      <c r="F64" s="55" t="str">
        <f>IFERROR(INDEX('3. AI Fit Diagnostic'!$T$8:$T$57,MATCH(8,'3. AI Fit Diagnostic'!$Z$8:$Z$57,0)),"")</f>
        <v/>
      </c>
      <c r="G64" s="15" t="n"/>
      <c r="H64" s="57" t="str">
        <f>IFERROR(INDEX('3. AI Fit Diagnostic'!$U$8:$U$57,MATCH(8,'3. AI Fit Diagnostic'!$Z$8:$Z$57,0)),"")</f>
        <v/>
      </c>
      <c r="I64" s="57" t="str">
        <f>IFERROR(INDEX('3. AI Fit Diagnostic'!$V$8:$V$57,MATCH(8,'3. AI Fit Diagnostic'!$Z$8:$Z$57,0)),"")</f>
        <v/>
      </c>
      <c r="J64" s="22" t="str">
        <f>IFERROR(INDEX('3. AI Fit Diagnostic'!$W$8:$W$57,MATCH(8,'3. AI Fit Diagnostic'!$Z$8:$Z$57,0)),"")</f>
        <v/>
      </c>
      <c r="K64" s="24" t="str">
        <f>IFERROR(INDEX('3. AI Fit Diagnostic'!$AA$8:$AA$57,MATCH(8,'3. AI Fit Diagnostic'!$Z$8:$Z$57,0)),"")</f>
        <v/>
      </c>
    </row>
    <row r="65" ht="36" customHeight="1">
      <c r="A65" s="11" t="n">
        <v>9</v>
      </c>
      <c r="B65" s="55" t="str">
        <f>IFERROR(INDEX('3. AI Fit Diagnostic'!$C$8:$C$57,MATCH(9,'3. AI Fit Diagnostic'!$Z$8:$Z$57,0)),"")</f>
        <v/>
      </c>
      <c r="C65" s="56" t="str">
        <f>IFERROR(INDEX('3. AI Fit Diagnostic'!$B$8:$B$57,MATCH(9,'3. AI Fit Diagnostic'!$Z$8:$Z$57,0)),"")</f>
        <v/>
      </c>
      <c r="D65" s="24" t="str">
        <f>IFERROR(INDEX('3. AI Fit Diagnostic'!$O$8:$O$57,MATCH(9,'3. AI Fit Diagnostic'!$Z$8:$Z$57,0)),"")</f>
        <v/>
      </c>
      <c r="E65" s="15" t="n"/>
      <c r="F65" s="55" t="str">
        <f>IFERROR(INDEX('3. AI Fit Diagnostic'!$T$8:$T$57,MATCH(9,'3. AI Fit Diagnostic'!$Z$8:$Z$57,0)),"")</f>
        <v/>
      </c>
      <c r="G65" s="15" t="n"/>
      <c r="H65" s="57" t="str">
        <f>IFERROR(INDEX('3. AI Fit Diagnostic'!$U$8:$U$57,MATCH(9,'3. AI Fit Diagnostic'!$Z$8:$Z$57,0)),"")</f>
        <v/>
      </c>
      <c r="I65" s="57" t="str">
        <f>IFERROR(INDEX('3. AI Fit Diagnostic'!$V$8:$V$57,MATCH(9,'3. AI Fit Diagnostic'!$Z$8:$Z$57,0)),"")</f>
        <v/>
      </c>
      <c r="J65" s="22" t="str">
        <f>IFERROR(INDEX('3. AI Fit Diagnostic'!$W$8:$W$57,MATCH(9,'3. AI Fit Diagnostic'!$Z$8:$Z$57,0)),"")</f>
        <v/>
      </c>
      <c r="K65" s="24" t="str">
        <f>IFERROR(INDEX('3. AI Fit Diagnostic'!$AA$8:$AA$57,MATCH(9,'3. AI Fit Diagnostic'!$Z$8:$Z$57,0)),"")</f>
        <v/>
      </c>
    </row>
    <row r="66" ht="36" customHeight="1">
      <c r="A66" s="11" t="n">
        <v>10</v>
      </c>
      <c r="B66" s="55" t="str">
        <f>IFERROR(INDEX('3. AI Fit Diagnostic'!$C$8:$C$57,MATCH(10,'3. AI Fit Diagnostic'!$Z$8:$Z$57,0)),"")</f>
        <v/>
      </c>
      <c r="C66" s="56" t="str">
        <f>IFERROR(INDEX('3. AI Fit Diagnostic'!$B$8:$B$57,MATCH(10,'3. AI Fit Diagnostic'!$Z$8:$Z$57,0)),"")</f>
        <v/>
      </c>
      <c r="D66" s="24" t="str">
        <f>IFERROR(INDEX('3. AI Fit Diagnostic'!$O$8:$O$57,MATCH(10,'3. AI Fit Diagnostic'!$Z$8:$Z$57,0)),"")</f>
        <v/>
      </c>
      <c r="E66" s="15" t="n"/>
      <c r="F66" s="55" t="str">
        <f>IFERROR(INDEX('3. AI Fit Diagnostic'!$T$8:$T$57,MATCH(10,'3. AI Fit Diagnostic'!$Z$8:$Z$57,0)),"")</f>
        <v/>
      </c>
      <c r="G66" s="15" t="n"/>
      <c r="H66" s="57" t="str">
        <f>IFERROR(INDEX('3. AI Fit Diagnostic'!$U$8:$U$57,MATCH(10,'3. AI Fit Diagnostic'!$Z$8:$Z$57,0)),"")</f>
        <v/>
      </c>
      <c r="I66" s="57" t="str">
        <f>IFERROR(INDEX('3. AI Fit Diagnostic'!$V$8:$V$57,MATCH(10,'3. AI Fit Diagnostic'!$Z$8:$Z$57,0)),"")</f>
        <v/>
      </c>
      <c r="J66" s="22" t="str">
        <f>IFERROR(INDEX('3. AI Fit Diagnostic'!$W$8:$W$57,MATCH(10,'3. AI Fit Diagnostic'!$Z$8:$Z$57,0)),"")</f>
        <v/>
      </c>
      <c r="K66" s="24" t="str">
        <f>IFERROR(INDEX('3. AI Fit Diagnostic'!$AA$8:$AA$57,MATCH(10,'3. AI Fit Diagnostic'!$Z$8:$Z$57,0)),"")</f>
        <v/>
      </c>
    </row>
    <row r="68" ht="28" customHeight="1">
      <c r="A68" s="58" t="inlineStr">
        <is>
          <t>Value and feasibility scored 1-5 (sheet 3). Hours released are indicative (effort x typical reduction for the solution family) and must be validated in the business case. Risk tiers are inherent (before controls) - see the Use-Case Canvas for minimum controls.</t>
        </is>
      </c>
      <c r="B68" s="15" t="n"/>
      <c r="C68" s="15" t="n"/>
      <c r="D68" s="15" t="n"/>
      <c r="E68" s="15" t="n"/>
      <c r="F68" s="15" t="n"/>
      <c r="G68" s="15" t="n"/>
      <c r="H68" s="15" t="n"/>
      <c r="I68" s="15" t="n"/>
      <c r="J68" s="15" t="n"/>
      <c r="K68" s="15" t="n"/>
    </row>
  </sheetData>
  <mergeCells count="46">
    <mergeCell ref="D60:E60"/>
    <mergeCell ref="G12:K12"/>
    <mergeCell ref="D63:E63"/>
    <mergeCell ref="F63:G63"/>
    <mergeCell ref="F65:G65"/>
    <mergeCell ref="C9:K9"/>
    <mergeCell ref="A11:K11"/>
    <mergeCell ref="F17:K17"/>
    <mergeCell ref="A1:K1"/>
    <mergeCell ref="A6:B6"/>
    <mergeCell ref="D65:E65"/>
    <mergeCell ref="F59:G59"/>
    <mergeCell ref="A7:B7"/>
    <mergeCell ref="D57:E57"/>
    <mergeCell ref="F13:K13"/>
    <mergeCell ref="D61:E61"/>
    <mergeCell ref="C8:K8"/>
    <mergeCell ref="D66:E66"/>
    <mergeCell ref="F66:G66"/>
    <mergeCell ref="C7:K7"/>
    <mergeCell ref="F62:G62"/>
    <mergeCell ref="A21:K21"/>
    <mergeCell ref="A55:K55"/>
    <mergeCell ref="F14:K14"/>
    <mergeCell ref="A5:B5"/>
    <mergeCell ref="A2:K2"/>
    <mergeCell ref="D62:E62"/>
    <mergeCell ref="D56:E56"/>
    <mergeCell ref="D58:E58"/>
    <mergeCell ref="A8:B8"/>
    <mergeCell ref="F56:G56"/>
    <mergeCell ref="F58:G58"/>
    <mergeCell ref="C6:K6"/>
    <mergeCell ref="F61:G61"/>
    <mergeCell ref="A4:K4"/>
    <mergeCell ref="F16:K16"/>
    <mergeCell ref="C5:K5"/>
    <mergeCell ref="D64:E64"/>
    <mergeCell ref="F60:G60"/>
    <mergeCell ref="A68:K68"/>
    <mergeCell ref="A9:B9"/>
    <mergeCell ref="B19:K19"/>
    <mergeCell ref="F57:G57"/>
    <mergeCell ref="D59:E59"/>
    <mergeCell ref="F64:G64"/>
    <mergeCell ref="F15:K15"/>
  </mergeCells>
  <conditionalFormatting sqref="C23:C32">
    <cfRule type="cellIs" priority="1" operator="greaterThan" dxfId="1">
      <formula>0</formula>
    </cfRule>
  </conditionalFormatting>
  <conditionalFormatting sqref="D23:D32">
    <cfRule type="cellIs" priority="2" operator="greaterThan" dxfId="4">
      <formula>0</formula>
    </cfRule>
  </conditionalFormatting>
  <conditionalFormatting sqref="E23:E32">
    <cfRule type="cellIs" priority="3" operator="greaterThan" dxfId="3">
      <formula>0</formula>
    </cfRule>
  </conditionalFormatting>
  <conditionalFormatting sqref="F23:F32">
    <cfRule type="cellIs" priority="4" operator="greaterThan" dxfId="2">
      <formula>0</formula>
    </cfRule>
  </conditionalFormatting>
  <conditionalFormatting sqref="G23:G32">
    <cfRule type="cellIs" priority="5" operator="greaterThan" dxfId="5">
      <formula>0</formula>
    </cfRule>
  </conditionalFormatting>
  <conditionalFormatting sqref="K23:K32">
    <cfRule type="cellIs" priority="6" operator="equal" dxfId="1">
      <formula>"AI opportunity"</formula>
    </cfRule>
    <cfRule type="cellIs" priority="7" operator="equal" dxfId="2">
      <formula>"Automation is enough"</formula>
    </cfRule>
  </conditionalFormatting>
  <conditionalFormatting sqref="F57:F66">
    <cfRule type="cellIs" priority="8" operator="equal" dxfId="1">
      <formula>"AI fit now"</formula>
    </cfRule>
    <cfRule type="cellIs" priority="9" operator="equal" dxfId="2">
      <formula>"Automate - AI not needed"</formula>
    </cfRule>
    <cfRule type="cellIs" priority="10" operator="equal" dxfId="3">
      <formula>"AI later - close data gap first"</formula>
    </cfRule>
    <cfRule type="cellIs" priority="11" operator="equal" dxfId="4">
      <formula>"Stretch - partner or later stage"</formula>
    </cfRule>
    <cfRule type="cellIs" priority="12" operator="equal" dxfId="5">
      <formula>"Redesign / standardise first"</formula>
    </cfRule>
  </conditionalFormatting>
  <conditionalFormatting sqref="J57:J66">
    <cfRule type="cellIs" priority="13" operator="equal" dxfId="6">
      <formula>"Low"</formula>
    </cfRule>
    <cfRule type="cellIs" priority="14" operator="equal" dxfId="3">
      <formula>"Medium"</formula>
    </cfRule>
    <cfRule type="cellIs" priority="15" operator="equal" dxfId="4">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4"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38" customWidth="1" min="2" max="2"/>
    <col width="26" customWidth="1" min="3" max="3"/>
    <col width="30" customWidth="1" min="4" max="4"/>
    <col width="26" customWidth="1" min="5" max="5"/>
    <col width="11"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 Up to 20 / 12 / 10 / 8 items per lane are shown; adjust the horizon by changing inputs on sheet 3.</t>
        </is>
      </c>
    </row>
    <row r="4" ht="22" customHeight="1">
      <c r="A4" s="3" t="inlineStr">
        <is>
          <t>H1 - Now (0-6 months)</t>
        </is>
      </c>
    </row>
    <row r="5">
      <c r="A5" s="59" t="inlineStr">
        <is>
          <t>Rank</t>
        </is>
      </c>
      <c r="B5" s="59" t="inlineStr">
        <is>
          <t>Process / activity</t>
        </is>
      </c>
      <c r="C5" s="59" t="inlineStr">
        <is>
          <t>Function</t>
        </is>
      </c>
      <c r="D5" s="59" t="inlineStr">
        <is>
          <t>Solution family</t>
        </is>
      </c>
      <c r="E5" s="59" t="inlineStr">
        <is>
          <t>Verdict</t>
        </is>
      </c>
      <c r="F5" s="59" t="inlineStr">
        <is>
          <t>Risk tier</t>
        </is>
      </c>
      <c r="G5" s="59" t="inlineStr">
        <is>
          <t>Hours / yr</t>
        </is>
      </c>
    </row>
    <row r="6" ht="26" customHeight="1">
      <c r="A6" s="40" t="str">
        <f>IF($H6="","",INDEX('3. AI Fit Diagnostic'!$Z$8:$Z$57,MATCH($H6,'3. AI Fit Diagnostic'!$AD$8:$AD$57,0)))</f>
        <v/>
      </c>
      <c r="B6" s="55" t="str">
        <f>IF($H6="","",INDEX('3. AI Fit Diagnostic'!$C$8:$C$57,MATCH($H6,'3. AI Fit Diagnostic'!$AD$8:$AD$57,0)))</f>
        <v/>
      </c>
      <c r="C6" s="24" t="str">
        <f>IF($H6="","",INDEX('3. AI Fit Diagnostic'!$B$8:$B$57,MATCH($H6,'3. AI Fit Diagnostic'!$AD$8:$AD$57,0)))</f>
        <v/>
      </c>
      <c r="D6" s="24" t="str">
        <f>IF($H6="","",INDEX('3. AI Fit Diagnostic'!$O$8:$O$57,MATCH($H6,'3. AI Fit Diagnostic'!$AD$8:$AD$57,0)))</f>
        <v/>
      </c>
      <c r="E6" s="24" t="str">
        <f>IF($H6="","",INDEX('3. AI Fit Diagnostic'!$T$8:$T$57,MATCH($H6,'3. AI Fit Diagnostic'!$AD$8:$AD$57,0)))</f>
        <v/>
      </c>
      <c r="F6" s="37" t="str">
        <f>IF($H6="","",INDEX('3. AI Fit Diagnostic'!$W$8:$W$57,MATCH($H6,'3. AI Fit Diagnostic'!$AD$8:$AD$57,0)))</f>
        <v/>
      </c>
      <c r="G6" s="41" t="str">
        <f>IF($H6="","",INDEX('3. AI Fit Diagnostic'!$AB$8:$AB$57,MATCH($H6,'3. AI Fit Diagnostic'!$AD$8:$AD$57,0)))</f>
        <v/>
      </c>
      <c r="H6" t="str">
        <f>IF(IFERROR(SMALL('3. AI Fit Diagnostic'!$AD$8:$AD$57,COUNTIF('3. AI Fit Diagnostic'!$AD$8:$AD$57,"&lt;"&amp;100)+1),"")="","",IF(IFERROR(SMALL('3. AI Fit Diagnostic'!$AD$8:$AD$57,COUNTIF('3. AI Fit Diagnostic'!$AD$8:$AD$57,"&lt;"&amp;100)+1),"")&lt;200,IFERROR(SMALL('3. AI Fit Diagnostic'!$AD$8:$AD$57,COUNTIF('3. AI Fit Diagnostic'!$AD$8:$AD$57,"&lt;"&amp;100)+1),""),""))</f>
        <v/>
      </c>
    </row>
    <row r="7" ht="26" customHeight="1">
      <c r="A7" s="40" t="str">
        <f>IF($H7="","",INDEX('3. AI Fit Diagnostic'!$Z$8:$Z$57,MATCH($H7,'3. AI Fit Diagnostic'!$AD$8:$AD$57,0)))</f>
        <v/>
      </c>
      <c r="B7" s="55" t="str">
        <f>IF($H7="","",INDEX('3. AI Fit Diagnostic'!$C$8:$C$57,MATCH($H7,'3. AI Fit Diagnostic'!$AD$8:$AD$57,0)))</f>
        <v/>
      </c>
      <c r="C7" s="24" t="str">
        <f>IF($H7="","",INDEX('3. AI Fit Diagnostic'!$B$8:$B$57,MATCH($H7,'3. AI Fit Diagnostic'!$AD$8:$AD$57,0)))</f>
        <v/>
      </c>
      <c r="D7" s="24" t="str">
        <f>IF($H7="","",INDEX('3. AI Fit Diagnostic'!$O$8:$O$57,MATCH($H7,'3. AI Fit Diagnostic'!$AD$8:$AD$57,0)))</f>
        <v/>
      </c>
      <c r="E7" s="24" t="str">
        <f>IF($H7="","",INDEX('3. AI Fit Diagnostic'!$T$8:$T$57,MATCH($H7,'3. AI Fit Diagnostic'!$AD$8:$AD$57,0)))</f>
        <v/>
      </c>
      <c r="F7" s="37" t="str">
        <f>IF($H7="","",INDEX('3. AI Fit Diagnostic'!$W$8:$W$57,MATCH($H7,'3. AI Fit Diagnostic'!$AD$8:$AD$57,0)))</f>
        <v/>
      </c>
      <c r="G7" s="41" t="str">
        <f>IF($H7="","",INDEX('3. AI Fit Diagnostic'!$AB$8:$AB$57,MATCH($H7,'3. AI Fit Diagnostic'!$AD$8:$AD$57,0)))</f>
        <v/>
      </c>
      <c r="H7" t="str">
        <f>IF(IFERROR(SMALL('3. AI Fit Diagnostic'!$AD$8:$AD$57,COUNTIF('3. AI Fit Diagnostic'!$AD$8:$AD$57,"&lt;"&amp;100)+2),"")="","",IF(IFERROR(SMALL('3. AI Fit Diagnostic'!$AD$8:$AD$57,COUNTIF('3. AI Fit Diagnostic'!$AD$8:$AD$57,"&lt;"&amp;100)+2),"")&lt;200,IFERROR(SMALL('3. AI Fit Diagnostic'!$AD$8:$AD$57,COUNTIF('3. AI Fit Diagnostic'!$AD$8:$AD$57,"&lt;"&amp;100)+2),""),""))</f>
        <v/>
      </c>
    </row>
    <row r="8" ht="26" customHeight="1">
      <c r="A8" s="40" t="str">
        <f>IF($H8="","",INDEX('3. AI Fit Diagnostic'!$Z$8:$Z$57,MATCH($H8,'3. AI Fit Diagnostic'!$AD$8:$AD$57,0)))</f>
        <v/>
      </c>
      <c r="B8" s="55" t="str">
        <f>IF($H8="","",INDEX('3. AI Fit Diagnostic'!$C$8:$C$57,MATCH($H8,'3. AI Fit Diagnostic'!$AD$8:$AD$57,0)))</f>
        <v/>
      </c>
      <c r="C8" s="24" t="str">
        <f>IF($H8="","",INDEX('3. AI Fit Diagnostic'!$B$8:$B$57,MATCH($H8,'3. AI Fit Diagnostic'!$AD$8:$AD$57,0)))</f>
        <v/>
      </c>
      <c r="D8" s="24" t="str">
        <f>IF($H8="","",INDEX('3. AI Fit Diagnostic'!$O$8:$O$57,MATCH($H8,'3. AI Fit Diagnostic'!$AD$8:$AD$57,0)))</f>
        <v/>
      </c>
      <c r="E8" s="24" t="str">
        <f>IF($H8="","",INDEX('3. AI Fit Diagnostic'!$T$8:$T$57,MATCH($H8,'3. AI Fit Diagnostic'!$AD$8:$AD$57,0)))</f>
        <v/>
      </c>
      <c r="F8" s="37" t="str">
        <f>IF($H8="","",INDEX('3. AI Fit Diagnostic'!$W$8:$W$57,MATCH($H8,'3. AI Fit Diagnostic'!$AD$8:$AD$57,0)))</f>
        <v/>
      </c>
      <c r="G8" s="41" t="str">
        <f>IF($H8="","",INDEX('3. AI Fit Diagnostic'!$AB$8:$AB$57,MATCH($H8,'3. AI Fit Diagnostic'!$AD$8:$AD$57,0)))</f>
        <v/>
      </c>
      <c r="H8" t="str">
        <f>IF(IFERROR(SMALL('3. AI Fit Diagnostic'!$AD$8:$AD$57,COUNTIF('3. AI Fit Diagnostic'!$AD$8:$AD$57,"&lt;"&amp;100)+3),"")="","",IF(IFERROR(SMALL('3. AI Fit Diagnostic'!$AD$8:$AD$57,COUNTIF('3. AI Fit Diagnostic'!$AD$8:$AD$57,"&lt;"&amp;100)+3),"")&lt;200,IFERROR(SMALL('3. AI Fit Diagnostic'!$AD$8:$AD$57,COUNTIF('3. AI Fit Diagnostic'!$AD$8:$AD$57,"&lt;"&amp;100)+3),""),""))</f>
        <v/>
      </c>
    </row>
    <row r="9" ht="26" customHeight="1">
      <c r="A9" s="40" t="str">
        <f>IF($H9="","",INDEX('3. AI Fit Diagnostic'!$Z$8:$Z$57,MATCH($H9,'3. AI Fit Diagnostic'!$AD$8:$AD$57,0)))</f>
        <v/>
      </c>
      <c r="B9" s="55" t="str">
        <f>IF($H9="","",INDEX('3. AI Fit Diagnostic'!$C$8:$C$57,MATCH($H9,'3. AI Fit Diagnostic'!$AD$8:$AD$57,0)))</f>
        <v/>
      </c>
      <c r="C9" s="24" t="str">
        <f>IF($H9="","",INDEX('3. AI Fit Diagnostic'!$B$8:$B$57,MATCH($H9,'3. AI Fit Diagnostic'!$AD$8:$AD$57,0)))</f>
        <v/>
      </c>
      <c r="D9" s="24" t="str">
        <f>IF($H9="","",INDEX('3. AI Fit Diagnostic'!$O$8:$O$57,MATCH($H9,'3. AI Fit Diagnostic'!$AD$8:$AD$57,0)))</f>
        <v/>
      </c>
      <c r="E9" s="24" t="str">
        <f>IF($H9="","",INDEX('3. AI Fit Diagnostic'!$T$8:$T$57,MATCH($H9,'3. AI Fit Diagnostic'!$AD$8:$AD$57,0)))</f>
        <v/>
      </c>
      <c r="F9" s="37" t="str">
        <f>IF($H9="","",INDEX('3. AI Fit Diagnostic'!$W$8:$W$57,MATCH($H9,'3. AI Fit Diagnostic'!$AD$8:$AD$57,0)))</f>
        <v/>
      </c>
      <c r="G9" s="41" t="str">
        <f>IF($H9="","",INDEX('3. AI Fit Diagnostic'!$AB$8:$AB$57,MATCH($H9,'3. AI Fit Diagnostic'!$AD$8:$AD$57,0)))</f>
        <v/>
      </c>
      <c r="H9" t="str">
        <f>IF(IFERROR(SMALL('3. AI Fit Diagnostic'!$AD$8:$AD$57,COUNTIF('3. AI Fit Diagnostic'!$AD$8:$AD$57,"&lt;"&amp;100)+4),"")="","",IF(IFERROR(SMALL('3. AI Fit Diagnostic'!$AD$8:$AD$57,COUNTIF('3. AI Fit Diagnostic'!$AD$8:$AD$57,"&lt;"&amp;100)+4),"")&lt;200,IFERROR(SMALL('3. AI Fit Diagnostic'!$AD$8:$AD$57,COUNTIF('3. AI Fit Diagnostic'!$AD$8:$AD$57,"&lt;"&amp;100)+4),""),""))</f>
        <v/>
      </c>
    </row>
    <row r="10" ht="26" customHeight="1">
      <c r="A10" s="40" t="str">
        <f>IF($H10="","",INDEX('3. AI Fit Diagnostic'!$Z$8:$Z$57,MATCH($H10,'3. AI Fit Diagnostic'!$AD$8:$AD$57,0)))</f>
        <v/>
      </c>
      <c r="B10" s="55" t="str">
        <f>IF($H10="","",INDEX('3. AI Fit Diagnostic'!$C$8:$C$57,MATCH($H10,'3. AI Fit Diagnostic'!$AD$8:$AD$57,0)))</f>
        <v/>
      </c>
      <c r="C10" s="24" t="str">
        <f>IF($H10="","",INDEX('3. AI Fit Diagnostic'!$B$8:$B$57,MATCH($H10,'3. AI Fit Diagnostic'!$AD$8:$AD$57,0)))</f>
        <v/>
      </c>
      <c r="D10" s="24" t="str">
        <f>IF($H10="","",INDEX('3. AI Fit Diagnostic'!$O$8:$O$57,MATCH($H10,'3. AI Fit Diagnostic'!$AD$8:$AD$57,0)))</f>
        <v/>
      </c>
      <c r="E10" s="24" t="str">
        <f>IF($H10="","",INDEX('3. AI Fit Diagnostic'!$T$8:$T$57,MATCH($H10,'3. AI Fit Diagnostic'!$AD$8:$AD$57,0)))</f>
        <v/>
      </c>
      <c r="F10" s="37" t="str">
        <f>IF($H10="","",INDEX('3. AI Fit Diagnostic'!$W$8:$W$57,MATCH($H10,'3. AI Fit Diagnostic'!$AD$8:$AD$57,0)))</f>
        <v/>
      </c>
      <c r="G10" s="41" t="str">
        <f>IF($H10="","",INDEX('3. AI Fit Diagnostic'!$AB$8:$AB$57,MATCH($H10,'3. AI Fit Diagnostic'!$AD$8:$AD$57,0)))</f>
        <v/>
      </c>
      <c r="H10" t="str">
        <f>IF(IFERROR(SMALL('3. AI Fit Diagnostic'!$AD$8:$AD$57,COUNTIF('3. AI Fit Diagnostic'!$AD$8:$AD$57,"&lt;"&amp;100)+5),"")="","",IF(IFERROR(SMALL('3. AI Fit Diagnostic'!$AD$8:$AD$57,COUNTIF('3. AI Fit Diagnostic'!$AD$8:$AD$57,"&lt;"&amp;100)+5),"")&lt;200,IFERROR(SMALL('3. AI Fit Diagnostic'!$AD$8:$AD$57,COUNTIF('3. AI Fit Diagnostic'!$AD$8:$AD$57,"&lt;"&amp;100)+5),""),""))</f>
        <v/>
      </c>
    </row>
    <row r="11" ht="26" customHeight="1">
      <c r="A11" s="40" t="str">
        <f>IF($H11="","",INDEX('3. AI Fit Diagnostic'!$Z$8:$Z$57,MATCH($H11,'3. AI Fit Diagnostic'!$AD$8:$AD$57,0)))</f>
        <v/>
      </c>
      <c r="B11" s="55" t="str">
        <f>IF($H11="","",INDEX('3. AI Fit Diagnostic'!$C$8:$C$57,MATCH($H11,'3. AI Fit Diagnostic'!$AD$8:$AD$57,0)))</f>
        <v/>
      </c>
      <c r="C11" s="24" t="str">
        <f>IF($H11="","",INDEX('3. AI Fit Diagnostic'!$B$8:$B$57,MATCH($H11,'3. AI Fit Diagnostic'!$AD$8:$AD$57,0)))</f>
        <v/>
      </c>
      <c r="D11" s="24" t="str">
        <f>IF($H11="","",INDEX('3. AI Fit Diagnostic'!$O$8:$O$57,MATCH($H11,'3. AI Fit Diagnostic'!$AD$8:$AD$57,0)))</f>
        <v/>
      </c>
      <c r="E11" s="24" t="str">
        <f>IF($H11="","",INDEX('3. AI Fit Diagnostic'!$T$8:$T$57,MATCH($H11,'3. AI Fit Diagnostic'!$AD$8:$AD$57,0)))</f>
        <v/>
      </c>
      <c r="F11" s="37" t="str">
        <f>IF($H11="","",INDEX('3. AI Fit Diagnostic'!$W$8:$W$57,MATCH($H11,'3. AI Fit Diagnostic'!$AD$8:$AD$57,0)))</f>
        <v/>
      </c>
      <c r="G11" s="41" t="str">
        <f>IF($H11="","",INDEX('3. AI Fit Diagnostic'!$AB$8:$AB$57,MATCH($H11,'3. AI Fit Diagnostic'!$AD$8:$AD$57,0)))</f>
        <v/>
      </c>
      <c r="H11" t="str">
        <f>IF(IFERROR(SMALL('3. AI Fit Diagnostic'!$AD$8:$AD$57,COUNTIF('3. AI Fit Diagnostic'!$AD$8:$AD$57,"&lt;"&amp;100)+6),"")="","",IF(IFERROR(SMALL('3. AI Fit Diagnostic'!$AD$8:$AD$57,COUNTIF('3. AI Fit Diagnostic'!$AD$8:$AD$57,"&lt;"&amp;100)+6),"")&lt;200,IFERROR(SMALL('3. AI Fit Diagnostic'!$AD$8:$AD$57,COUNTIF('3. AI Fit Diagnostic'!$AD$8:$AD$57,"&lt;"&amp;100)+6),""),""))</f>
        <v/>
      </c>
    </row>
    <row r="12" ht="26" customHeight="1">
      <c r="A12" s="40" t="str">
        <f>IF($H12="","",INDEX('3. AI Fit Diagnostic'!$Z$8:$Z$57,MATCH($H12,'3. AI Fit Diagnostic'!$AD$8:$AD$57,0)))</f>
        <v/>
      </c>
      <c r="B12" s="55" t="str">
        <f>IF($H12="","",INDEX('3. AI Fit Diagnostic'!$C$8:$C$57,MATCH($H12,'3. AI Fit Diagnostic'!$AD$8:$AD$57,0)))</f>
        <v/>
      </c>
      <c r="C12" s="24" t="str">
        <f>IF($H12="","",INDEX('3. AI Fit Diagnostic'!$B$8:$B$57,MATCH($H12,'3. AI Fit Diagnostic'!$AD$8:$AD$57,0)))</f>
        <v/>
      </c>
      <c r="D12" s="24" t="str">
        <f>IF($H12="","",INDEX('3. AI Fit Diagnostic'!$O$8:$O$57,MATCH($H12,'3. AI Fit Diagnostic'!$AD$8:$AD$57,0)))</f>
        <v/>
      </c>
      <c r="E12" s="24" t="str">
        <f>IF($H12="","",INDEX('3. AI Fit Diagnostic'!$T$8:$T$57,MATCH($H12,'3. AI Fit Diagnostic'!$AD$8:$AD$57,0)))</f>
        <v/>
      </c>
      <c r="F12" s="37" t="str">
        <f>IF($H12="","",INDEX('3. AI Fit Diagnostic'!$W$8:$W$57,MATCH($H12,'3. AI Fit Diagnostic'!$AD$8:$AD$57,0)))</f>
        <v/>
      </c>
      <c r="G12" s="41" t="str">
        <f>IF($H12="","",INDEX('3. AI Fit Diagnostic'!$AB$8:$AB$57,MATCH($H12,'3. AI Fit Diagnostic'!$AD$8:$AD$57,0)))</f>
        <v/>
      </c>
      <c r="H12" t="str">
        <f>IF(IFERROR(SMALL('3. AI Fit Diagnostic'!$AD$8:$AD$57,COUNTIF('3. AI Fit Diagnostic'!$AD$8:$AD$57,"&lt;"&amp;100)+7),"")="","",IF(IFERROR(SMALL('3. AI Fit Diagnostic'!$AD$8:$AD$57,COUNTIF('3. AI Fit Diagnostic'!$AD$8:$AD$57,"&lt;"&amp;100)+7),"")&lt;200,IFERROR(SMALL('3. AI Fit Diagnostic'!$AD$8:$AD$57,COUNTIF('3. AI Fit Diagnostic'!$AD$8:$AD$57,"&lt;"&amp;100)+7),""),""))</f>
        <v/>
      </c>
    </row>
    <row r="13" ht="26" customHeight="1">
      <c r="A13" s="40" t="str">
        <f>IF($H13="","",INDEX('3. AI Fit Diagnostic'!$Z$8:$Z$57,MATCH($H13,'3. AI Fit Diagnostic'!$AD$8:$AD$57,0)))</f>
        <v/>
      </c>
      <c r="B13" s="55" t="str">
        <f>IF($H13="","",INDEX('3. AI Fit Diagnostic'!$C$8:$C$57,MATCH($H13,'3. AI Fit Diagnostic'!$AD$8:$AD$57,0)))</f>
        <v/>
      </c>
      <c r="C13" s="24" t="str">
        <f>IF($H13="","",INDEX('3. AI Fit Diagnostic'!$B$8:$B$57,MATCH($H13,'3. AI Fit Diagnostic'!$AD$8:$AD$57,0)))</f>
        <v/>
      </c>
      <c r="D13" s="24" t="str">
        <f>IF($H13="","",INDEX('3. AI Fit Diagnostic'!$O$8:$O$57,MATCH($H13,'3. AI Fit Diagnostic'!$AD$8:$AD$57,0)))</f>
        <v/>
      </c>
      <c r="E13" s="24" t="str">
        <f>IF($H13="","",INDEX('3. AI Fit Diagnostic'!$T$8:$T$57,MATCH($H13,'3. AI Fit Diagnostic'!$AD$8:$AD$57,0)))</f>
        <v/>
      </c>
      <c r="F13" s="37" t="str">
        <f>IF($H13="","",INDEX('3. AI Fit Diagnostic'!$W$8:$W$57,MATCH($H13,'3. AI Fit Diagnostic'!$AD$8:$AD$57,0)))</f>
        <v/>
      </c>
      <c r="G13" s="41" t="str">
        <f>IF($H13="","",INDEX('3. AI Fit Diagnostic'!$AB$8:$AB$57,MATCH($H13,'3. AI Fit Diagnostic'!$AD$8:$AD$57,0)))</f>
        <v/>
      </c>
      <c r="H13" t="str">
        <f>IF(IFERROR(SMALL('3. AI Fit Diagnostic'!$AD$8:$AD$57,COUNTIF('3. AI Fit Diagnostic'!$AD$8:$AD$57,"&lt;"&amp;100)+8),"")="","",IF(IFERROR(SMALL('3. AI Fit Diagnostic'!$AD$8:$AD$57,COUNTIF('3. AI Fit Diagnostic'!$AD$8:$AD$57,"&lt;"&amp;100)+8),"")&lt;200,IFERROR(SMALL('3. AI Fit Diagnostic'!$AD$8:$AD$57,COUNTIF('3. AI Fit Diagnostic'!$AD$8:$AD$57,"&lt;"&amp;100)+8),""),""))</f>
        <v/>
      </c>
    </row>
    <row r="14" ht="26" customHeight="1">
      <c r="A14" s="40" t="str">
        <f>IF($H14="","",INDEX('3. AI Fit Diagnostic'!$Z$8:$Z$57,MATCH($H14,'3. AI Fit Diagnostic'!$AD$8:$AD$57,0)))</f>
        <v/>
      </c>
      <c r="B14" s="55" t="str">
        <f>IF($H14="","",INDEX('3. AI Fit Diagnostic'!$C$8:$C$57,MATCH($H14,'3. AI Fit Diagnostic'!$AD$8:$AD$57,0)))</f>
        <v/>
      </c>
      <c r="C14" s="24" t="str">
        <f>IF($H14="","",INDEX('3. AI Fit Diagnostic'!$B$8:$B$57,MATCH($H14,'3. AI Fit Diagnostic'!$AD$8:$AD$57,0)))</f>
        <v/>
      </c>
      <c r="D14" s="24" t="str">
        <f>IF($H14="","",INDEX('3. AI Fit Diagnostic'!$O$8:$O$57,MATCH($H14,'3. AI Fit Diagnostic'!$AD$8:$AD$57,0)))</f>
        <v/>
      </c>
      <c r="E14" s="24" t="str">
        <f>IF($H14="","",INDEX('3. AI Fit Diagnostic'!$T$8:$T$57,MATCH($H14,'3. AI Fit Diagnostic'!$AD$8:$AD$57,0)))</f>
        <v/>
      </c>
      <c r="F14" s="37" t="str">
        <f>IF($H14="","",INDEX('3. AI Fit Diagnostic'!$W$8:$W$57,MATCH($H14,'3. AI Fit Diagnostic'!$AD$8:$AD$57,0)))</f>
        <v/>
      </c>
      <c r="G14" s="41" t="str">
        <f>IF($H14="","",INDEX('3. AI Fit Diagnostic'!$AB$8:$AB$57,MATCH($H14,'3. AI Fit Diagnostic'!$AD$8:$AD$57,0)))</f>
        <v/>
      </c>
      <c r="H14" t="str">
        <f>IF(IFERROR(SMALL('3. AI Fit Diagnostic'!$AD$8:$AD$57,COUNTIF('3. AI Fit Diagnostic'!$AD$8:$AD$57,"&lt;"&amp;100)+9),"")="","",IF(IFERROR(SMALL('3. AI Fit Diagnostic'!$AD$8:$AD$57,COUNTIF('3. AI Fit Diagnostic'!$AD$8:$AD$57,"&lt;"&amp;100)+9),"")&lt;200,IFERROR(SMALL('3. AI Fit Diagnostic'!$AD$8:$AD$57,COUNTIF('3. AI Fit Diagnostic'!$AD$8:$AD$57,"&lt;"&amp;100)+9),""),""))</f>
        <v/>
      </c>
    </row>
    <row r="15" ht="26" customHeight="1">
      <c r="A15" s="40" t="str">
        <f>IF($H15="","",INDEX('3. AI Fit Diagnostic'!$Z$8:$Z$57,MATCH($H15,'3. AI Fit Diagnostic'!$AD$8:$AD$57,0)))</f>
        <v/>
      </c>
      <c r="B15" s="55" t="str">
        <f>IF($H15="","",INDEX('3. AI Fit Diagnostic'!$C$8:$C$57,MATCH($H15,'3. AI Fit Diagnostic'!$AD$8:$AD$57,0)))</f>
        <v/>
      </c>
      <c r="C15" s="24" t="str">
        <f>IF($H15="","",INDEX('3. AI Fit Diagnostic'!$B$8:$B$57,MATCH($H15,'3. AI Fit Diagnostic'!$AD$8:$AD$57,0)))</f>
        <v/>
      </c>
      <c r="D15" s="24" t="str">
        <f>IF($H15="","",INDEX('3. AI Fit Diagnostic'!$O$8:$O$57,MATCH($H15,'3. AI Fit Diagnostic'!$AD$8:$AD$57,0)))</f>
        <v/>
      </c>
      <c r="E15" s="24" t="str">
        <f>IF($H15="","",INDEX('3. AI Fit Diagnostic'!$T$8:$T$57,MATCH($H15,'3. AI Fit Diagnostic'!$AD$8:$AD$57,0)))</f>
        <v/>
      </c>
      <c r="F15" s="37" t="str">
        <f>IF($H15="","",INDEX('3. AI Fit Diagnostic'!$W$8:$W$57,MATCH($H15,'3. AI Fit Diagnostic'!$AD$8:$AD$57,0)))</f>
        <v/>
      </c>
      <c r="G15" s="41" t="str">
        <f>IF($H15="","",INDEX('3. AI Fit Diagnostic'!$AB$8:$AB$57,MATCH($H15,'3. AI Fit Diagnostic'!$AD$8:$AD$57,0)))</f>
        <v/>
      </c>
      <c r="H15" t="str">
        <f>IF(IFERROR(SMALL('3. AI Fit Diagnostic'!$AD$8:$AD$57,COUNTIF('3. AI Fit Diagnostic'!$AD$8:$AD$57,"&lt;"&amp;100)+10),"")="","",IF(IFERROR(SMALL('3. AI Fit Diagnostic'!$AD$8:$AD$57,COUNTIF('3. AI Fit Diagnostic'!$AD$8:$AD$57,"&lt;"&amp;100)+10),"")&lt;200,IFERROR(SMALL('3. AI Fit Diagnostic'!$AD$8:$AD$57,COUNTIF('3. AI Fit Diagnostic'!$AD$8:$AD$57,"&lt;"&amp;100)+10),""),""))</f>
        <v/>
      </c>
    </row>
    <row r="16" ht="26" customHeight="1">
      <c r="A16" s="40" t="str">
        <f>IF($H16="","",INDEX('3. AI Fit Diagnostic'!$Z$8:$Z$57,MATCH($H16,'3. AI Fit Diagnostic'!$AD$8:$AD$57,0)))</f>
        <v/>
      </c>
      <c r="B16" s="55" t="str">
        <f>IF($H16="","",INDEX('3. AI Fit Diagnostic'!$C$8:$C$57,MATCH($H16,'3. AI Fit Diagnostic'!$AD$8:$AD$57,0)))</f>
        <v/>
      </c>
      <c r="C16" s="24" t="str">
        <f>IF($H16="","",INDEX('3. AI Fit Diagnostic'!$B$8:$B$57,MATCH($H16,'3. AI Fit Diagnostic'!$AD$8:$AD$57,0)))</f>
        <v/>
      </c>
      <c r="D16" s="24" t="str">
        <f>IF($H16="","",INDEX('3. AI Fit Diagnostic'!$O$8:$O$57,MATCH($H16,'3. AI Fit Diagnostic'!$AD$8:$AD$57,0)))</f>
        <v/>
      </c>
      <c r="E16" s="24" t="str">
        <f>IF($H16="","",INDEX('3. AI Fit Diagnostic'!$T$8:$T$57,MATCH($H16,'3. AI Fit Diagnostic'!$AD$8:$AD$57,0)))</f>
        <v/>
      </c>
      <c r="F16" s="37" t="str">
        <f>IF($H16="","",INDEX('3. AI Fit Diagnostic'!$W$8:$W$57,MATCH($H16,'3. AI Fit Diagnostic'!$AD$8:$AD$57,0)))</f>
        <v/>
      </c>
      <c r="G16" s="41" t="str">
        <f>IF($H16="","",INDEX('3. AI Fit Diagnostic'!$AB$8:$AB$57,MATCH($H16,'3. AI Fit Diagnostic'!$AD$8:$AD$57,0)))</f>
        <v/>
      </c>
      <c r="H16" t="str">
        <f>IF(IFERROR(SMALL('3. AI Fit Diagnostic'!$AD$8:$AD$57,COUNTIF('3. AI Fit Diagnostic'!$AD$8:$AD$57,"&lt;"&amp;100)+11),"")="","",IF(IFERROR(SMALL('3. AI Fit Diagnostic'!$AD$8:$AD$57,COUNTIF('3. AI Fit Diagnostic'!$AD$8:$AD$57,"&lt;"&amp;100)+11),"")&lt;200,IFERROR(SMALL('3. AI Fit Diagnostic'!$AD$8:$AD$57,COUNTIF('3. AI Fit Diagnostic'!$AD$8:$AD$57,"&lt;"&amp;100)+11),""),""))</f>
        <v/>
      </c>
    </row>
    <row r="17" ht="26" customHeight="1">
      <c r="A17" s="40" t="str">
        <f>IF($H17="","",INDEX('3. AI Fit Diagnostic'!$Z$8:$Z$57,MATCH($H17,'3. AI Fit Diagnostic'!$AD$8:$AD$57,0)))</f>
        <v/>
      </c>
      <c r="B17" s="55" t="str">
        <f>IF($H17="","",INDEX('3. AI Fit Diagnostic'!$C$8:$C$57,MATCH($H17,'3. AI Fit Diagnostic'!$AD$8:$AD$57,0)))</f>
        <v/>
      </c>
      <c r="C17" s="24" t="str">
        <f>IF($H17="","",INDEX('3. AI Fit Diagnostic'!$B$8:$B$57,MATCH($H17,'3. AI Fit Diagnostic'!$AD$8:$AD$57,0)))</f>
        <v/>
      </c>
      <c r="D17" s="24" t="str">
        <f>IF($H17="","",INDEX('3. AI Fit Diagnostic'!$O$8:$O$57,MATCH($H17,'3. AI Fit Diagnostic'!$AD$8:$AD$57,0)))</f>
        <v/>
      </c>
      <c r="E17" s="24" t="str">
        <f>IF($H17="","",INDEX('3. AI Fit Diagnostic'!$T$8:$T$57,MATCH($H17,'3. AI Fit Diagnostic'!$AD$8:$AD$57,0)))</f>
        <v/>
      </c>
      <c r="F17" s="37" t="str">
        <f>IF($H17="","",INDEX('3. AI Fit Diagnostic'!$W$8:$W$57,MATCH($H17,'3. AI Fit Diagnostic'!$AD$8:$AD$57,0)))</f>
        <v/>
      </c>
      <c r="G17" s="41" t="str">
        <f>IF($H17="","",INDEX('3. AI Fit Diagnostic'!$AB$8:$AB$57,MATCH($H17,'3. AI Fit Diagnostic'!$AD$8:$AD$57,0)))</f>
        <v/>
      </c>
      <c r="H17" t="str">
        <f>IF(IFERROR(SMALL('3. AI Fit Diagnostic'!$AD$8:$AD$57,COUNTIF('3. AI Fit Diagnostic'!$AD$8:$AD$57,"&lt;"&amp;100)+12),"")="","",IF(IFERROR(SMALL('3. AI Fit Diagnostic'!$AD$8:$AD$57,COUNTIF('3. AI Fit Diagnostic'!$AD$8:$AD$57,"&lt;"&amp;100)+12),"")&lt;200,IFERROR(SMALL('3. AI Fit Diagnostic'!$AD$8:$AD$57,COUNTIF('3. AI Fit Diagnostic'!$AD$8:$AD$57,"&lt;"&amp;100)+12),""),""))</f>
        <v/>
      </c>
    </row>
    <row r="18" ht="26" customHeight="1">
      <c r="A18" s="40" t="str">
        <f>IF($H18="","",INDEX('3. AI Fit Diagnostic'!$Z$8:$Z$57,MATCH($H18,'3. AI Fit Diagnostic'!$AD$8:$AD$57,0)))</f>
        <v/>
      </c>
      <c r="B18" s="55" t="str">
        <f>IF($H18="","",INDEX('3. AI Fit Diagnostic'!$C$8:$C$57,MATCH($H18,'3. AI Fit Diagnostic'!$AD$8:$AD$57,0)))</f>
        <v/>
      </c>
      <c r="C18" s="24" t="str">
        <f>IF($H18="","",INDEX('3. AI Fit Diagnostic'!$B$8:$B$57,MATCH($H18,'3. AI Fit Diagnostic'!$AD$8:$AD$57,0)))</f>
        <v/>
      </c>
      <c r="D18" s="24" t="str">
        <f>IF($H18="","",INDEX('3. AI Fit Diagnostic'!$O$8:$O$57,MATCH($H18,'3. AI Fit Diagnostic'!$AD$8:$AD$57,0)))</f>
        <v/>
      </c>
      <c r="E18" s="24" t="str">
        <f>IF($H18="","",INDEX('3. AI Fit Diagnostic'!$T$8:$T$57,MATCH($H18,'3. AI Fit Diagnostic'!$AD$8:$AD$57,0)))</f>
        <v/>
      </c>
      <c r="F18" s="37" t="str">
        <f>IF($H18="","",INDEX('3. AI Fit Diagnostic'!$W$8:$W$57,MATCH($H18,'3. AI Fit Diagnostic'!$AD$8:$AD$57,0)))</f>
        <v/>
      </c>
      <c r="G18" s="41" t="str">
        <f>IF($H18="","",INDEX('3. AI Fit Diagnostic'!$AB$8:$AB$57,MATCH($H18,'3. AI Fit Diagnostic'!$AD$8:$AD$57,0)))</f>
        <v/>
      </c>
      <c r="H18" t="str">
        <f>IF(IFERROR(SMALL('3. AI Fit Diagnostic'!$AD$8:$AD$57,COUNTIF('3. AI Fit Diagnostic'!$AD$8:$AD$57,"&lt;"&amp;100)+13),"")="","",IF(IFERROR(SMALL('3. AI Fit Diagnostic'!$AD$8:$AD$57,COUNTIF('3. AI Fit Diagnostic'!$AD$8:$AD$57,"&lt;"&amp;100)+13),"")&lt;200,IFERROR(SMALL('3. AI Fit Diagnostic'!$AD$8:$AD$57,COUNTIF('3. AI Fit Diagnostic'!$AD$8:$AD$57,"&lt;"&amp;100)+13),""),""))</f>
        <v/>
      </c>
    </row>
    <row r="19" ht="26" customHeight="1">
      <c r="A19" s="40" t="str">
        <f>IF($H19="","",INDEX('3. AI Fit Diagnostic'!$Z$8:$Z$57,MATCH($H19,'3. AI Fit Diagnostic'!$AD$8:$AD$57,0)))</f>
        <v/>
      </c>
      <c r="B19" s="55" t="str">
        <f>IF($H19="","",INDEX('3. AI Fit Diagnostic'!$C$8:$C$57,MATCH($H19,'3. AI Fit Diagnostic'!$AD$8:$AD$57,0)))</f>
        <v/>
      </c>
      <c r="C19" s="24" t="str">
        <f>IF($H19="","",INDEX('3. AI Fit Diagnostic'!$B$8:$B$57,MATCH($H19,'3. AI Fit Diagnostic'!$AD$8:$AD$57,0)))</f>
        <v/>
      </c>
      <c r="D19" s="24" t="str">
        <f>IF($H19="","",INDEX('3. AI Fit Diagnostic'!$O$8:$O$57,MATCH($H19,'3. AI Fit Diagnostic'!$AD$8:$AD$57,0)))</f>
        <v/>
      </c>
      <c r="E19" s="24" t="str">
        <f>IF($H19="","",INDEX('3. AI Fit Diagnostic'!$T$8:$T$57,MATCH($H19,'3. AI Fit Diagnostic'!$AD$8:$AD$57,0)))</f>
        <v/>
      </c>
      <c r="F19" s="37" t="str">
        <f>IF($H19="","",INDEX('3. AI Fit Diagnostic'!$W$8:$W$57,MATCH($H19,'3. AI Fit Diagnostic'!$AD$8:$AD$57,0)))</f>
        <v/>
      </c>
      <c r="G19" s="41" t="str">
        <f>IF($H19="","",INDEX('3. AI Fit Diagnostic'!$AB$8:$AB$57,MATCH($H19,'3. AI Fit Diagnostic'!$AD$8:$AD$57,0)))</f>
        <v/>
      </c>
      <c r="H19" t="str">
        <f>IF(IFERROR(SMALL('3. AI Fit Diagnostic'!$AD$8:$AD$57,COUNTIF('3. AI Fit Diagnostic'!$AD$8:$AD$57,"&lt;"&amp;100)+14),"")="","",IF(IFERROR(SMALL('3. AI Fit Diagnostic'!$AD$8:$AD$57,COUNTIF('3. AI Fit Diagnostic'!$AD$8:$AD$57,"&lt;"&amp;100)+14),"")&lt;200,IFERROR(SMALL('3. AI Fit Diagnostic'!$AD$8:$AD$57,COUNTIF('3. AI Fit Diagnostic'!$AD$8:$AD$57,"&lt;"&amp;100)+14),""),""))</f>
        <v/>
      </c>
    </row>
    <row r="20" ht="26" customHeight="1">
      <c r="A20" s="40" t="str">
        <f>IF($H20="","",INDEX('3. AI Fit Diagnostic'!$Z$8:$Z$57,MATCH($H20,'3. AI Fit Diagnostic'!$AD$8:$AD$57,0)))</f>
        <v/>
      </c>
      <c r="B20" s="55" t="str">
        <f>IF($H20="","",INDEX('3. AI Fit Diagnostic'!$C$8:$C$57,MATCH($H20,'3. AI Fit Diagnostic'!$AD$8:$AD$57,0)))</f>
        <v/>
      </c>
      <c r="C20" s="24" t="str">
        <f>IF($H20="","",INDEX('3. AI Fit Diagnostic'!$B$8:$B$57,MATCH($H20,'3. AI Fit Diagnostic'!$AD$8:$AD$57,0)))</f>
        <v/>
      </c>
      <c r="D20" s="24" t="str">
        <f>IF($H20="","",INDEX('3. AI Fit Diagnostic'!$O$8:$O$57,MATCH($H20,'3. AI Fit Diagnostic'!$AD$8:$AD$57,0)))</f>
        <v/>
      </c>
      <c r="E20" s="24" t="str">
        <f>IF($H20="","",INDEX('3. AI Fit Diagnostic'!$T$8:$T$57,MATCH($H20,'3. AI Fit Diagnostic'!$AD$8:$AD$57,0)))</f>
        <v/>
      </c>
      <c r="F20" s="37" t="str">
        <f>IF($H20="","",INDEX('3. AI Fit Diagnostic'!$W$8:$W$57,MATCH($H20,'3. AI Fit Diagnostic'!$AD$8:$AD$57,0)))</f>
        <v/>
      </c>
      <c r="G20" s="41" t="str">
        <f>IF($H20="","",INDEX('3. AI Fit Diagnostic'!$AB$8:$AB$57,MATCH($H20,'3. AI Fit Diagnostic'!$AD$8:$AD$57,0)))</f>
        <v/>
      </c>
      <c r="H20" t="str">
        <f>IF(IFERROR(SMALL('3. AI Fit Diagnostic'!$AD$8:$AD$57,COUNTIF('3. AI Fit Diagnostic'!$AD$8:$AD$57,"&lt;"&amp;100)+15),"")="","",IF(IFERROR(SMALL('3. AI Fit Diagnostic'!$AD$8:$AD$57,COUNTIF('3. AI Fit Diagnostic'!$AD$8:$AD$57,"&lt;"&amp;100)+15),"")&lt;200,IFERROR(SMALL('3. AI Fit Diagnostic'!$AD$8:$AD$57,COUNTIF('3. AI Fit Diagnostic'!$AD$8:$AD$57,"&lt;"&amp;100)+15),""),""))</f>
        <v/>
      </c>
    </row>
    <row r="21" ht="26" customHeight="1">
      <c r="A21" s="40" t="str">
        <f>IF($H21="","",INDEX('3. AI Fit Diagnostic'!$Z$8:$Z$57,MATCH($H21,'3. AI Fit Diagnostic'!$AD$8:$AD$57,0)))</f>
        <v/>
      </c>
      <c r="B21" s="55" t="str">
        <f>IF($H21="","",INDEX('3. AI Fit Diagnostic'!$C$8:$C$57,MATCH($H21,'3. AI Fit Diagnostic'!$AD$8:$AD$57,0)))</f>
        <v/>
      </c>
      <c r="C21" s="24" t="str">
        <f>IF($H21="","",INDEX('3. AI Fit Diagnostic'!$B$8:$B$57,MATCH($H21,'3. AI Fit Diagnostic'!$AD$8:$AD$57,0)))</f>
        <v/>
      </c>
      <c r="D21" s="24" t="str">
        <f>IF($H21="","",INDEX('3. AI Fit Diagnostic'!$O$8:$O$57,MATCH($H21,'3. AI Fit Diagnostic'!$AD$8:$AD$57,0)))</f>
        <v/>
      </c>
      <c r="E21" s="24" t="str">
        <f>IF($H21="","",INDEX('3. AI Fit Diagnostic'!$T$8:$T$57,MATCH($H21,'3. AI Fit Diagnostic'!$AD$8:$AD$57,0)))</f>
        <v/>
      </c>
      <c r="F21" s="37" t="str">
        <f>IF($H21="","",INDEX('3. AI Fit Diagnostic'!$W$8:$W$57,MATCH($H21,'3. AI Fit Diagnostic'!$AD$8:$AD$57,0)))</f>
        <v/>
      </c>
      <c r="G21" s="41" t="str">
        <f>IF($H21="","",INDEX('3. AI Fit Diagnostic'!$AB$8:$AB$57,MATCH($H21,'3. AI Fit Diagnostic'!$AD$8:$AD$57,0)))</f>
        <v/>
      </c>
      <c r="H21" t="str">
        <f>IF(IFERROR(SMALL('3. AI Fit Diagnostic'!$AD$8:$AD$57,COUNTIF('3. AI Fit Diagnostic'!$AD$8:$AD$57,"&lt;"&amp;100)+16),"")="","",IF(IFERROR(SMALL('3. AI Fit Diagnostic'!$AD$8:$AD$57,COUNTIF('3. AI Fit Diagnostic'!$AD$8:$AD$57,"&lt;"&amp;100)+16),"")&lt;200,IFERROR(SMALL('3. AI Fit Diagnostic'!$AD$8:$AD$57,COUNTIF('3. AI Fit Diagnostic'!$AD$8:$AD$57,"&lt;"&amp;100)+16),""),""))</f>
        <v/>
      </c>
    </row>
    <row r="22" ht="26" customHeight="1">
      <c r="A22" s="40" t="str">
        <f>IF($H22="","",INDEX('3. AI Fit Diagnostic'!$Z$8:$Z$57,MATCH($H22,'3. AI Fit Diagnostic'!$AD$8:$AD$57,0)))</f>
        <v/>
      </c>
      <c r="B22" s="55" t="str">
        <f>IF($H22="","",INDEX('3. AI Fit Diagnostic'!$C$8:$C$57,MATCH($H22,'3. AI Fit Diagnostic'!$AD$8:$AD$57,0)))</f>
        <v/>
      </c>
      <c r="C22" s="24" t="str">
        <f>IF($H22="","",INDEX('3. AI Fit Diagnostic'!$B$8:$B$57,MATCH($H22,'3. AI Fit Diagnostic'!$AD$8:$AD$57,0)))</f>
        <v/>
      </c>
      <c r="D22" s="24" t="str">
        <f>IF($H22="","",INDEX('3. AI Fit Diagnostic'!$O$8:$O$57,MATCH($H22,'3. AI Fit Diagnostic'!$AD$8:$AD$57,0)))</f>
        <v/>
      </c>
      <c r="E22" s="24" t="str">
        <f>IF($H22="","",INDEX('3. AI Fit Diagnostic'!$T$8:$T$57,MATCH($H22,'3. AI Fit Diagnostic'!$AD$8:$AD$57,0)))</f>
        <v/>
      </c>
      <c r="F22" s="37" t="str">
        <f>IF($H22="","",INDEX('3. AI Fit Diagnostic'!$W$8:$W$57,MATCH($H22,'3. AI Fit Diagnostic'!$AD$8:$AD$57,0)))</f>
        <v/>
      </c>
      <c r="G22" s="41" t="str">
        <f>IF($H22="","",INDEX('3. AI Fit Diagnostic'!$AB$8:$AB$57,MATCH($H22,'3. AI Fit Diagnostic'!$AD$8:$AD$57,0)))</f>
        <v/>
      </c>
      <c r="H22" t="str">
        <f>IF(IFERROR(SMALL('3. AI Fit Diagnostic'!$AD$8:$AD$57,COUNTIF('3. AI Fit Diagnostic'!$AD$8:$AD$57,"&lt;"&amp;100)+17),"")="","",IF(IFERROR(SMALL('3. AI Fit Diagnostic'!$AD$8:$AD$57,COUNTIF('3. AI Fit Diagnostic'!$AD$8:$AD$57,"&lt;"&amp;100)+17),"")&lt;200,IFERROR(SMALL('3. AI Fit Diagnostic'!$AD$8:$AD$57,COUNTIF('3. AI Fit Diagnostic'!$AD$8:$AD$57,"&lt;"&amp;100)+17),""),""))</f>
        <v/>
      </c>
    </row>
    <row r="23" ht="26" customHeight="1">
      <c r="A23" s="40" t="str">
        <f>IF($H23="","",INDEX('3. AI Fit Diagnostic'!$Z$8:$Z$57,MATCH($H23,'3. AI Fit Diagnostic'!$AD$8:$AD$57,0)))</f>
        <v/>
      </c>
      <c r="B23" s="55" t="str">
        <f>IF($H23="","",INDEX('3. AI Fit Diagnostic'!$C$8:$C$57,MATCH($H23,'3. AI Fit Diagnostic'!$AD$8:$AD$57,0)))</f>
        <v/>
      </c>
      <c r="C23" s="24" t="str">
        <f>IF($H23="","",INDEX('3. AI Fit Diagnostic'!$B$8:$B$57,MATCH($H23,'3. AI Fit Diagnostic'!$AD$8:$AD$57,0)))</f>
        <v/>
      </c>
      <c r="D23" s="24" t="str">
        <f>IF($H23="","",INDEX('3. AI Fit Diagnostic'!$O$8:$O$57,MATCH($H23,'3. AI Fit Diagnostic'!$AD$8:$AD$57,0)))</f>
        <v/>
      </c>
      <c r="E23" s="24" t="str">
        <f>IF($H23="","",INDEX('3. AI Fit Diagnostic'!$T$8:$T$57,MATCH($H23,'3. AI Fit Diagnostic'!$AD$8:$AD$57,0)))</f>
        <v/>
      </c>
      <c r="F23" s="37" t="str">
        <f>IF($H23="","",INDEX('3. AI Fit Diagnostic'!$W$8:$W$57,MATCH($H23,'3. AI Fit Diagnostic'!$AD$8:$AD$57,0)))</f>
        <v/>
      </c>
      <c r="G23" s="41" t="str">
        <f>IF($H23="","",INDEX('3. AI Fit Diagnostic'!$AB$8:$AB$57,MATCH($H23,'3. AI Fit Diagnostic'!$AD$8:$AD$57,0)))</f>
        <v/>
      </c>
      <c r="H23" t="str">
        <f>IF(IFERROR(SMALL('3. AI Fit Diagnostic'!$AD$8:$AD$57,COUNTIF('3. AI Fit Diagnostic'!$AD$8:$AD$57,"&lt;"&amp;100)+18),"")="","",IF(IFERROR(SMALL('3. AI Fit Diagnostic'!$AD$8:$AD$57,COUNTIF('3. AI Fit Diagnostic'!$AD$8:$AD$57,"&lt;"&amp;100)+18),"")&lt;200,IFERROR(SMALL('3. AI Fit Diagnostic'!$AD$8:$AD$57,COUNTIF('3. AI Fit Diagnostic'!$AD$8:$AD$57,"&lt;"&amp;100)+18),""),""))</f>
        <v/>
      </c>
    </row>
    <row r="24" ht="26" customHeight="1">
      <c r="A24" s="40" t="str">
        <f>IF($H24="","",INDEX('3. AI Fit Diagnostic'!$Z$8:$Z$57,MATCH($H24,'3. AI Fit Diagnostic'!$AD$8:$AD$57,0)))</f>
        <v/>
      </c>
      <c r="B24" s="55" t="str">
        <f>IF($H24="","",INDEX('3. AI Fit Diagnostic'!$C$8:$C$57,MATCH($H24,'3. AI Fit Diagnostic'!$AD$8:$AD$57,0)))</f>
        <v/>
      </c>
      <c r="C24" s="24" t="str">
        <f>IF($H24="","",INDEX('3. AI Fit Diagnostic'!$B$8:$B$57,MATCH($H24,'3. AI Fit Diagnostic'!$AD$8:$AD$57,0)))</f>
        <v/>
      </c>
      <c r="D24" s="24" t="str">
        <f>IF($H24="","",INDEX('3. AI Fit Diagnostic'!$O$8:$O$57,MATCH($H24,'3. AI Fit Diagnostic'!$AD$8:$AD$57,0)))</f>
        <v/>
      </c>
      <c r="E24" s="24" t="str">
        <f>IF($H24="","",INDEX('3. AI Fit Diagnostic'!$T$8:$T$57,MATCH($H24,'3. AI Fit Diagnostic'!$AD$8:$AD$57,0)))</f>
        <v/>
      </c>
      <c r="F24" s="37" t="str">
        <f>IF($H24="","",INDEX('3. AI Fit Diagnostic'!$W$8:$W$57,MATCH($H24,'3. AI Fit Diagnostic'!$AD$8:$AD$57,0)))</f>
        <v/>
      </c>
      <c r="G24" s="41" t="str">
        <f>IF($H24="","",INDEX('3. AI Fit Diagnostic'!$AB$8:$AB$57,MATCH($H24,'3. AI Fit Diagnostic'!$AD$8:$AD$57,0)))</f>
        <v/>
      </c>
      <c r="H24" t="str">
        <f>IF(IFERROR(SMALL('3. AI Fit Diagnostic'!$AD$8:$AD$57,COUNTIF('3. AI Fit Diagnostic'!$AD$8:$AD$57,"&lt;"&amp;100)+19),"")="","",IF(IFERROR(SMALL('3. AI Fit Diagnostic'!$AD$8:$AD$57,COUNTIF('3. AI Fit Diagnostic'!$AD$8:$AD$57,"&lt;"&amp;100)+19),"")&lt;200,IFERROR(SMALL('3. AI Fit Diagnostic'!$AD$8:$AD$57,COUNTIF('3. AI Fit Diagnostic'!$AD$8:$AD$57,"&lt;"&amp;100)+19),""),""))</f>
        <v/>
      </c>
    </row>
    <row r="25" ht="26" customHeight="1">
      <c r="A25" s="40" t="str">
        <f>IF($H25="","",INDEX('3. AI Fit Diagnostic'!$Z$8:$Z$57,MATCH($H25,'3. AI Fit Diagnostic'!$AD$8:$AD$57,0)))</f>
        <v/>
      </c>
      <c r="B25" s="55" t="str">
        <f>IF($H25="","",INDEX('3. AI Fit Diagnostic'!$C$8:$C$57,MATCH($H25,'3. AI Fit Diagnostic'!$AD$8:$AD$57,0)))</f>
        <v/>
      </c>
      <c r="C25" s="24" t="str">
        <f>IF($H25="","",INDEX('3. AI Fit Diagnostic'!$B$8:$B$57,MATCH($H25,'3. AI Fit Diagnostic'!$AD$8:$AD$57,0)))</f>
        <v/>
      </c>
      <c r="D25" s="24" t="str">
        <f>IF($H25="","",INDEX('3. AI Fit Diagnostic'!$O$8:$O$57,MATCH($H25,'3. AI Fit Diagnostic'!$AD$8:$AD$57,0)))</f>
        <v/>
      </c>
      <c r="E25" s="24" t="str">
        <f>IF($H25="","",INDEX('3. AI Fit Diagnostic'!$T$8:$T$57,MATCH($H25,'3. AI Fit Diagnostic'!$AD$8:$AD$57,0)))</f>
        <v/>
      </c>
      <c r="F25" s="37" t="str">
        <f>IF($H25="","",INDEX('3. AI Fit Diagnostic'!$W$8:$W$57,MATCH($H25,'3. AI Fit Diagnostic'!$AD$8:$AD$57,0)))</f>
        <v/>
      </c>
      <c r="G25" s="41" t="str">
        <f>IF($H25="","",INDEX('3. AI Fit Diagnostic'!$AB$8:$AB$57,MATCH($H25,'3. AI Fit Diagnostic'!$AD$8:$AD$57,0)))</f>
        <v/>
      </c>
      <c r="H25" t="str">
        <f>IF(IFERROR(SMALL('3. AI Fit Diagnostic'!$AD$8:$AD$57,COUNTIF('3. AI Fit Diagnostic'!$AD$8:$AD$57,"&lt;"&amp;100)+20),"")="","",IF(IFERROR(SMALL('3. AI Fit Diagnostic'!$AD$8:$AD$57,COUNTIF('3. AI Fit Diagnostic'!$AD$8:$AD$57,"&lt;"&amp;100)+20),"")&lt;200,IFERROR(SMALL('3. AI Fit Diagnostic'!$AD$8:$AD$57,COUNTIF('3. AI Fit Diagnostic'!$AD$8:$AD$57,"&lt;"&amp;100)+20),""),""))</f>
        <v/>
      </c>
    </row>
    <row r="27" ht="22" customHeight="1">
      <c r="A27" s="10" t="inlineStr">
        <is>
          <t>H2 - Next (6-12 months)</t>
        </is>
      </c>
    </row>
    <row r="28">
      <c r="A28" s="59" t="inlineStr">
        <is>
          <t>Rank</t>
        </is>
      </c>
      <c r="B28" s="59" t="inlineStr">
        <is>
          <t>Process / activity</t>
        </is>
      </c>
      <c r="C28" s="59" t="inlineStr">
        <is>
          <t>Function</t>
        </is>
      </c>
      <c r="D28" s="59" t="inlineStr">
        <is>
          <t>Solution family</t>
        </is>
      </c>
      <c r="E28" s="59" t="inlineStr">
        <is>
          <t>Verdict</t>
        </is>
      </c>
      <c r="F28" s="59" t="inlineStr">
        <is>
          <t>Risk tier</t>
        </is>
      </c>
      <c r="G28" s="59" t="inlineStr">
        <is>
          <t>Hours / yr</t>
        </is>
      </c>
    </row>
    <row r="29" ht="26" customHeight="1">
      <c r="A29" s="40" t="str">
        <f>IF($H29="","",INDEX('3. AI Fit Diagnostic'!$Z$8:$Z$57,MATCH($H29,'3. AI Fit Diagnostic'!$AD$8:$AD$57,0)))</f>
        <v/>
      </c>
      <c r="B29" s="55" t="str">
        <f>IF($H29="","",INDEX('3. AI Fit Diagnostic'!$C$8:$C$57,MATCH($H29,'3. AI Fit Diagnostic'!$AD$8:$AD$57,0)))</f>
        <v/>
      </c>
      <c r="C29" s="24" t="str">
        <f>IF($H29="","",INDEX('3. AI Fit Diagnostic'!$B$8:$B$57,MATCH($H29,'3. AI Fit Diagnostic'!$AD$8:$AD$57,0)))</f>
        <v/>
      </c>
      <c r="D29" s="24" t="str">
        <f>IF($H29="","",INDEX('3. AI Fit Diagnostic'!$O$8:$O$57,MATCH($H29,'3. AI Fit Diagnostic'!$AD$8:$AD$57,0)))</f>
        <v/>
      </c>
      <c r="E29" s="24" t="str">
        <f>IF($H29="","",INDEX('3. AI Fit Diagnostic'!$T$8:$T$57,MATCH($H29,'3. AI Fit Diagnostic'!$AD$8:$AD$57,0)))</f>
        <v/>
      </c>
      <c r="F29" s="37" t="str">
        <f>IF($H29="","",INDEX('3. AI Fit Diagnostic'!$W$8:$W$57,MATCH($H29,'3. AI Fit Diagnostic'!$AD$8:$AD$57,0)))</f>
        <v/>
      </c>
      <c r="G29" s="41" t="str">
        <f>IF($H29="","",INDEX('3. AI Fit Diagnostic'!$AB$8:$AB$57,MATCH($H29,'3. AI Fit Diagnostic'!$AD$8:$AD$57,0)))</f>
        <v/>
      </c>
      <c r="H29" t="str">
        <f>IF(IFERROR(SMALL('3. AI Fit Diagnostic'!$AD$8:$AD$57,COUNTIF('3. AI Fit Diagnostic'!$AD$8:$AD$57,"&lt;"&amp;200)+1),"")="","",IF(IFERROR(SMALL('3. AI Fit Diagnostic'!$AD$8:$AD$57,COUNTIF('3. AI Fit Diagnostic'!$AD$8:$AD$57,"&lt;"&amp;200)+1),"")&lt;300,IFERROR(SMALL('3. AI Fit Diagnostic'!$AD$8:$AD$57,COUNTIF('3. AI Fit Diagnostic'!$AD$8:$AD$57,"&lt;"&amp;200)+1),""),""))</f>
        <v/>
      </c>
    </row>
    <row r="30" ht="26" customHeight="1">
      <c r="A30" s="40" t="str">
        <f>IF($H30="","",INDEX('3. AI Fit Diagnostic'!$Z$8:$Z$57,MATCH($H30,'3. AI Fit Diagnostic'!$AD$8:$AD$57,0)))</f>
        <v/>
      </c>
      <c r="B30" s="55" t="str">
        <f>IF($H30="","",INDEX('3. AI Fit Diagnostic'!$C$8:$C$57,MATCH($H30,'3. AI Fit Diagnostic'!$AD$8:$AD$57,0)))</f>
        <v/>
      </c>
      <c r="C30" s="24" t="str">
        <f>IF($H30="","",INDEX('3. AI Fit Diagnostic'!$B$8:$B$57,MATCH($H30,'3. AI Fit Diagnostic'!$AD$8:$AD$57,0)))</f>
        <v/>
      </c>
      <c r="D30" s="24" t="str">
        <f>IF($H30="","",INDEX('3. AI Fit Diagnostic'!$O$8:$O$57,MATCH($H30,'3. AI Fit Diagnostic'!$AD$8:$AD$57,0)))</f>
        <v/>
      </c>
      <c r="E30" s="24" t="str">
        <f>IF($H30="","",INDEX('3. AI Fit Diagnostic'!$T$8:$T$57,MATCH($H30,'3. AI Fit Diagnostic'!$AD$8:$AD$57,0)))</f>
        <v/>
      </c>
      <c r="F30" s="37" t="str">
        <f>IF($H30="","",INDEX('3. AI Fit Diagnostic'!$W$8:$W$57,MATCH($H30,'3. AI Fit Diagnostic'!$AD$8:$AD$57,0)))</f>
        <v/>
      </c>
      <c r="G30" s="41" t="str">
        <f>IF($H30="","",INDEX('3. AI Fit Diagnostic'!$AB$8:$AB$57,MATCH($H30,'3. AI Fit Diagnostic'!$AD$8:$AD$57,0)))</f>
        <v/>
      </c>
      <c r="H30" t="str">
        <f>IF(IFERROR(SMALL('3. AI Fit Diagnostic'!$AD$8:$AD$57,COUNTIF('3. AI Fit Diagnostic'!$AD$8:$AD$57,"&lt;"&amp;200)+2),"")="","",IF(IFERROR(SMALL('3. AI Fit Diagnostic'!$AD$8:$AD$57,COUNTIF('3. AI Fit Diagnostic'!$AD$8:$AD$57,"&lt;"&amp;200)+2),"")&lt;300,IFERROR(SMALL('3. AI Fit Diagnostic'!$AD$8:$AD$57,COUNTIF('3. AI Fit Diagnostic'!$AD$8:$AD$57,"&lt;"&amp;200)+2),""),""))</f>
        <v/>
      </c>
    </row>
    <row r="31" ht="26" customHeight="1">
      <c r="A31" s="40" t="str">
        <f>IF($H31="","",INDEX('3. AI Fit Diagnostic'!$Z$8:$Z$57,MATCH($H31,'3. AI Fit Diagnostic'!$AD$8:$AD$57,0)))</f>
        <v/>
      </c>
      <c r="B31" s="55" t="str">
        <f>IF($H31="","",INDEX('3. AI Fit Diagnostic'!$C$8:$C$57,MATCH($H31,'3. AI Fit Diagnostic'!$AD$8:$AD$57,0)))</f>
        <v/>
      </c>
      <c r="C31" s="24" t="str">
        <f>IF($H31="","",INDEX('3. AI Fit Diagnostic'!$B$8:$B$57,MATCH($H31,'3. AI Fit Diagnostic'!$AD$8:$AD$57,0)))</f>
        <v/>
      </c>
      <c r="D31" s="24" t="str">
        <f>IF($H31="","",INDEX('3. AI Fit Diagnostic'!$O$8:$O$57,MATCH($H31,'3. AI Fit Diagnostic'!$AD$8:$AD$57,0)))</f>
        <v/>
      </c>
      <c r="E31" s="24" t="str">
        <f>IF($H31="","",INDEX('3. AI Fit Diagnostic'!$T$8:$T$57,MATCH($H31,'3. AI Fit Diagnostic'!$AD$8:$AD$57,0)))</f>
        <v/>
      </c>
      <c r="F31" s="37" t="str">
        <f>IF($H31="","",INDEX('3. AI Fit Diagnostic'!$W$8:$W$57,MATCH($H31,'3. AI Fit Diagnostic'!$AD$8:$AD$57,0)))</f>
        <v/>
      </c>
      <c r="G31" s="41" t="str">
        <f>IF($H31="","",INDEX('3. AI Fit Diagnostic'!$AB$8:$AB$57,MATCH($H31,'3. AI Fit Diagnostic'!$AD$8:$AD$57,0)))</f>
        <v/>
      </c>
      <c r="H31" t="str">
        <f>IF(IFERROR(SMALL('3. AI Fit Diagnostic'!$AD$8:$AD$57,COUNTIF('3. AI Fit Diagnostic'!$AD$8:$AD$57,"&lt;"&amp;200)+3),"")="","",IF(IFERROR(SMALL('3. AI Fit Diagnostic'!$AD$8:$AD$57,COUNTIF('3. AI Fit Diagnostic'!$AD$8:$AD$57,"&lt;"&amp;200)+3),"")&lt;300,IFERROR(SMALL('3. AI Fit Diagnostic'!$AD$8:$AD$57,COUNTIF('3. AI Fit Diagnostic'!$AD$8:$AD$57,"&lt;"&amp;200)+3),""),""))</f>
        <v/>
      </c>
    </row>
    <row r="32" ht="26" customHeight="1">
      <c r="A32" s="40" t="str">
        <f>IF($H32="","",INDEX('3. AI Fit Diagnostic'!$Z$8:$Z$57,MATCH($H32,'3. AI Fit Diagnostic'!$AD$8:$AD$57,0)))</f>
        <v/>
      </c>
      <c r="B32" s="55" t="str">
        <f>IF($H32="","",INDEX('3. AI Fit Diagnostic'!$C$8:$C$57,MATCH($H32,'3. AI Fit Diagnostic'!$AD$8:$AD$57,0)))</f>
        <v/>
      </c>
      <c r="C32" s="24" t="str">
        <f>IF($H32="","",INDEX('3. AI Fit Diagnostic'!$B$8:$B$57,MATCH($H32,'3. AI Fit Diagnostic'!$AD$8:$AD$57,0)))</f>
        <v/>
      </c>
      <c r="D32" s="24" t="str">
        <f>IF($H32="","",INDEX('3. AI Fit Diagnostic'!$O$8:$O$57,MATCH($H32,'3. AI Fit Diagnostic'!$AD$8:$AD$57,0)))</f>
        <v/>
      </c>
      <c r="E32" s="24" t="str">
        <f>IF($H32="","",INDEX('3. AI Fit Diagnostic'!$T$8:$T$57,MATCH($H32,'3. AI Fit Diagnostic'!$AD$8:$AD$57,0)))</f>
        <v/>
      </c>
      <c r="F32" s="37" t="str">
        <f>IF($H32="","",INDEX('3. AI Fit Diagnostic'!$W$8:$W$57,MATCH($H32,'3. AI Fit Diagnostic'!$AD$8:$AD$57,0)))</f>
        <v/>
      </c>
      <c r="G32" s="41" t="str">
        <f>IF($H32="","",INDEX('3. AI Fit Diagnostic'!$AB$8:$AB$57,MATCH($H32,'3. AI Fit Diagnostic'!$AD$8:$AD$57,0)))</f>
        <v/>
      </c>
      <c r="H32" t="str">
        <f>IF(IFERROR(SMALL('3. AI Fit Diagnostic'!$AD$8:$AD$57,COUNTIF('3. AI Fit Diagnostic'!$AD$8:$AD$57,"&lt;"&amp;200)+4),"")="","",IF(IFERROR(SMALL('3. AI Fit Diagnostic'!$AD$8:$AD$57,COUNTIF('3. AI Fit Diagnostic'!$AD$8:$AD$57,"&lt;"&amp;200)+4),"")&lt;300,IFERROR(SMALL('3. AI Fit Diagnostic'!$AD$8:$AD$57,COUNTIF('3. AI Fit Diagnostic'!$AD$8:$AD$57,"&lt;"&amp;200)+4),""),""))</f>
        <v/>
      </c>
    </row>
    <row r="33" ht="26" customHeight="1">
      <c r="A33" s="40" t="str">
        <f>IF($H33="","",INDEX('3. AI Fit Diagnostic'!$Z$8:$Z$57,MATCH($H33,'3. AI Fit Diagnostic'!$AD$8:$AD$57,0)))</f>
        <v/>
      </c>
      <c r="B33" s="55" t="str">
        <f>IF($H33="","",INDEX('3. AI Fit Diagnostic'!$C$8:$C$57,MATCH($H33,'3. AI Fit Diagnostic'!$AD$8:$AD$57,0)))</f>
        <v/>
      </c>
      <c r="C33" s="24" t="str">
        <f>IF($H33="","",INDEX('3. AI Fit Diagnostic'!$B$8:$B$57,MATCH($H33,'3. AI Fit Diagnostic'!$AD$8:$AD$57,0)))</f>
        <v/>
      </c>
      <c r="D33" s="24" t="str">
        <f>IF($H33="","",INDEX('3. AI Fit Diagnostic'!$O$8:$O$57,MATCH($H33,'3. AI Fit Diagnostic'!$AD$8:$AD$57,0)))</f>
        <v/>
      </c>
      <c r="E33" s="24" t="str">
        <f>IF($H33="","",INDEX('3. AI Fit Diagnostic'!$T$8:$T$57,MATCH($H33,'3. AI Fit Diagnostic'!$AD$8:$AD$57,0)))</f>
        <v/>
      </c>
      <c r="F33" s="37" t="str">
        <f>IF($H33="","",INDEX('3. AI Fit Diagnostic'!$W$8:$W$57,MATCH($H33,'3. AI Fit Diagnostic'!$AD$8:$AD$57,0)))</f>
        <v/>
      </c>
      <c r="G33" s="41" t="str">
        <f>IF($H33="","",INDEX('3. AI Fit Diagnostic'!$AB$8:$AB$57,MATCH($H33,'3. AI Fit Diagnostic'!$AD$8:$AD$57,0)))</f>
        <v/>
      </c>
      <c r="H33" t="str">
        <f>IF(IFERROR(SMALL('3. AI Fit Diagnostic'!$AD$8:$AD$57,COUNTIF('3. AI Fit Diagnostic'!$AD$8:$AD$57,"&lt;"&amp;200)+5),"")="","",IF(IFERROR(SMALL('3. AI Fit Diagnostic'!$AD$8:$AD$57,COUNTIF('3. AI Fit Diagnostic'!$AD$8:$AD$57,"&lt;"&amp;200)+5),"")&lt;300,IFERROR(SMALL('3. AI Fit Diagnostic'!$AD$8:$AD$57,COUNTIF('3. AI Fit Diagnostic'!$AD$8:$AD$57,"&lt;"&amp;200)+5),""),""))</f>
        <v/>
      </c>
    </row>
    <row r="34" ht="26" customHeight="1">
      <c r="A34" s="40" t="str">
        <f>IF($H34="","",INDEX('3. AI Fit Diagnostic'!$Z$8:$Z$57,MATCH($H34,'3. AI Fit Diagnostic'!$AD$8:$AD$57,0)))</f>
        <v/>
      </c>
      <c r="B34" s="55" t="str">
        <f>IF($H34="","",INDEX('3. AI Fit Diagnostic'!$C$8:$C$57,MATCH($H34,'3. AI Fit Diagnostic'!$AD$8:$AD$57,0)))</f>
        <v/>
      </c>
      <c r="C34" s="24" t="str">
        <f>IF($H34="","",INDEX('3. AI Fit Diagnostic'!$B$8:$B$57,MATCH($H34,'3. AI Fit Diagnostic'!$AD$8:$AD$57,0)))</f>
        <v/>
      </c>
      <c r="D34" s="24" t="str">
        <f>IF($H34="","",INDEX('3. AI Fit Diagnostic'!$O$8:$O$57,MATCH($H34,'3. AI Fit Diagnostic'!$AD$8:$AD$57,0)))</f>
        <v/>
      </c>
      <c r="E34" s="24" t="str">
        <f>IF($H34="","",INDEX('3. AI Fit Diagnostic'!$T$8:$T$57,MATCH($H34,'3. AI Fit Diagnostic'!$AD$8:$AD$57,0)))</f>
        <v/>
      </c>
      <c r="F34" s="37" t="str">
        <f>IF($H34="","",INDEX('3. AI Fit Diagnostic'!$W$8:$W$57,MATCH($H34,'3. AI Fit Diagnostic'!$AD$8:$AD$57,0)))</f>
        <v/>
      </c>
      <c r="G34" s="41" t="str">
        <f>IF($H34="","",INDEX('3. AI Fit Diagnostic'!$AB$8:$AB$57,MATCH($H34,'3. AI Fit Diagnostic'!$AD$8:$AD$57,0)))</f>
        <v/>
      </c>
      <c r="H34" t="str">
        <f>IF(IFERROR(SMALL('3. AI Fit Diagnostic'!$AD$8:$AD$57,COUNTIF('3. AI Fit Diagnostic'!$AD$8:$AD$57,"&lt;"&amp;200)+6),"")="","",IF(IFERROR(SMALL('3. AI Fit Diagnostic'!$AD$8:$AD$57,COUNTIF('3. AI Fit Diagnostic'!$AD$8:$AD$57,"&lt;"&amp;200)+6),"")&lt;300,IFERROR(SMALL('3. AI Fit Diagnostic'!$AD$8:$AD$57,COUNTIF('3. AI Fit Diagnostic'!$AD$8:$AD$57,"&lt;"&amp;200)+6),""),""))</f>
        <v/>
      </c>
    </row>
    <row r="35" ht="26" customHeight="1">
      <c r="A35" s="40" t="str">
        <f>IF($H35="","",INDEX('3. AI Fit Diagnostic'!$Z$8:$Z$57,MATCH($H35,'3. AI Fit Diagnostic'!$AD$8:$AD$57,0)))</f>
        <v/>
      </c>
      <c r="B35" s="55" t="str">
        <f>IF($H35="","",INDEX('3. AI Fit Diagnostic'!$C$8:$C$57,MATCH($H35,'3. AI Fit Diagnostic'!$AD$8:$AD$57,0)))</f>
        <v/>
      </c>
      <c r="C35" s="24" t="str">
        <f>IF($H35="","",INDEX('3. AI Fit Diagnostic'!$B$8:$B$57,MATCH($H35,'3. AI Fit Diagnostic'!$AD$8:$AD$57,0)))</f>
        <v/>
      </c>
      <c r="D35" s="24" t="str">
        <f>IF($H35="","",INDEX('3. AI Fit Diagnostic'!$O$8:$O$57,MATCH($H35,'3. AI Fit Diagnostic'!$AD$8:$AD$57,0)))</f>
        <v/>
      </c>
      <c r="E35" s="24" t="str">
        <f>IF($H35="","",INDEX('3. AI Fit Diagnostic'!$T$8:$T$57,MATCH($H35,'3. AI Fit Diagnostic'!$AD$8:$AD$57,0)))</f>
        <v/>
      </c>
      <c r="F35" s="37" t="str">
        <f>IF($H35="","",INDEX('3. AI Fit Diagnostic'!$W$8:$W$57,MATCH($H35,'3. AI Fit Diagnostic'!$AD$8:$AD$57,0)))</f>
        <v/>
      </c>
      <c r="G35" s="41" t="str">
        <f>IF($H35="","",INDEX('3. AI Fit Diagnostic'!$AB$8:$AB$57,MATCH($H35,'3. AI Fit Diagnostic'!$AD$8:$AD$57,0)))</f>
        <v/>
      </c>
      <c r="H35" t="str">
        <f>IF(IFERROR(SMALL('3. AI Fit Diagnostic'!$AD$8:$AD$57,COUNTIF('3. AI Fit Diagnostic'!$AD$8:$AD$57,"&lt;"&amp;200)+7),"")="","",IF(IFERROR(SMALL('3. AI Fit Diagnostic'!$AD$8:$AD$57,COUNTIF('3. AI Fit Diagnostic'!$AD$8:$AD$57,"&lt;"&amp;200)+7),"")&lt;300,IFERROR(SMALL('3. AI Fit Diagnostic'!$AD$8:$AD$57,COUNTIF('3. AI Fit Diagnostic'!$AD$8:$AD$57,"&lt;"&amp;200)+7),""),""))</f>
        <v/>
      </c>
    </row>
    <row r="36" ht="26" customHeight="1">
      <c r="A36" s="40" t="str">
        <f>IF($H36="","",INDEX('3. AI Fit Diagnostic'!$Z$8:$Z$57,MATCH($H36,'3. AI Fit Diagnostic'!$AD$8:$AD$57,0)))</f>
        <v/>
      </c>
      <c r="B36" s="55" t="str">
        <f>IF($H36="","",INDEX('3. AI Fit Diagnostic'!$C$8:$C$57,MATCH($H36,'3. AI Fit Diagnostic'!$AD$8:$AD$57,0)))</f>
        <v/>
      </c>
      <c r="C36" s="24" t="str">
        <f>IF($H36="","",INDEX('3. AI Fit Diagnostic'!$B$8:$B$57,MATCH($H36,'3. AI Fit Diagnostic'!$AD$8:$AD$57,0)))</f>
        <v/>
      </c>
      <c r="D36" s="24" t="str">
        <f>IF($H36="","",INDEX('3. AI Fit Diagnostic'!$O$8:$O$57,MATCH($H36,'3. AI Fit Diagnostic'!$AD$8:$AD$57,0)))</f>
        <v/>
      </c>
      <c r="E36" s="24" t="str">
        <f>IF($H36="","",INDEX('3. AI Fit Diagnostic'!$T$8:$T$57,MATCH($H36,'3. AI Fit Diagnostic'!$AD$8:$AD$57,0)))</f>
        <v/>
      </c>
      <c r="F36" s="37" t="str">
        <f>IF($H36="","",INDEX('3. AI Fit Diagnostic'!$W$8:$W$57,MATCH($H36,'3. AI Fit Diagnostic'!$AD$8:$AD$57,0)))</f>
        <v/>
      </c>
      <c r="G36" s="41" t="str">
        <f>IF($H36="","",INDEX('3. AI Fit Diagnostic'!$AB$8:$AB$57,MATCH($H36,'3. AI Fit Diagnostic'!$AD$8:$AD$57,0)))</f>
        <v/>
      </c>
      <c r="H36" t="str">
        <f>IF(IFERROR(SMALL('3. AI Fit Diagnostic'!$AD$8:$AD$57,COUNTIF('3. AI Fit Diagnostic'!$AD$8:$AD$57,"&lt;"&amp;200)+8),"")="","",IF(IFERROR(SMALL('3. AI Fit Diagnostic'!$AD$8:$AD$57,COUNTIF('3. AI Fit Diagnostic'!$AD$8:$AD$57,"&lt;"&amp;200)+8),"")&lt;300,IFERROR(SMALL('3. AI Fit Diagnostic'!$AD$8:$AD$57,COUNTIF('3. AI Fit Diagnostic'!$AD$8:$AD$57,"&lt;"&amp;200)+8),""),""))</f>
        <v/>
      </c>
    </row>
    <row r="37" ht="26" customHeight="1">
      <c r="A37" s="40" t="str">
        <f>IF($H37="","",INDEX('3. AI Fit Diagnostic'!$Z$8:$Z$57,MATCH($H37,'3. AI Fit Diagnostic'!$AD$8:$AD$57,0)))</f>
        <v/>
      </c>
      <c r="B37" s="55" t="str">
        <f>IF($H37="","",INDEX('3. AI Fit Diagnostic'!$C$8:$C$57,MATCH($H37,'3. AI Fit Diagnostic'!$AD$8:$AD$57,0)))</f>
        <v/>
      </c>
      <c r="C37" s="24" t="str">
        <f>IF($H37="","",INDEX('3. AI Fit Diagnostic'!$B$8:$B$57,MATCH($H37,'3. AI Fit Diagnostic'!$AD$8:$AD$57,0)))</f>
        <v/>
      </c>
      <c r="D37" s="24" t="str">
        <f>IF($H37="","",INDEX('3. AI Fit Diagnostic'!$O$8:$O$57,MATCH($H37,'3. AI Fit Diagnostic'!$AD$8:$AD$57,0)))</f>
        <v/>
      </c>
      <c r="E37" s="24" t="str">
        <f>IF($H37="","",INDEX('3. AI Fit Diagnostic'!$T$8:$T$57,MATCH($H37,'3. AI Fit Diagnostic'!$AD$8:$AD$57,0)))</f>
        <v/>
      </c>
      <c r="F37" s="37" t="str">
        <f>IF($H37="","",INDEX('3. AI Fit Diagnostic'!$W$8:$W$57,MATCH($H37,'3. AI Fit Diagnostic'!$AD$8:$AD$57,0)))</f>
        <v/>
      </c>
      <c r="G37" s="41" t="str">
        <f>IF($H37="","",INDEX('3. AI Fit Diagnostic'!$AB$8:$AB$57,MATCH($H37,'3. AI Fit Diagnostic'!$AD$8:$AD$57,0)))</f>
        <v/>
      </c>
      <c r="H37" t="str">
        <f>IF(IFERROR(SMALL('3. AI Fit Diagnostic'!$AD$8:$AD$57,COUNTIF('3. AI Fit Diagnostic'!$AD$8:$AD$57,"&lt;"&amp;200)+9),"")="","",IF(IFERROR(SMALL('3. AI Fit Diagnostic'!$AD$8:$AD$57,COUNTIF('3. AI Fit Diagnostic'!$AD$8:$AD$57,"&lt;"&amp;200)+9),"")&lt;300,IFERROR(SMALL('3. AI Fit Diagnostic'!$AD$8:$AD$57,COUNTIF('3. AI Fit Diagnostic'!$AD$8:$AD$57,"&lt;"&amp;200)+9),""),""))</f>
        <v/>
      </c>
    </row>
    <row r="38" ht="26" customHeight="1">
      <c r="A38" s="40" t="str">
        <f>IF($H38="","",INDEX('3. AI Fit Diagnostic'!$Z$8:$Z$57,MATCH($H38,'3. AI Fit Diagnostic'!$AD$8:$AD$57,0)))</f>
        <v/>
      </c>
      <c r="B38" s="55" t="str">
        <f>IF($H38="","",INDEX('3. AI Fit Diagnostic'!$C$8:$C$57,MATCH($H38,'3. AI Fit Diagnostic'!$AD$8:$AD$57,0)))</f>
        <v/>
      </c>
      <c r="C38" s="24" t="str">
        <f>IF($H38="","",INDEX('3. AI Fit Diagnostic'!$B$8:$B$57,MATCH($H38,'3. AI Fit Diagnostic'!$AD$8:$AD$57,0)))</f>
        <v/>
      </c>
      <c r="D38" s="24" t="str">
        <f>IF($H38="","",INDEX('3. AI Fit Diagnostic'!$O$8:$O$57,MATCH($H38,'3. AI Fit Diagnostic'!$AD$8:$AD$57,0)))</f>
        <v/>
      </c>
      <c r="E38" s="24" t="str">
        <f>IF($H38="","",INDEX('3. AI Fit Diagnostic'!$T$8:$T$57,MATCH($H38,'3. AI Fit Diagnostic'!$AD$8:$AD$57,0)))</f>
        <v/>
      </c>
      <c r="F38" s="37" t="str">
        <f>IF($H38="","",INDEX('3. AI Fit Diagnostic'!$W$8:$W$57,MATCH($H38,'3. AI Fit Diagnostic'!$AD$8:$AD$57,0)))</f>
        <v/>
      </c>
      <c r="G38" s="41" t="str">
        <f>IF($H38="","",INDEX('3. AI Fit Diagnostic'!$AB$8:$AB$57,MATCH($H38,'3. AI Fit Diagnostic'!$AD$8:$AD$57,0)))</f>
        <v/>
      </c>
      <c r="H38" t="str">
        <f>IF(IFERROR(SMALL('3. AI Fit Diagnostic'!$AD$8:$AD$57,COUNTIF('3. AI Fit Diagnostic'!$AD$8:$AD$57,"&lt;"&amp;200)+10),"")="","",IF(IFERROR(SMALL('3. AI Fit Diagnostic'!$AD$8:$AD$57,COUNTIF('3. AI Fit Diagnostic'!$AD$8:$AD$57,"&lt;"&amp;200)+10),"")&lt;300,IFERROR(SMALL('3. AI Fit Diagnostic'!$AD$8:$AD$57,COUNTIF('3. AI Fit Diagnostic'!$AD$8:$AD$57,"&lt;"&amp;200)+10),""),""))</f>
        <v/>
      </c>
    </row>
    <row r="39" ht="26" customHeight="1">
      <c r="A39" s="40" t="str">
        <f>IF($H39="","",INDEX('3. AI Fit Diagnostic'!$Z$8:$Z$57,MATCH($H39,'3. AI Fit Diagnostic'!$AD$8:$AD$57,0)))</f>
        <v/>
      </c>
      <c r="B39" s="55" t="str">
        <f>IF($H39="","",INDEX('3. AI Fit Diagnostic'!$C$8:$C$57,MATCH($H39,'3. AI Fit Diagnostic'!$AD$8:$AD$57,0)))</f>
        <v/>
      </c>
      <c r="C39" s="24" t="str">
        <f>IF($H39="","",INDEX('3. AI Fit Diagnostic'!$B$8:$B$57,MATCH($H39,'3. AI Fit Diagnostic'!$AD$8:$AD$57,0)))</f>
        <v/>
      </c>
      <c r="D39" s="24" t="str">
        <f>IF($H39="","",INDEX('3. AI Fit Diagnostic'!$O$8:$O$57,MATCH($H39,'3. AI Fit Diagnostic'!$AD$8:$AD$57,0)))</f>
        <v/>
      </c>
      <c r="E39" s="24" t="str">
        <f>IF($H39="","",INDEX('3. AI Fit Diagnostic'!$T$8:$T$57,MATCH($H39,'3. AI Fit Diagnostic'!$AD$8:$AD$57,0)))</f>
        <v/>
      </c>
      <c r="F39" s="37" t="str">
        <f>IF($H39="","",INDEX('3. AI Fit Diagnostic'!$W$8:$W$57,MATCH($H39,'3. AI Fit Diagnostic'!$AD$8:$AD$57,0)))</f>
        <v/>
      </c>
      <c r="G39" s="41" t="str">
        <f>IF($H39="","",INDEX('3. AI Fit Diagnostic'!$AB$8:$AB$57,MATCH($H39,'3. AI Fit Diagnostic'!$AD$8:$AD$57,0)))</f>
        <v/>
      </c>
      <c r="H39" t="str">
        <f>IF(IFERROR(SMALL('3. AI Fit Diagnostic'!$AD$8:$AD$57,COUNTIF('3. AI Fit Diagnostic'!$AD$8:$AD$57,"&lt;"&amp;200)+11),"")="","",IF(IFERROR(SMALL('3. AI Fit Diagnostic'!$AD$8:$AD$57,COUNTIF('3. AI Fit Diagnostic'!$AD$8:$AD$57,"&lt;"&amp;200)+11),"")&lt;300,IFERROR(SMALL('3. AI Fit Diagnostic'!$AD$8:$AD$57,COUNTIF('3. AI Fit Diagnostic'!$AD$8:$AD$57,"&lt;"&amp;200)+11),""),""))</f>
        <v/>
      </c>
    </row>
    <row r="40" ht="26" customHeight="1">
      <c r="A40" s="40" t="str">
        <f>IF($H40="","",INDEX('3. AI Fit Diagnostic'!$Z$8:$Z$57,MATCH($H40,'3. AI Fit Diagnostic'!$AD$8:$AD$57,0)))</f>
        <v/>
      </c>
      <c r="B40" s="55" t="str">
        <f>IF($H40="","",INDEX('3. AI Fit Diagnostic'!$C$8:$C$57,MATCH($H40,'3. AI Fit Diagnostic'!$AD$8:$AD$57,0)))</f>
        <v/>
      </c>
      <c r="C40" s="24" t="str">
        <f>IF($H40="","",INDEX('3. AI Fit Diagnostic'!$B$8:$B$57,MATCH($H40,'3. AI Fit Diagnostic'!$AD$8:$AD$57,0)))</f>
        <v/>
      </c>
      <c r="D40" s="24" t="str">
        <f>IF($H40="","",INDEX('3. AI Fit Diagnostic'!$O$8:$O$57,MATCH($H40,'3. AI Fit Diagnostic'!$AD$8:$AD$57,0)))</f>
        <v/>
      </c>
      <c r="E40" s="24" t="str">
        <f>IF($H40="","",INDEX('3. AI Fit Diagnostic'!$T$8:$T$57,MATCH($H40,'3. AI Fit Diagnostic'!$AD$8:$AD$57,0)))</f>
        <v/>
      </c>
      <c r="F40" s="37" t="str">
        <f>IF($H40="","",INDEX('3. AI Fit Diagnostic'!$W$8:$W$57,MATCH($H40,'3. AI Fit Diagnostic'!$AD$8:$AD$57,0)))</f>
        <v/>
      </c>
      <c r="G40" s="41" t="str">
        <f>IF($H40="","",INDEX('3. AI Fit Diagnostic'!$AB$8:$AB$57,MATCH($H40,'3. AI Fit Diagnostic'!$AD$8:$AD$57,0)))</f>
        <v/>
      </c>
      <c r="H40" t="str">
        <f>IF(IFERROR(SMALL('3. AI Fit Diagnostic'!$AD$8:$AD$57,COUNTIF('3. AI Fit Diagnostic'!$AD$8:$AD$57,"&lt;"&amp;200)+12),"")="","",IF(IFERROR(SMALL('3. AI Fit Diagnostic'!$AD$8:$AD$57,COUNTIF('3. AI Fit Diagnostic'!$AD$8:$AD$57,"&lt;"&amp;200)+12),"")&lt;300,IFERROR(SMALL('3. AI Fit Diagnostic'!$AD$8:$AD$57,COUNTIF('3. AI Fit Diagnostic'!$AD$8:$AD$57,"&lt;"&amp;200)+12),""),""))</f>
        <v/>
      </c>
    </row>
    <row r="42" ht="22" customHeight="1">
      <c r="A42" s="60" t="inlineStr">
        <is>
          <t>H3 - Later (12-24 months)</t>
        </is>
      </c>
    </row>
    <row r="43">
      <c r="A43" s="59" t="inlineStr">
        <is>
          <t>Rank</t>
        </is>
      </c>
      <c r="B43" s="59" t="inlineStr">
        <is>
          <t>Process / activity</t>
        </is>
      </c>
      <c r="C43" s="59" t="inlineStr">
        <is>
          <t>Function</t>
        </is>
      </c>
      <c r="D43" s="59" t="inlineStr">
        <is>
          <t>Solution family</t>
        </is>
      </c>
      <c r="E43" s="59" t="inlineStr">
        <is>
          <t>Verdict</t>
        </is>
      </c>
      <c r="F43" s="59" t="inlineStr">
        <is>
          <t>Risk tier</t>
        </is>
      </c>
      <c r="G43" s="59" t="inlineStr">
        <is>
          <t>Hours / yr</t>
        </is>
      </c>
    </row>
    <row r="44" ht="26" customHeight="1">
      <c r="A44" s="40" t="str">
        <f>IF($H44="","",INDEX('3. AI Fit Diagnostic'!$Z$8:$Z$57,MATCH($H44,'3. AI Fit Diagnostic'!$AD$8:$AD$57,0)))</f>
        <v/>
      </c>
      <c r="B44" s="55" t="str">
        <f>IF($H44="","",INDEX('3. AI Fit Diagnostic'!$C$8:$C$57,MATCH($H44,'3. AI Fit Diagnostic'!$AD$8:$AD$57,0)))</f>
        <v/>
      </c>
      <c r="C44" s="24" t="str">
        <f>IF($H44="","",INDEX('3. AI Fit Diagnostic'!$B$8:$B$57,MATCH($H44,'3. AI Fit Diagnostic'!$AD$8:$AD$57,0)))</f>
        <v/>
      </c>
      <c r="D44" s="24" t="str">
        <f>IF($H44="","",INDEX('3. AI Fit Diagnostic'!$O$8:$O$57,MATCH($H44,'3. AI Fit Diagnostic'!$AD$8:$AD$57,0)))</f>
        <v/>
      </c>
      <c r="E44" s="24" t="str">
        <f>IF($H44="","",INDEX('3. AI Fit Diagnostic'!$T$8:$T$57,MATCH($H44,'3. AI Fit Diagnostic'!$AD$8:$AD$57,0)))</f>
        <v/>
      </c>
      <c r="F44" s="37" t="str">
        <f>IF($H44="","",INDEX('3. AI Fit Diagnostic'!$W$8:$W$57,MATCH($H44,'3. AI Fit Diagnostic'!$AD$8:$AD$57,0)))</f>
        <v/>
      </c>
      <c r="G44" s="41" t="str">
        <f>IF($H44="","",INDEX('3. AI Fit Diagnostic'!$AB$8:$AB$57,MATCH($H44,'3. AI Fit Diagnostic'!$AD$8:$AD$57,0)))</f>
        <v/>
      </c>
      <c r="H44" t="str">
        <f>IF(IFERROR(SMALL('3. AI Fit Diagnostic'!$AD$8:$AD$57,COUNTIF('3. AI Fit Diagnostic'!$AD$8:$AD$57,"&lt;"&amp;300)+1),"")="","",IF(IFERROR(SMALL('3. AI Fit Diagnostic'!$AD$8:$AD$57,COUNTIF('3. AI Fit Diagnostic'!$AD$8:$AD$57,"&lt;"&amp;300)+1),"")&lt;400,IFERROR(SMALL('3. AI Fit Diagnostic'!$AD$8:$AD$57,COUNTIF('3. AI Fit Diagnostic'!$AD$8:$AD$57,"&lt;"&amp;300)+1),""),""))</f>
        <v/>
      </c>
    </row>
    <row r="45" ht="26" customHeight="1">
      <c r="A45" s="40" t="str">
        <f>IF($H45="","",INDEX('3. AI Fit Diagnostic'!$Z$8:$Z$57,MATCH($H45,'3. AI Fit Diagnostic'!$AD$8:$AD$57,0)))</f>
        <v/>
      </c>
      <c r="B45" s="55" t="str">
        <f>IF($H45="","",INDEX('3. AI Fit Diagnostic'!$C$8:$C$57,MATCH($H45,'3. AI Fit Diagnostic'!$AD$8:$AD$57,0)))</f>
        <v/>
      </c>
      <c r="C45" s="24" t="str">
        <f>IF($H45="","",INDEX('3. AI Fit Diagnostic'!$B$8:$B$57,MATCH($H45,'3. AI Fit Diagnostic'!$AD$8:$AD$57,0)))</f>
        <v/>
      </c>
      <c r="D45" s="24" t="str">
        <f>IF($H45="","",INDEX('3. AI Fit Diagnostic'!$O$8:$O$57,MATCH($H45,'3. AI Fit Diagnostic'!$AD$8:$AD$57,0)))</f>
        <v/>
      </c>
      <c r="E45" s="24" t="str">
        <f>IF($H45="","",INDEX('3. AI Fit Diagnostic'!$T$8:$T$57,MATCH($H45,'3. AI Fit Diagnostic'!$AD$8:$AD$57,0)))</f>
        <v/>
      </c>
      <c r="F45" s="37" t="str">
        <f>IF($H45="","",INDEX('3. AI Fit Diagnostic'!$W$8:$W$57,MATCH($H45,'3. AI Fit Diagnostic'!$AD$8:$AD$57,0)))</f>
        <v/>
      </c>
      <c r="G45" s="41" t="str">
        <f>IF($H45="","",INDEX('3. AI Fit Diagnostic'!$AB$8:$AB$57,MATCH($H45,'3. AI Fit Diagnostic'!$AD$8:$AD$57,0)))</f>
        <v/>
      </c>
      <c r="H45" t="str">
        <f>IF(IFERROR(SMALL('3. AI Fit Diagnostic'!$AD$8:$AD$57,COUNTIF('3. AI Fit Diagnostic'!$AD$8:$AD$57,"&lt;"&amp;300)+2),"")="","",IF(IFERROR(SMALL('3. AI Fit Diagnostic'!$AD$8:$AD$57,COUNTIF('3. AI Fit Diagnostic'!$AD$8:$AD$57,"&lt;"&amp;300)+2),"")&lt;400,IFERROR(SMALL('3. AI Fit Diagnostic'!$AD$8:$AD$57,COUNTIF('3. AI Fit Diagnostic'!$AD$8:$AD$57,"&lt;"&amp;300)+2),""),""))</f>
        <v/>
      </c>
    </row>
    <row r="46" ht="26" customHeight="1">
      <c r="A46" s="40" t="str">
        <f>IF($H46="","",INDEX('3. AI Fit Diagnostic'!$Z$8:$Z$57,MATCH($H46,'3. AI Fit Diagnostic'!$AD$8:$AD$57,0)))</f>
        <v/>
      </c>
      <c r="B46" s="55" t="str">
        <f>IF($H46="","",INDEX('3. AI Fit Diagnostic'!$C$8:$C$57,MATCH($H46,'3. AI Fit Diagnostic'!$AD$8:$AD$57,0)))</f>
        <v/>
      </c>
      <c r="C46" s="24" t="str">
        <f>IF($H46="","",INDEX('3. AI Fit Diagnostic'!$B$8:$B$57,MATCH($H46,'3. AI Fit Diagnostic'!$AD$8:$AD$57,0)))</f>
        <v/>
      </c>
      <c r="D46" s="24" t="str">
        <f>IF($H46="","",INDEX('3. AI Fit Diagnostic'!$O$8:$O$57,MATCH($H46,'3. AI Fit Diagnostic'!$AD$8:$AD$57,0)))</f>
        <v/>
      </c>
      <c r="E46" s="24" t="str">
        <f>IF($H46="","",INDEX('3. AI Fit Diagnostic'!$T$8:$T$57,MATCH($H46,'3. AI Fit Diagnostic'!$AD$8:$AD$57,0)))</f>
        <v/>
      </c>
      <c r="F46" s="37" t="str">
        <f>IF($H46="","",INDEX('3. AI Fit Diagnostic'!$W$8:$W$57,MATCH($H46,'3. AI Fit Diagnostic'!$AD$8:$AD$57,0)))</f>
        <v/>
      </c>
      <c r="G46" s="41" t="str">
        <f>IF($H46="","",INDEX('3. AI Fit Diagnostic'!$AB$8:$AB$57,MATCH($H46,'3. AI Fit Diagnostic'!$AD$8:$AD$57,0)))</f>
        <v/>
      </c>
      <c r="H46" t="str">
        <f>IF(IFERROR(SMALL('3. AI Fit Diagnostic'!$AD$8:$AD$57,COUNTIF('3. AI Fit Diagnostic'!$AD$8:$AD$57,"&lt;"&amp;300)+3),"")="","",IF(IFERROR(SMALL('3. AI Fit Diagnostic'!$AD$8:$AD$57,COUNTIF('3. AI Fit Diagnostic'!$AD$8:$AD$57,"&lt;"&amp;300)+3),"")&lt;400,IFERROR(SMALL('3. AI Fit Diagnostic'!$AD$8:$AD$57,COUNTIF('3. AI Fit Diagnostic'!$AD$8:$AD$57,"&lt;"&amp;300)+3),""),""))</f>
        <v/>
      </c>
    </row>
    <row r="47" ht="26" customHeight="1">
      <c r="A47" s="40" t="str">
        <f>IF($H47="","",INDEX('3. AI Fit Diagnostic'!$Z$8:$Z$57,MATCH($H47,'3. AI Fit Diagnostic'!$AD$8:$AD$57,0)))</f>
        <v/>
      </c>
      <c r="B47" s="55" t="str">
        <f>IF($H47="","",INDEX('3. AI Fit Diagnostic'!$C$8:$C$57,MATCH($H47,'3. AI Fit Diagnostic'!$AD$8:$AD$57,0)))</f>
        <v/>
      </c>
      <c r="C47" s="24" t="str">
        <f>IF($H47="","",INDEX('3. AI Fit Diagnostic'!$B$8:$B$57,MATCH($H47,'3. AI Fit Diagnostic'!$AD$8:$AD$57,0)))</f>
        <v/>
      </c>
      <c r="D47" s="24" t="str">
        <f>IF($H47="","",INDEX('3. AI Fit Diagnostic'!$O$8:$O$57,MATCH($H47,'3. AI Fit Diagnostic'!$AD$8:$AD$57,0)))</f>
        <v/>
      </c>
      <c r="E47" s="24" t="str">
        <f>IF($H47="","",INDEX('3. AI Fit Diagnostic'!$T$8:$T$57,MATCH($H47,'3. AI Fit Diagnostic'!$AD$8:$AD$57,0)))</f>
        <v/>
      </c>
      <c r="F47" s="37" t="str">
        <f>IF($H47="","",INDEX('3. AI Fit Diagnostic'!$W$8:$W$57,MATCH($H47,'3. AI Fit Diagnostic'!$AD$8:$AD$57,0)))</f>
        <v/>
      </c>
      <c r="G47" s="41" t="str">
        <f>IF($H47="","",INDEX('3. AI Fit Diagnostic'!$AB$8:$AB$57,MATCH($H47,'3. AI Fit Diagnostic'!$AD$8:$AD$57,0)))</f>
        <v/>
      </c>
      <c r="H47" t="str">
        <f>IF(IFERROR(SMALL('3. AI Fit Diagnostic'!$AD$8:$AD$57,COUNTIF('3. AI Fit Diagnostic'!$AD$8:$AD$57,"&lt;"&amp;300)+4),"")="","",IF(IFERROR(SMALL('3. AI Fit Diagnostic'!$AD$8:$AD$57,COUNTIF('3. AI Fit Diagnostic'!$AD$8:$AD$57,"&lt;"&amp;300)+4),"")&lt;400,IFERROR(SMALL('3. AI Fit Diagnostic'!$AD$8:$AD$57,COUNTIF('3. AI Fit Diagnostic'!$AD$8:$AD$57,"&lt;"&amp;300)+4),""),""))</f>
        <v/>
      </c>
    </row>
    <row r="48" ht="26" customHeight="1">
      <c r="A48" s="40" t="str">
        <f>IF($H48="","",INDEX('3. AI Fit Diagnostic'!$Z$8:$Z$57,MATCH($H48,'3. AI Fit Diagnostic'!$AD$8:$AD$57,0)))</f>
        <v/>
      </c>
      <c r="B48" s="55" t="str">
        <f>IF($H48="","",INDEX('3. AI Fit Diagnostic'!$C$8:$C$57,MATCH($H48,'3. AI Fit Diagnostic'!$AD$8:$AD$57,0)))</f>
        <v/>
      </c>
      <c r="C48" s="24" t="str">
        <f>IF($H48="","",INDEX('3. AI Fit Diagnostic'!$B$8:$B$57,MATCH($H48,'3. AI Fit Diagnostic'!$AD$8:$AD$57,0)))</f>
        <v/>
      </c>
      <c r="D48" s="24" t="str">
        <f>IF($H48="","",INDEX('3. AI Fit Diagnostic'!$O$8:$O$57,MATCH($H48,'3. AI Fit Diagnostic'!$AD$8:$AD$57,0)))</f>
        <v/>
      </c>
      <c r="E48" s="24" t="str">
        <f>IF($H48="","",INDEX('3. AI Fit Diagnostic'!$T$8:$T$57,MATCH($H48,'3. AI Fit Diagnostic'!$AD$8:$AD$57,0)))</f>
        <v/>
      </c>
      <c r="F48" s="37" t="str">
        <f>IF($H48="","",INDEX('3. AI Fit Diagnostic'!$W$8:$W$57,MATCH($H48,'3. AI Fit Diagnostic'!$AD$8:$AD$57,0)))</f>
        <v/>
      </c>
      <c r="G48" s="41" t="str">
        <f>IF($H48="","",INDEX('3. AI Fit Diagnostic'!$AB$8:$AB$57,MATCH($H48,'3. AI Fit Diagnostic'!$AD$8:$AD$57,0)))</f>
        <v/>
      </c>
      <c r="H48" t="str">
        <f>IF(IFERROR(SMALL('3. AI Fit Diagnostic'!$AD$8:$AD$57,COUNTIF('3. AI Fit Diagnostic'!$AD$8:$AD$57,"&lt;"&amp;300)+5),"")="","",IF(IFERROR(SMALL('3. AI Fit Diagnostic'!$AD$8:$AD$57,COUNTIF('3. AI Fit Diagnostic'!$AD$8:$AD$57,"&lt;"&amp;300)+5),"")&lt;400,IFERROR(SMALL('3. AI Fit Diagnostic'!$AD$8:$AD$57,COUNTIF('3. AI Fit Diagnostic'!$AD$8:$AD$57,"&lt;"&amp;300)+5),""),""))</f>
        <v/>
      </c>
    </row>
    <row r="49" ht="26" customHeight="1">
      <c r="A49" s="40" t="str">
        <f>IF($H49="","",INDEX('3. AI Fit Diagnostic'!$Z$8:$Z$57,MATCH($H49,'3. AI Fit Diagnostic'!$AD$8:$AD$57,0)))</f>
        <v/>
      </c>
      <c r="B49" s="55" t="str">
        <f>IF($H49="","",INDEX('3. AI Fit Diagnostic'!$C$8:$C$57,MATCH($H49,'3. AI Fit Diagnostic'!$AD$8:$AD$57,0)))</f>
        <v/>
      </c>
      <c r="C49" s="24" t="str">
        <f>IF($H49="","",INDEX('3. AI Fit Diagnostic'!$B$8:$B$57,MATCH($H49,'3. AI Fit Diagnostic'!$AD$8:$AD$57,0)))</f>
        <v/>
      </c>
      <c r="D49" s="24" t="str">
        <f>IF($H49="","",INDEX('3. AI Fit Diagnostic'!$O$8:$O$57,MATCH($H49,'3. AI Fit Diagnostic'!$AD$8:$AD$57,0)))</f>
        <v/>
      </c>
      <c r="E49" s="24" t="str">
        <f>IF($H49="","",INDEX('3. AI Fit Diagnostic'!$T$8:$T$57,MATCH($H49,'3. AI Fit Diagnostic'!$AD$8:$AD$57,0)))</f>
        <v/>
      </c>
      <c r="F49" s="37" t="str">
        <f>IF($H49="","",INDEX('3. AI Fit Diagnostic'!$W$8:$W$57,MATCH($H49,'3. AI Fit Diagnostic'!$AD$8:$AD$57,0)))</f>
        <v/>
      </c>
      <c r="G49" s="41" t="str">
        <f>IF($H49="","",INDEX('3. AI Fit Diagnostic'!$AB$8:$AB$57,MATCH($H49,'3. AI Fit Diagnostic'!$AD$8:$AD$57,0)))</f>
        <v/>
      </c>
      <c r="H49" t="str">
        <f>IF(IFERROR(SMALL('3. AI Fit Diagnostic'!$AD$8:$AD$57,COUNTIF('3. AI Fit Diagnostic'!$AD$8:$AD$57,"&lt;"&amp;300)+6),"")="","",IF(IFERROR(SMALL('3. AI Fit Diagnostic'!$AD$8:$AD$57,COUNTIF('3. AI Fit Diagnostic'!$AD$8:$AD$57,"&lt;"&amp;300)+6),"")&lt;400,IFERROR(SMALL('3. AI Fit Diagnostic'!$AD$8:$AD$57,COUNTIF('3. AI Fit Diagnostic'!$AD$8:$AD$57,"&lt;"&amp;300)+6),""),""))</f>
        <v/>
      </c>
    </row>
    <row r="50" ht="26" customHeight="1">
      <c r="A50" s="40" t="str">
        <f>IF($H50="","",INDEX('3. AI Fit Diagnostic'!$Z$8:$Z$57,MATCH($H50,'3. AI Fit Diagnostic'!$AD$8:$AD$57,0)))</f>
        <v/>
      </c>
      <c r="B50" s="55" t="str">
        <f>IF($H50="","",INDEX('3. AI Fit Diagnostic'!$C$8:$C$57,MATCH($H50,'3. AI Fit Diagnostic'!$AD$8:$AD$57,0)))</f>
        <v/>
      </c>
      <c r="C50" s="24" t="str">
        <f>IF($H50="","",INDEX('3. AI Fit Diagnostic'!$B$8:$B$57,MATCH($H50,'3. AI Fit Diagnostic'!$AD$8:$AD$57,0)))</f>
        <v/>
      </c>
      <c r="D50" s="24" t="str">
        <f>IF($H50="","",INDEX('3. AI Fit Diagnostic'!$O$8:$O$57,MATCH($H50,'3. AI Fit Diagnostic'!$AD$8:$AD$57,0)))</f>
        <v/>
      </c>
      <c r="E50" s="24" t="str">
        <f>IF($H50="","",INDEX('3. AI Fit Diagnostic'!$T$8:$T$57,MATCH($H50,'3. AI Fit Diagnostic'!$AD$8:$AD$57,0)))</f>
        <v/>
      </c>
      <c r="F50" s="37" t="str">
        <f>IF($H50="","",INDEX('3. AI Fit Diagnostic'!$W$8:$W$57,MATCH($H50,'3. AI Fit Diagnostic'!$AD$8:$AD$57,0)))</f>
        <v/>
      </c>
      <c r="G50" s="41" t="str">
        <f>IF($H50="","",INDEX('3. AI Fit Diagnostic'!$AB$8:$AB$57,MATCH($H50,'3. AI Fit Diagnostic'!$AD$8:$AD$57,0)))</f>
        <v/>
      </c>
      <c r="H50" t="str">
        <f>IF(IFERROR(SMALL('3. AI Fit Diagnostic'!$AD$8:$AD$57,COUNTIF('3. AI Fit Diagnostic'!$AD$8:$AD$57,"&lt;"&amp;300)+7),"")="","",IF(IFERROR(SMALL('3. AI Fit Diagnostic'!$AD$8:$AD$57,COUNTIF('3. AI Fit Diagnostic'!$AD$8:$AD$57,"&lt;"&amp;300)+7),"")&lt;400,IFERROR(SMALL('3. AI Fit Diagnostic'!$AD$8:$AD$57,COUNTIF('3. AI Fit Diagnostic'!$AD$8:$AD$57,"&lt;"&amp;300)+7),""),""))</f>
        <v/>
      </c>
    </row>
    <row r="51" ht="26" customHeight="1">
      <c r="A51" s="40" t="str">
        <f>IF($H51="","",INDEX('3. AI Fit Diagnostic'!$Z$8:$Z$57,MATCH($H51,'3. AI Fit Diagnostic'!$AD$8:$AD$57,0)))</f>
        <v/>
      </c>
      <c r="B51" s="55" t="str">
        <f>IF($H51="","",INDEX('3. AI Fit Diagnostic'!$C$8:$C$57,MATCH($H51,'3. AI Fit Diagnostic'!$AD$8:$AD$57,0)))</f>
        <v/>
      </c>
      <c r="C51" s="24" t="str">
        <f>IF($H51="","",INDEX('3. AI Fit Diagnostic'!$B$8:$B$57,MATCH($H51,'3. AI Fit Diagnostic'!$AD$8:$AD$57,0)))</f>
        <v/>
      </c>
      <c r="D51" s="24" t="str">
        <f>IF($H51="","",INDEX('3. AI Fit Diagnostic'!$O$8:$O$57,MATCH($H51,'3. AI Fit Diagnostic'!$AD$8:$AD$57,0)))</f>
        <v/>
      </c>
      <c r="E51" s="24" t="str">
        <f>IF($H51="","",INDEX('3. AI Fit Diagnostic'!$T$8:$T$57,MATCH($H51,'3. AI Fit Diagnostic'!$AD$8:$AD$57,0)))</f>
        <v/>
      </c>
      <c r="F51" s="37" t="str">
        <f>IF($H51="","",INDEX('3. AI Fit Diagnostic'!$W$8:$W$57,MATCH($H51,'3. AI Fit Diagnostic'!$AD$8:$AD$57,0)))</f>
        <v/>
      </c>
      <c r="G51" s="41" t="str">
        <f>IF($H51="","",INDEX('3. AI Fit Diagnostic'!$AB$8:$AB$57,MATCH($H51,'3. AI Fit Diagnostic'!$AD$8:$AD$57,0)))</f>
        <v/>
      </c>
      <c r="H51" t="str">
        <f>IF(IFERROR(SMALL('3. AI Fit Diagnostic'!$AD$8:$AD$57,COUNTIF('3. AI Fit Diagnostic'!$AD$8:$AD$57,"&lt;"&amp;300)+8),"")="","",IF(IFERROR(SMALL('3. AI Fit Diagnostic'!$AD$8:$AD$57,COUNTIF('3. AI Fit Diagnostic'!$AD$8:$AD$57,"&lt;"&amp;300)+8),"")&lt;400,IFERROR(SMALL('3. AI Fit Diagnostic'!$AD$8:$AD$57,COUNTIF('3. AI Fit Diagnostic'!$AD$8:$AD$57,"&lt;"&amp;300)+8),""),""))</f>
        <v/>
      </c>
    </row>
    <row r="52" ht="26" customHeight="1">
      <c r="A52" s="40" t="str">
        <f>IF($H52="","",INDEX('3. AI Fit Diagnostic'!$Z$8:$Z$57,MATCH($H52,'3. AI Fit Diagnostic'!$AD$8:$AD$57,0)))</f>
        <v/>
      </c>
      <c r="B52" s="55" t="str">
        <f>IF($H52="","",INDEX('3. AI Fit Diagnostic'!$C$8:$C$57,MATCH($H52,'3. AI Fit Diagnostic'!$AD$8:$AD$57,0)))</f>
        <v/>
      </c>
      <c r="C52" s="24" t="str">
        <f>IF($H52="","",INDEX('3. AI Fit Diagnostic'!$B$8:$B$57,MATCH($H52,'3. AI Fit Diagnostic'!$AD$8:$AD$57,0)))</f>
        <v/>
      </c>
      <c r="D52" s="24" t="str">
        <f>IF($H52="","",INDEX('3. AI Fit Diagnostic'!$O$8:$O$57,MATCH($H52,'3. AI Fit Diagnostic'!$AD$8:$AD$57,0)))</f>
        <v/>
      </c>
      <c r="E52" s="24" t="str">
        <f>IF($H52="","",INDEX('3. AI Fit Diagnostic'!$T$8:$T$57,MATCH($H52,'3. AI Fit Diagnostic'!$AD$8:$AD$57,0)))</f>
        <v/>
      </c>
      <c r="F52" s="37" t="str">
        <f>IF($H52="","",INDEX('3. AI Fit Diagnostic'!$W$8:$W$57,MATCH($H52,'3. AI Fit Diagnostic'!$AD$8:$AD$57,0)))</f>
        <v/>
      </c>
      <c r="G52" s="41" t="str">
        <f>IF($H52="","",INDEX('3. AI Fit Diagnostic'!$AB$8:$AB$57,MATCH($H52,'3. AI Fit Diagnostic'!$AD$8:$AD$57,0)))</f>
        <v/>
      </c>
      <c r="H52" t="str">
        <f>IF(IFERROR(SMALL('3. AI Fit Diagnostic'!$AD$8:$AD$57,COUNTIF('3. AI Fit Diagnostic'!$AD$8:$AD$57,"&lt;"&amp;300)+9),"")="","",IF(IFERROR(SMALL('3. AI Fit Diagnostic'!$AD$8:$AD$57,COUNTIF('3. AI Fit Diagnostic'!$AD$8:$AD$57,"&lt;"&amp;300)+9),"")&lt;400,IFERROR(SMALL('3. AI Fit Diagnostic'!$AD$8:$AD$57,COUNTIF('3. AI Fit Diagnostic'!$AD$8:$AD$57,"&lt;"&amp;300)+9),""),""))</f>
        <v/>
      </c>
    </row>
    <row r="53" ht="26" customHeight="1">
      <c r="A53" s="40" t="str">
        <f>IF($H53="","",INDEX('3. AI Fit Diagnostic'!$Z$8:$Z$57,MATCH($H53,'3. AI Fit Diagnostic'!$AD$8:$AD$57,0)))</f>
        <v/>
      </c>
      <c r="B53" s="55" t="str">
        <f>IF($H53="","",INDEX('3. AI Fit Diagnostic'!$C$8:$C$57,MATCH($H53,'3. AI Fit Diagnostic'!$AD$8:$AD$57,0)))</f>
        <v/>
      </c>
      <c r="C53" s="24" t="str">
        <f>IF($H53="","",INDEX('3. AI Fit Diagnostic'!$B$8:$B$57,MATCH($H53,'3. AI Fit Diagnostic'!$AD$8:$AD$57,0)))</f>
        <v/>
      </c>
      <c r="D53" s="24" t="str">
        <f>IF($H53="","",INDEX('3. AI Fit Diagnostic'!$O$8:$O$57,MATCH($H53,'3. AI Fit Diagnostic'!$AD$8:$AD$57,0)))</f>
        <v/>
      </c>
      <c r="E53" s="24" t="str">
        <f>IF($H53="","",INDEX('3. AI Fit Diagnostic'!$T$8:$T$57,MATCH($H53,'3. AI Fit Diagnostic'!$AD$8:$AD$57,0)))</f>
        <v/>
      </c>
      <c r="F53" s="37" t="str">
        <f>IF($H53="","",INDEX('3. AI Fit Diagnostic'!$W$8:$W$57,MATCH($H53,'3. AI Fit Diagnostic'!$AD$8:$AD$57,0)))</f>
        <v/>
      </c>
      <c r="G53" s="41" t="str">
        <f>IF($H53="","",INDEX('3. AI Fit Diagnostic'!$AB$8:$AB$57,MATCH($H53,'3. AI Fit Diagnostic'!$AD$8:$AD$57,0)))</f>
        <v/>
      </c>
      <c r="H53" t="str">
        <f>IF(IFERROR(SMALL('3. AI Fit Diagnostic'!$AD$8:$AD$57,COUNTIF('3. AI Fit Diagnostic'!$AD$8:$AD$57,"&lt;"&amp;300)+10),"")="","",IF(IFERROR(SMALL('3. AI Fit Diagnostic'!$AD$8:$AD$57,COUNTIF('3. AI Fit Diagnostic'!$AD$8:$AD$57,"&lt;"&amp;300)+10),"")&lt;400,IFERROR(SMALL('3. AI Fit Diagnostic'!$AD$8:$AD$57,COUNTIF('3. AI Fit Diagnostic'!$AD$8:$AD$57,"&lt;"&amp;300)+10),""),""))</f>
        <v/>
      </c>
    </row>
    <row r="55" ht="22" customHeight="1">
      <c r="A55" s="61" t="inlineStr">
        <is>
          <t>Backlog / not prioritised</t>
        </is>
      </c>
    </row>
    <row r="56">
      <c r="A56" s="59" t="inlineStr">
        <is>
          <t>Rank</t>
        </is>
      </c>
      <c r="B56" s="59" t="inlineStr">
        <is>
          <t>Process / activity</t>
        </is>
      </c>
      <c r="C56" s="59" t="inlineStr">
        <is>
          <t>Function</t>
        </is>
      </c>
      <c r="D56" s="59" t="inlineStr">
        <is>
          <t>Solution family</t>
        </is>
      </c>
      <c r="E56" s="59" t="inlineStr">
        <is>
          <t>Verdict</t>
        </is>
      </c>
      <c r="F56" s="59" t="inlineStr">
        <is>
          <t>Risk tier</t>
        </is>
      </c>
      <c r="G56" s="59" t="inlineStr">
        <is>
          <t>Hours / yr</t>
        </is>
      </c>
    </row>
    <row r="57" ht="26" customHeight="1">
      <c r="A57" s="40" t="str">
        <f>IF($H57="","",INDEX('3. AI Fit Diagnostic'!$Z$8:$Z$57,MATCH($H57,'3. AI Fit Diagnostic'!$AD$8:$AD$57,0)))</f>
        <v/>
      </c>
      <c r="B57" s="55" t="str">
        <f>IF($H57="","",INDEX('3. AI Fit Diagnostic'!$C$8:$C$57,MATCH($H57,'3. AI Fit Diagnostic'!$AD$8:$AD$57,0)))</f>
        <v/>
      </c>
      <c r="C57" s="24" t="str">
        <f>IF($H57="","",INDEX('3. AI Fit Diagnostic'!$B$8:$B$57,MATCH($H57,'3. AI Fit Diagnostic'!$AD$8:$AD$57,0)))</f>
        <v/>
      </c>
      <c r="D57" s="24" t="str">
        <f>IF($H57="","",INDEX('3. AI Fit Diagnostic'!$O$8:$O$57,MATCH($H57,'3. AI Fit Diagnostic'!$AD$8:$AD$57,0)))</f>
        <v/>
      </c>
      <c r="E57" s="24" t="str">
        <f>IF($H57="","",INDEX('3. AI Fit Diagnostic'!$T$8:$T$57,MATCH($H57,'3. AI Fit Diagnostic'!$AD$8:$AD$57,0)))</f>
        <v/>
      </c>
      <c r="F57" s="37" t="str">
        <f>IF($H57="","",INDEX('3. AI Fit Diagnostic'!$W$8:$W$57,MATCH($H57,'3. AI Fit Diagnostic'!$AD$8:$AD$57,0)))</f>
        <v/>
      </c>
      <c r="G57" s="41" t="str">
        <f>IF($H57="","",INDEX('3. AI Fit Diagnostic'!$AB$8:$AB$57,MATCH($H57,'3. AI Fit Diagnostic'!$AD$8:$AD$57,0)))</f>
        <v/>
      </c>
      <c r="H57" t="str">
        <f>IF(IFERROR(SMALL('3. AI Fit Diagnostic'!$AD$8:$AD$57,COUNTIF('3. AI Fit Diagnostic'!$AD$8:$AD$57,"&lt;"&amp;400)+1),"")="","",IF(IFERROR(SMALL('3. AI Fit Diagnostic'!$AD$8:$AD$57,COUNTIF('3. AI Fit Diagnostic'!$AD$8:$AD$57,"&lt;"&amp;400)+1),"")&lt;500,IFERROR(SMALL('3. AI Fit Diagnostic'!$AD$8:$AD$57,COUNTIF('3. AI Fit Diagnostic'!$AD$8:$AD$57,"&lt;"&amp;400)+1),""),""))</f>
        <v/>
      </c>
    </row>
    <row r="58" ht="26" customHeight="1">
      <c r="A58" s="40" t="str">
        <f>IF($H58="","",INDEX('3. AI Fit Diagnostic'!$Z$8:$Z$57,MATCH($H58,'3. AI Fit Diagnostic'!$AD$8:$AD$57,0)))</f>
        <v/>
      </c>
      <c r="B58" s="55" t="str">
        <f>IF($H58="","",INDEX('3. AI Fit Diagnostic'!$C$8:$C$57,MATCH($H58,'3. AI Fit Diagnostic'!$AD$8:$AD$57,0)))</f>
        <v/>
      </c>
      <c r="C58" s="24" t="str">
        <f>IF($H58="","",INDEX('3. AI Fit Diagnostic'!$B$8:$B$57,MATCH($H58,'3. AI Fit Diagnostic'!$AD$8:$AD$57,0)))</f>
        <v/>
      </c>
      <c r="D58" s="24" t="str">
        <f>IF($H58="","",INDEX('3. AI Fit Diagnostic'!$O$8:$O$57,MATCH($H58,'3. AI Fit Diagnostic'!$AD$8:$AD$57,0)))</f>
        <v/>
      </c>
      <c r="E58" s="24" t="str">
        <f>IF($H58="","",INDEX('3. AI Fit Diagnostic'!$T$8:$T$57,MATCH($H58,'3. AI Fit Diagnostic'!$AD$8:$AD$57,0)))</f>
        <v/>
      </c>
      <c r="F58" s="37" t="str">
        <f>IF($H58="","",INDEX('3. AI Fit Diagnostic'!$W$8:$W$57,MATCH($H58,'3. AI Fit Diagnostic'!$AD$8:$AD$57,0)))</f>
        <v/>
      </c>
      <c r="G58" s="41" t="str">
        <f>IF($H58="","",INDEX('3. AI Fit Diagnostic'!$AB$8:$AB$57,MATCH($H58,'3. AI Fit Diagnostic'!$AD$8:$AD$57,0)))</f>
        <v/>
      </c>
      <c r="H58" t="str">
        <f>IF(IFERROR(SMALL('3. AI Fit Diagnostic'!$AD$8:$AD$57,COUNTIF('3. AI Fit Diagnostic'!$AD$8:$AD$57,"&lt;"&amp;400)+2),"")="","",IF(IFERROR(SMALL('3. AI Fit Diagnostic'!$AD$8:$AD$57,COUNTIF('3. AI Fit Diagnostic'!$AD$8:$AD$57,"&lt;"&amp;400)+2),"")&lt;500,IFERROR(SMALL('3. AI Fit Diagnostic'!$AD$8:$AD$57,COUNTIF('3. AI Fit Diagnostic'!$AD$8:$AD$57,"&lt;"&amp;400)+2),""),""))</f>
        <v/>
      </c>
    </row>
    <row r="59" ht="26" customHeight="1">
      <c r="A59" s="40" t="str">
        <f>IF($H59="","",INDEX('3. AI Fit Diagnostic'!$Z$8:$Z$57,MATCH($H59,'3. AI Fit Diagnostic'!$AD$8:$AD$57,0)))</f>
        <v/>
      </c>
      <c r="B59" s="55" t="str">
        <f>IF($H59="","",INDEX('3. AI Fit Diagnostic'!$C$8:$C$57,MATCH($H59,'3. AI Fit Diagnostic'!$AD$8:$AD$57,0)))</f>
        <v/>
      </c>
      <c r="C59" s="24" t="str">
        <f>IF($H59="","",INDEX('3. AI Fit Diagnostic'!$B$8:$B$57,MATCH($H59,'3. AI Fit Diagnostic'!$AD$8:$AD$57,0)))</f>
        <v/>
      </c>
      <c r="D59" s="24" t="str">
        <f>IF($H59="","",INDEX('3. AI Fit Diagnostic'!$O$8:$O$57,MATCH($H59,'3. AI Fit Diagnostic'!$AD$8:$AD$57,0)))</f>
        <v/>
      </c>
      <c r="E59" s="24" t="str">
        <f>IF($H59="","",INDEX('3. AI Fit Diagnostic'!$T$8:$T$57,MATCH($H59,'3. AI Fit Diagnostic'!$AD$8:$AD$57,0)))</f>
        <v/>
      </c>
      <c r="F59" s="37" t="str">
        <f>IF($H59="","",INDEX('3. AI Fit Diagnostic'!$W$8:$W$57,MATCH($H59,'3. AI Fit Diagnostic'!$AD$8:$AD$57,0)))</f>
        <v/>
      </c>
      <c r="G59" s="41" t="str">
        <f>IF($H59="","",INDEX('3. AI Fit Diagnostic'!$AB$8:$AB$57,MATCH($H59,'3. AI Fit Diagnostic'!$AD$8:$AD$57,0)))</f>
        <v/>
      </c>
      <c r="H59" t="str">
        <f>IF(IFERROR(SMALL('3. AI Fit Diagnostic'!$AD$8:$AD$57,COUNTIF('3. AI Fit Diagnostic'!$AD$8:$AD$57,"&lt;"&amp;400)+3),"")="","",IF(IFERROR(SMALL('3. AI Fit Diagnostic'!$AD$8:$AD$57,COUNTIF('3. AI Fit Diagnostic'!$AD$8:$AD$57,"&lt;"&amp;400)+3),"")&lt;500,IFERROR(SMALL('3. AI Fit Diagnostic'!$AD$8:$AD$57,COUNTIF('3. AI Fit Diagnostic'!$AD$8:$AD$57,"&lt;"&amp;400)+3),""),""))</f>
        <v/>
      </c>
    </row>
    <row r="60" ht="26" customHeight="1">
      <c r="A60" s="40" t="str">
        <f>IF($H60="","",INDEX('3. AI Fit Diagnostic'!$Z$8:$Z$57,MATCH($H60,'3. AI Fit Diagnostic'!$AD$8:$AD$57,0)))</f>
        <v/>
      </c>
      <c r="B60" s="55" t="str">
        <f>IF($H60="","",INDEX('3. AI Fit Diagnostic'!$C$8:$C$57,MATCH($H60,'3. AI Fit Diagnostic'!$AD$8:$AD$57,0)))</f>
        <v/>
      </c>
      <c r="C60" s="24" t="str">
        <f>IF($H60="","",INDEX('3. AI Fit Diagnostic'!$B$8:$B$57,MATCH($H60,'3. AI Fit Diagnostic'!$AD$8:$AD$57,0)))</f>
        <v/>
      </c>
      <c r="D60" s="24" t="str">
        <f>IF($H60="","",INDEX('3. AI Fit Diagnostic'!$O$8:$O$57,MATCH($H60,'3. AI Fit Diagnostic'!$AD$8:$AD$57,0)))</f>
        <v/>
      </c>
      <c r="E60" s="24" t="str">
        <f>IF($H60="","",INDEX('3. AI Fit Diagnostic'!$T$8:$T$57,MATCH($H60,'3. AI Fit Diagnostic'!$AD$8:$AD$57,0)))</f>
        <v/>
      </c>
      <c r="F60" s="37" t="str">
        <f>IF($H60="","",INDEX('3. AI Fit Diagnostic'!$W$8:$W$57,MATCH($H60,'3. AI Fit Diagnostic'!$AD$8:$AD$57,0)))</f>
        <v/>
      </c>
      <c r="G60" s="41" t="str">
        <f>IF($H60="","",INDEX('3. AI Fit Diagnostic'!$AB$8:$AB$57,MATCH($H60,'3. AI Fit Diagnostic'!$AD$8:$AD$57,0)))</f>
        <v/>
      </c>
      <c r="H60" t="str">
        <f>IF(IFERROR(SMALL('3. AI Fit Diagnostic'!$AD$8:$AD$57,COUNTIF('3. AI Fit Diagnostic'!$AD$8:$AD$57,"&lt;"&amp;400)+4),"")="","",IF(IFERROR(SMALL('3. AI Fit Diagnostic'!$AD$8:$AD$57,COUNTIF('3. AI Fit Diagnostic'!$AD$8:$AD$57,"&lt;"&amp;400)+4),"")&lt;500,IFERROR(SMALL('3. AI Fit Diagnostic'!$AD$8:$AD$57,COUNTIF('3. AI Fit Diagnostic'!$AD$8:$AD$57,"&lt;"&amp;400)+4),""),""))</f>
        <v/>
      </c>
    </row>
    <row r="61" ht="26" customHeight="1">
      <c r="A61" s="40" t="str">
        <f>IF($H61="","",INDEX('3. AI Fit Diagnostic'!$Z$8:$Z$57,MATCH($H61,'3. AI Fit Diagnostic'!$AD$8:$AD$57,0)))</f>
        <v/>
      </c>
      <c r="B61" s="55" t="str">
        <f>IF($H61="","",INDEX('3. AI Fit Diagnostic'!$C$8:$C$57,MATCH($H61,'3. AI Fit Diagnostic'!$AD$8:$AD$57,0)))</f>
        <v/>
      </c>
      <c r="C61" s="24" t="str">
        <f>IF($H61="","",INDEX('3. AI Fit Diagnostic'!$B$8:$B$57,MATCH($H61,'3. AI Fit Diagnostic'!$AD$8:$AD$57,0)))</f>
        <v/>
      </c>
      <c r="D61" s="24" t="str">
        <f>IF($H61="","",INDEX('3. AI Fit Diagnostic'!$O$8:$O$57,MATCH($H61,'3. AI Fit Diagnostic'!$AD$8:$AD$57,0)))</f>
        <v/>
      </c>
      <c r="E61" s="24" t="str">
        <f>IF($H61="","",INDEX('3. AI Fit Diagnostic'!$T$8:$T$57,MATCH($H61,'3. AI Fit Diagnostic'!$AD$8:$AD$57,0)))</f>
        <v/>
      </c>
      <c r="F61" s="37" t="str">
        <f>IF($H61="","",INDEX('3. AI Fit Diagnostic'!$W$8:$W$57,MATCH($H61,'3. AI Fit Diagnostic'!$AD$8:$AD$57,0)))</f>
        <v/>
      </c>
      <c r="G61" s="41" t="str">
        <f>IF($H61="","",INDEX('3. AI Fit Diagnostic'!$AB$8:$AB$57,MATCH($H61,'3. AI Fit Diagnostic'!$AD$8:$AD$57,0)))</f>
        <v/>
      </c>
      <c r="H61" t="str">
        <f>IF(IFERROR(SMALL('3. AI Fit Diagnostic'!$AD$8:$AD$57,COUNTIF('3. AI Fit Diagnostic'!$AD$8:$AD$57,"&lt;"&amp;400)+5),"")="","",IF(IFERROR(SMALL('3. AI Fit Diagnostic'!$AD$8:$AD$57,COUNTIF('3. AI Fit Diagnostic'!$AD$8:$AD$57,"&lt;"&amp;400)+5),"")&lt;500,IFERROR(SMALL('3. AI Fit Diagnostic'!$AD$8:$AD$57,COUNTIF('3. AI Fit Diagnostic'!$AD$8:$AD$57,"&lt;"&amp;400)+5),""),""))</f>
        <v/>
      </c>
    </row>
    <row r="62" ht="26" customHeight="1">
      <c r="A62" s="40" t="str">
        <f>IF($H62="","",INDEX('3. AI Fit Diagnostic'!$Z$8:$Z$57,MATCH($H62,'3. AI Fit Diagnostic'!$AD$8:$AD$57,0)))</f>
        <v/>
      </c>
      <c r="B62" s="55" t="str">
        <f>IF($H62="","",INDEX('3. AI Fit Diagnostic'!$C$8:$C$57,MATCH($H62,'3. AI Fit Diagnostic'!$AD$8:$AD$57,0)))</f>
        <v/>
      </c>
      <c r="C62" s="24" t="str">
        <f>IF($H62="","",INDEX('3. AI Fit Diagnostic'!$B$8:$B$57,MATCH($H62,'3. AI Fit Diagnostic'!$AD$8:$AD$57,0)))</f>
        <v/>
      </c>
      <c r="D62" s="24" t="str">
        <f>IF($H62="","",INDEX('3. AI Fit Diagnostic'!$O$8:$O$57,MATCH($H62,'3. AI Fit Diagnostic'!$AD$8:$AD$57,0)))</f>
        <v/>
      </c>
      <c r="E62" s="24" t="str">
        <f>IF($H62="","",INDEX('3. AI Fit Diagnostic'!$T$8:$T$57,MATCH($H62,'3. AI Fit Diagnostic'!$AD$8:$AD$57,0)))</f>
        <v/>
      </c>
      <c r="F62" s="37" t="str">
        <f>IF($H62="","",INDEX('3. AI Fit Diagnostic'!$W$8:$W$57,MATCH($H62,'3. AI Fit Diagnostic'!$AD$8:$AD$57,0)))</f>
        <v/>
      </c>
      <c r="G62" s="41" t="str">
        <f>IF($H62="","",INDEX('3. AI Fit Diagnostic'!$AB$8:$AB$57,MATCH($H62,'3. AI Fit Diagnostic'!$AD$8:$AD$57,0)))</f>
        <v/>
      </c>
      <c r="H62" t="str">
        <f>IF(IFERROR(SMALL('3. AI Fit Diagnostic'!$AD$8:$AD$57,COUNTIF('3. AI Fit Diagnostic'!$AD$8:$AD$57,"&lt;"&amp;400)+6),"")="","",IF(IFERROR(SMALL('3. AI Fit Diagnostic'!$AD$8:$AD$57,COUNTIF('3. AI Fit Diagnostic'!$AD$8:$AD$57,"&lt;"&amp;400)+6),"")&lt;500,IFERROR(SMALL('3. AI Fit Diagnostic'!$AD$8:$AD$57,COUNTIF('3. AI Fit Diagnostic'!$AD$8:$AD$57,"&lt;"&amp;400)+6),""),""))</f>
        <v/>
      </c>
    </row>
    <row r="63" ht="26" customHeight="1">
      <c r="A63" s="40" t="str">
        <f>IF($H63="","",INDEX('3. AI Fit Diagnostic'!$Z$8:$Z$57,MATCH($H63,'3. AI Fit Diagnostic'!$AD$8:$AD$57,0)))</f>
        <v/>
      </c>
      <c r="B63" s="55" t="str">
        <f>IF($H63="","",INDEX('3. AI Fit Diagnostic'!$C$8:$C$57,MATCH($H63,'3. AI Fit Diagnostic'!$AD$8:$AD$57,0)))</f>
        <v/>
      </c>
      <c r="C63" s="24" t="str">
        <f>IF($H63="","",INDEX('3. AI Fit Diagnostic'!$B$8:$B$57,MATCH($H63,'3. AI Fit Diagnostic'!$AD$8:$AD$57,0)))</f>
        <v/>
      </c>
      <c r="D63" s="24" t="str">
        <f>IF($H63="","",INDEX('3. AI Fit Diagnostic'!$O$8:$O$57,MATCH($H63,'3. AI Fit Diagnostic'!$AD$8:$AD$57,0)))</f>
        <v/>
      </c>
      <c r="E63" s="24" t="str">
        <f>IF($H63="","",INDEX('3. AI Fit Diagnostic'!$T$8:$T$57,MATCH($H63,'3. AI Fit Diagnostic'!$AD$8:$AD$57,0)))</f>
        <v/>
      </c>
      <c r="F63" s="37" t="str">
        <f>IF($H63="","",INDEX('3. AI Fit Diagnostic'!$W$8:$W$57,MATCH($H63,'3. AI Fit Diagnostic'!$AD$8:$AD$57,0)))</f>
        <v/>
      </c>
      <c r="G63" s="41" t="str">
        <f>IF($H63="","",INDEX('3. AI Fit Diagnostic'!$AB$8:$AB$57,MATCH($H63,'3. AI Fit Diagnostic'!$AD$8:$AD$57,0)))</f>
        <v/>
      </c>
      <c r="H63" t="str">
        <f>IF(IFERROR(SMALL('3. AI Fit Diagnostic'!$AD$8:$AD$57,COUNTIF('3. AI Fit Diagnostic'!$AD$8:$AD$57,"&lt;"&amp;400)+7),"")="","",IF(IFERROR(SMALL('3. AI Fit Diagnostic'!$AD$8:$AD$57,COUNTIF('3. AI Fit Diagnostic'!$AD$8:$AD$57,"&lt;"&amp;400)+7),"")&lt;500,IFERROR(SMALL('3. AI Fit Diagnostic'!$AD$8:$AD$57,COUNTIF('3. AI Fit Diagnostic'!$AD$8:$AD$57,"&lt;"&amp;400)+7),""),""))</f>
        <v/>
      </c>
    </row>
    <row r="64" ht="26" customHeight="1">
      <c r="A64" s="40" t="str">
        <f>IF($H64="","",INDEX('3. AI Fit Diagnostic'!$Z$8:$Z$57,MATCH($H64,'3. AI Fit Diagnostic'!$AD$8:$AD$57,0)))</f>
        <v/>
      </c>
      <c r="B64" s="55" t="str">
        <f>IF($H64="","",INDEX('3. AI Fit Diagnostic'!$C$8:$C$57,MATCH($H64,'3. AI Fit Diagnostic'!$AD$8:$AD$57,0)))</f>
        <v/>
      </c>
      <c r="C64" s="24" t="str">
        <f>IF($H64="","",INDEX('3. AI Fit Diagnostic'!$B$8:$B$57,MATCH($H64,'3. AI Fit Diagnostic'!$AD$8:$AD$57,0)))</f>
        <v/>
      </c>
      <c r="D64" s="24" t="str">
        <f>IF($H64="","",INDEX('3. AI Fit Diagnostic'!$O$8:$O$57,MATCH($H64,'3. AI Fit Diagnostic'!$AD$8:$AD$57,0)))</f>
        <v/>
      </c>
      <c r="E64" s="24" t="str">
        <f>IF($H64="","",INDEX('3. AI Fit Diagnostic'!$T$8:$T$57,MATCH($H64,'3. AI Fit Diagnostic'!$AD$8:$AD$57,0)))</f>
        <v/>
      </c>
      <c r="F64" s="37" t="str">
        <f>IF($H64="","",INDEX('3. AI Fit Diagnostic'!$W$8:$W$57,MATCH($H64,'3. AI Fit Diagnostic'!$AD$8:$AD$57,0)))</f>
        <v/>
      </c>
      <c r="G64" s="41" t="str">
        <f>IF($H64="","",INDEX('3. AI Fit Diagnostic'!$AB$8:$AB$57,MATCH($H64,'3. AI Fit Diagnostic'!$AD$8:$AD$57,0)))</f>
        <v/>
      </c>
      <c r="H64" t="str">
        <f>IF(IFERROR(SMALL('3. AI Fit Diagnostic'!$AD$8:$AD$57,COUNTIF('3. AI Fit Diagnostic'!$AD$8:$AD$57,"&lt;"&amp;400)+8),"")="","",IF(IFERROR(SMALL('3. AI Fit Diagnostic'!$AD$8:$AD$57,COUNTIF('3. AI Fit Diagnostic'!$AD$8:$AD$57,"&lt;"&amp;400)+8),"")&lt;500,IFERROR(SMALL('3. AI Fit Diagnostic'!$AD$8:$AD$57,COUNTIF('3. AI Fit Diagnostic'!$AD$8:$AD$57,"&lt;"&amp;400)+8),""),""))</f>
        <v/>
      </c>
    </row>
    <row r="66" ht="22" customHeight="1">
      <c r="A66" s="62" t="inlineStr">
        <is>
          <t>ENABLING FOUNDATIONS (generated from the diagnostic and position screen)</t>
        </is>
      </c>
    </row>
    <row r="67" ht="32" customHeight="1">
      <c r="A67" s="6" t="inlineStr"/>
      <c r="B67" s="4" t="inlineStr">
        <is>
          <t>Governance (always)</t>
        </is>
      </c>
      <c r="C67" s="24" t="str">
        <f>"Before H1 go-live: AI acceptable-use policy, AI register and approved-tools list; tier-based use-case risk assessment (GT AI Risk Assessment Framework). "&amp;COUNTIF('3. AI Fit Diagnostic'!$W$8:$W$57,"High")&amp;" High-risk and "&amp;COUNTIF('3. AI Fit Diagnostic'!$W$8:$W$57,"Medium")&amp;" Medium-risk items need documented assessments."</f>
        <v>Before H1 go-live: AI acceptable-use policy, AI register and approved-tools list; tier-based use-case risk assessment (GT AI Risk Assessment Framework). 0 High-risk and 0 Medium-risk items need documented assessments.</v>
      </c>
      <c r="D67" s="15" t="n"/>
      <c r="E67" s="15" t="n"/>
      <c r="F67" s="15" t="n"/>
      <c r="G67" s="15" t="n"/>
    </row>
    <row r="68" ht="32" customHeight="1">
      <c r="A68" s="6" t="inlineStr"/>
      <c r="B68" s="4" t="inlineStr">
        <is>
          <t>Data foundations</t>
        </is>
      </c>
      <c r="C68" s="24" t="str">
        <f>IF(COUNTIF('3. AI Fit Diagnostic'!$T$8:$T$57,"AI later - close data gap first")=0,"No processes are blocked by data gaps.",COUNTIF('3. AI Fit Diagnostic'!$T$8:$T$57,"AI later - close data gap first")&amp;" process(es) are blocked by data gaps: assign data owners, digitise inputs and start recording outcomes now so they can move to AI in H3.")</f>
        <v>No processes are blocked by data gaps.</v>
      </c>
      <c r="D68" s="15" t="n"/>
      <c r="E68" s="15" t="n"/>
      <c r="F68" s="15" t="n"/>
      <c r="G68" s="15" t="n"/>
    </row>
    <row r="69" ht="32" customHeight="1">
      <c r="A69" s="6" t="inlineStr"/>
      <c r="B69" s="4" t="inlineStr">
        <is>
          <t>Process redesign</t>
        </is>
      </c>
      <c r="C69" s="24" t="str">
        <f>IF(COUNTIF('3. AI Fit Diagnostic'!$T$8:$T$57,"Redesign / standardise first")=0,"No processes need redesign before automation.",COUNTIF('3. AI Fit Diagnostic'!$T$8:$T$57,"Redesign / standardise first")&amp;" process(es) vary by person or team: standardise and document them first (Lean / process mapping), then re-diagnose.")</f>
        <v>No processes need redesign before automation.</v>
      </c>
      <c r="D69" s="15" t="n"/>
      <c r="E69" s="15" t="n"/>
      <c r="F69" s="15" t="n"/>
      <c r="G69" s="15" t="n"/>
    </row>
    <row r="70" ht="32" customHeight="1">
      <c r="A70" s="6" t="inlineStr"/>
      <c r="B70" s="4" t="inlineStr">
        <is>
          <t>Automation platform</t>
        </is>
      </c>
      <c r="C70" s="24" t="str">
        <f>IF(COUNTIF('3. AI Fit Diagnostic'!$T$8:$T$57,"Automate - AI not needed")=0,"","Automation is enough for "&amp;COUNTIF('3. AI Fit Diagnostic'!$T$8:$T$57,"Automate - AI not needed")&amp;" process(es): select one workflow / RPA / BI platform and automate them as a programme rather than one-offs.")</f>
        <v/>
      </c>
      <c r="D70" s="15" t="n"/>
      <c r="E70" s="15" t="n"/>
      <c r="F70" s="15" t="n"/>
      <c r="G70" s="15" t="n"/>
    </row>
    <row r="71" ht="32" customHeight="1">
      <c r="A71" s="6" t="inlineStr"/>
      <c r="B71" s="4" t="inlineStr">
        <is>
          <t>Capability &amp; partners</t>
        </is>
      </c>
      <c r="C71" s="24" t="str">
        <f>IF(COUNTIF('3. AI Fit Diagnostic'!$T$8:$T$57,"Stretch - partner or later stage")=0,"All AI opportunities are within the current position.",COUNTIF('3. AI Fit Diagnostic'!$T$8:$T$57,"Stretch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4"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4"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1">
      <formula>"AI fit now"</formula>
    </cfRule>
    <cfRule type="cellIs" priority="2" operator="equal" dxfId="2">
      <formula>"Automate - AI not needed"</formula>
    </cfRule>
    <cfRule type="cellIs" priority="3" operator="equal" dxfId="3">
      <formula>"AI later - close data gap first"</formula>
    </cfRule>
    <cfRule type="cellIs" priority="4" operator="equal" dxfId="4">
      <formula>"Stretch - partner or later stage"</formula>
    </cfRule>
    <cfRule type="cellIs" priority="5" operator="equal" dxfId="5">
      <formula>"Redesign / standardise first"</formula>
    </cfRule>
  </conditionalFormatting>
  <conditionalFormatting sqref="F6:F25">
    <cfRule type="cellIs" priority="6" operator="equal" dxfId="6">
      <formula>"Low"</formula>
    </cfRule>
    <cfRule type="cellIs" priority="7" operator="equal" dxfId="3">
      <formula>"Medium"</formula>
    </cfRule>
    <cfRule type="cellIs" priority="8" operator="equal" dxfId="4">
      <formula>"High"</formula>
    </cfRule>
  </conditionalFormatting>
  <conditionalFormatting sqref="E29:E40">
    <cfRule type="cellIs" priority="9" operator="equal" dxfId="1">
      <formula>"AI fit now"</formula>
    </cfRule>
    <cfRule type="cellIs" priority="10" operator="equal" dxfId="2">
      <formula>"Automate - AI not needed"</formula>
    </cfRule>
    <cfRule type="cellIs" priority="11" operator="equal" dxfId="3">
      <formula>"AI later - close data gap first"</formula>
    </cfRule>
    <cfRule type="cellIs" priority="12" operator="equal" dxfId="4">
      <formula>"Stretch - partner or later stage"</formula>
    </cfRule>
    <cfRule type="cellIs" priority="13" operator="equal" dxfId="5">
      <formula>"Redesign / standardise first"</formula>
    </cfRule>
  </conditionalFormatting>
  <conditionalFormatting sqref="F29:F40">
    <cfRule type="cellIs" priority="14" operator="equal" dxfId="6">
      <formula>"Low"</formula>
    </cfRule>
    <cfRule type="cellIs" priority="15" operator="equal" dxfId="3">
      <formula>"Medium"</formula>
    </cfRule>
    <cfRule type="cellIs" priority="16" operator="equal" dxfId="4">
      <formula>"High"</formula>
    </cfRule>
  </conditionalFormatting>
  <conditionalFormatting sqref="E44:E53">
    <cfRule type="cellIs" priority="17" operator="equal" dxfId="1">
      <formula>"AI fit now"</formula>
    </cfRule>
    <cfRule type="cellIs" priority="18" operator="equal" dxfId="2">
      <formula>"Automate - AI not needed"</formula>
    </cfRule>
    <cfRule type="cellIs" priority="19" operator="equal" dxfId="3">
      <formula>"AI later - close data gap first"</formula>
    </cfRule>
    <cfRule type="cellIs" priority="20" operator="equal" dxfId="4">
      <formula>"Stretch - partner or later stage"</formula>
    </cfRule>
    <cfRule type="cellIs" priority="21" operator="equal" dxfId="5">
      <formula>"Redesign / standardise first"</formula>
    </cfRule>
  </conditionalFormatting>
  <conditionalFormatting sqref="F44:F53">
    <cfRule type="cellIs" priority="22" operator="equal" dxfId="6">
      <formula>"Low"</formula>
    </cfRule>
    <cfRule type="cellIs" priority="23" operator="equal" dxfId="3">
      <formula>"Medium"</formula>
    </cfRule>
    <cfRule type="cellIs" priority="24" operator="equal" dxfId="4">
      <formula>"High"</formula>
    </cfRule>
  </conditionalFormatting>
  <conditionalFormatting sqref="E57:E64">
    <cfRule type="cellIs" priority="25" operator="equal" dxfId="1">
      <formula>"AI fit now"</formula>
    </cfRule>
    <cfRule type="cellIs" priority="26" operator="equal" dxfId="2">
      <formula>"Automate - AI not needed"</formula>
    </cfRule>
    <cfRule type="cellIs" priority="27" operator="equal" dxfId="3">
      <formula>"AI later - close data gap first"</formula>
    </cfRule>
    <cfRule type="cellIs" priority="28" operator="equal" dxfId="4">
      <formula>"Stretch - partner or later stage"</formula>
    </cfRule>
    <cfRule type="cellIs" priority="29" operator="equal" dxfId="5">
      <formula>"Redesign / standardise first"</formula>
    </cfRule>
  </conditionalFormatting>
  <conditionalFormatting sqref="F57:F64">
    <cfRule type="cellIs" priority="30" operator="equal" dxfId="6">
      <formula>"Low"</formula>
    </cfRule>
    <cfRule type="cellIs" priority="31" operator="equal" dxfId="3">
      <formula>"Medium"</formula>
    </cfRule>
    <cfRule type="cellIs" priority="32" operator="equal" dxfId="4">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showGridLines="0" workbookViewId="0">
      <selection activeCell="A1" sqref="A1"/>
    </sheetView>
  </sheetViews>
  <sheetFormatPr baseColWidth="8" defaultRowHeight="15"/>
  <cols>
    <col width="28" customWidth="1" min="1" max="1"/>
    <col width="44" customWidth="1" min="2" max="2"/>
    <col width="28" customWidth="1" min="3" max="3"/>
    <col width="44" customWidth="1" min="4" max="4"/>
  </cols>
  <sheetData>
    <row r="1" ht="32" customHeight="1">
      <c r="A1" s="1" t="inlineStr">
        <is>
          <t>6. AI Use-Case Canvas</t>
        </is>
      </c>
    </row>
    <row r="2" ht="32" customHeight="1">
      <c r="A2" s="2" t="inlineStr">
        <is>
          <t>Select an opportunity number from the AI Fit Diagnostic (yellow cell). Calculated fields fill automatically; complete the yellow fields with the owner.</t>
        </is>
      </c>
    </row>
    <row r="4">
      <c r="A4" s="4" t="inlineStr">
        <is>
          <t>Opportunity # (from sheet 3)</t>
        </is>
      </c>
      <c r="B4" s="63" t="n">
        <v>1</v>
      </c>
      <c r="C4" s="4" t="inlineStr">
        <is>
          <t>Priority rank</t>
        </is>
      </c>
      <c r="D4" s="64" t="str">
        <f>IFERROR(IF(INDEX('3. AI Fit Diagnostic'!$Z$8:$Z$57,MATCH($B$4,'3. AI Fit Diagnostic'!$A$8:$A$57,0))="","",INDEX('3. AI Fit Diagnostic'!$Z$8:$Z$57,MATCH($B$4,'3. AI Fit Diagnostic'!$A$8:$A$57,0))),"")</f>
        <v/>
      </c>
    </row>
    <row r="6" ht="22" customHeight="1">
      <c r="A6" s="3" t="inlineStr">
        <is>
          <t>1. THE OPPORTUNITY</t>
        </is>
      </c>
    </row>
    <row r="7" ht="34" customHeight="1">
      <c r="A7" s="4" t="inlineStr">
        <is>
          <t>Process / activity</t>
        </is>
      </c>
      <c r="B7" s="65" t="str">
        <f>IFERROR(IF(INDEX('3. AI Fit Diagnostic'!$C$8:$C$57,MATCH($B$4,'3. AI Fit Diagnostic'!$A$8:$A$57,0))="","",INDEX('3. AI Fit Diagnostic'!$C$8:$C$57,MATCH($B$4,'3. AI Fit Diagnostic'!$A$8:$A$57,0))),"")</f>
        <v/>
      </c>
      <c r="C7" s="4" t="inlineStr">
        <is>
          <t>Function</t>
        </is>
      </c>
      <c r="D7" s="65" t="str">
        <f>IFERROR(IF(INDEX('3. AI Fit Diagnostic'!$B$8:$B$57,MATCH($B$4,'3. AI Fit Diagnostic'!$A$8:$A$57,0))="","",INDEX('3. AI Fit Diagnostic'!$B$8:$B$57,MATCH($B$4,'3. AI Fit Diagnostic'!$A$8:$A$57,0))),"")</f>
        <v/>
      </c>
    </row>
    <row r="8" ht="34" customHeight="1">
      <c r="A8" s="4" t="inlineStr">
        <is>
          <t>Pain point / opportunity</t>
        </is>
      </c>
      <c r="B8" s="65" t="str">
        <f>IFERROR(IF(INDEX('3. AI Fit Diagnostic'!$D$8:$D$57,MATCH($B$4,'3. AI Fit Diagnostic'!$A$8:$A$57,0))="","",INDEX('3. AI Fit Diagnostic'!$D$8:$D$57,MATCH($B$4,'3. AI Fit Diagnostic'!$A$8:$A$57,0))),"")</f>
        <v/>
      </c>
      <c r="C8" s="4" t="inlineStr">
        <is>
          <t>Nature of the task</t>
        </is>
      </c>
      <c r="D8" s="65" t="str">
        <f>IFERROR(IF(INDEX('3. AI Fit Diagnostic'!$E$8:$E$57,MATCH($B$4,'3. AI Fit Diagnostic'!$A$8:$A$57,0))="","",INDEX('3. AI Fit Diagnostic'!$E$8:$E$57,MATCH($B$4,'3. AI Fit Diagnostic'!$A$8:$A$57,0))),"")</f>
        <v/>
      </c>
    </row>
    <row r="9" ht="34" customHeight="1">
      <c r="A9" s="4" t="inlineStr">
        <is>
          <t>Volume</t>
        </is>
      </c>
      <c r="B9" s="65" t="str">
        <f>IFERROR(IF(INDEX('3. AI Fit Diagnostic'!$F$8:$F$57,MATCH($B$4,'3. AI Fit Diagnostic'!$A$8:$A$57,0))="","",INDEX('3. AI Fit Diagnostic'!$F$8:$F$57,MATCH($B$4,'3. AI Fit Diagnostic'!$A$8:$A$57,0))),"")</f>
        <v/>
      </c>
      <c r="C9" s="4" t="inlineStr">
        <is>
          <t>Effort today (hrs / month)</t>
        </is>
      </c>
      <c r="D9" s="65" t="str">
        <f>IFERROR(IF(INDEX('3. AI Fit Diagnostic'!$G$8:$G$57,MATCH($B$4,'3. AI Fit Diagnostic'!$A$8:$A$57,0))="","",INDEX('3. AI Fit Diagnostic'!$G$8:$G$57,MATCH($B$4,'3. AI Fit Diagnostic'!$A$8:$A$57,0))),"")</f>
        <v/>
      </c>
    </row>
    <row r="10" ht="22" customHeight="1">
      <c r="A10" s="3" t="inlineStr">
        <is>
          <t>2. THE FIT</t>
        </is>
      </c>
    </row>
    <row r="11" ht="34" customHeight="1">
      <c r="A11" s="4" t="inlineStr">
        <is>
          <t>VERDICT</t>
        </is>
      </c>
      <c r="B11" s="66" t="str">
        <f>IFERROR(IF(INDEX('3. AI Fit Diagnostic'!$T$8:$T$57,MATCH($B$4,'3. AI Fit Diagnostic'!$A$8:$A$57,0))="","",INDEX('3. AI Fit Diagnostic'!$T$8:$T$57,MATCH($B$4,'3. AI Fit Diagnostic'!$A$8:$A$57,0))),"")</f>
        <v/>
      </c>
      <c r="C11" s="4" t="inlineStr">
        <is>
          <t>Solution family</t>
        </is>
      </c>
      <c r="D11" s="65" t="str">
        <f>IFERROR(IF(INDEX('3. AI Fit Diagnostic'!$O$8:$O$57,MATCH($B$4,'3. AI Fit Diagnostic'!$A$8:$A$57,0))="","",INDEX('3. AI Fit Diagnostic'!$O$8:$O$57,MATCH($B$4,'3. AI Fit Diagnostic'!$A$8:$A$57,0))),"")</f>
        <v/>
      </c>
    </row>
    <row r="12" ht="34" customHeight="1">
      <c r="A12" s="4" t="inlineStr">
        <is>
          <t>Data gate</t>
        </is>
      </c>
      <c r="B12" s="65" t="str">
        <f>IFERROR(IF(INDEX('3. AI Fit Diagnostic'!$R$8:$R$57,MATCH($B$4,'3. AI Fit Diagnostic'!$A$8:$A$57,0))="","",INDEX('3. AI Fit Diagnostic'!$R$8:$R$57,MATCH($B$4,'3. AI Fit Diagnostic'!$A$8:$A$57,0))),"")</f>
        <v/>
      </c>
      <c r="C12" s="4" t="inlineStr">
        <is>
          <t>Organisational fit</t>
        </is>
      </c>
      <c r="D12" s="65" t="str">
        <f>IFERROR(IF(INDEX('3. AI Fit Diagnostic'!$S$8:$S$57,MATCH($B$4,'3. AI Fit Diagnostic'!$A$8:$A$57,0))="","",INDEX('3. AI Fit Diagnostic'!$S$8:$S$57,MATCH($B$4,'3. AI Fit Diagnostic'!$A$8:$A$57,0))),"")</f>
        <v/>
      </c>
    </row>
    <row r="13" ht="34" customHeight="1">
      <c r="A13" s="4" t="inlineStr">
        <is>
          <t>Value / Feasibility</t>
        </is>
      </c>
      <c r="B13" s="65" t="str">
        <f>IFERROR(TEXT(INDEX('3. AI Fit Diagnostic'!$U$8:$U$57,MATCH($B$4,'3. AI Fit Diagnostic'!$A$8:$A$57,0)),"0.00")&amp;" / "&amp;TEXT(INDEX('3. AI Fit Diagnostic'!$V$8:$V$57,MATCH($B$4,'3. AI Fit Diagnostic'!$A$8:$A$57,0)),"0.00")&amp;"  ("&amp;INDEX('3. AI Fit Diagnostic'!$X$8:$X$57,MATCH($B$4,'3. AI Fit Diagnostic'!$A$8:$A$57,0))&amp;")","")</f>
        <v> /   ()</v>
      </c>
      <c r="C13" s="4" t="inlineStr">
        <is>
          <t>Horizon</t>
        </is>
      </c>
      <c r="D13" s="65" t="str">
        <f>IFERROR(IF(INDEX('3. AI Fit Diagnostic'!$AA$8:$AA$57,MATCH($B$4,'3. AI Fit Diagnostic'!$A$8:$A$57,0))="","",INDEX('3. AI Fit Diagnostic'!$AA$8:$AA$57,MATCH($B$4,'3. AI Fit Diagnostic'!$A$8:$A$57,0))),"")</f>
        <v/>
      </c>
    </row>
    <row r="14" ht="58" customHeight="1">
      <c r="A14" s="4" t="inlineStr">
        <is>
          <t>Typical solutions</t>
        </is>
      </c>
      <c r="B14" s="65" t="str">
        <f>IFERROR(INDEX(Lists!$G$2:$G$11,MATCH(INDEX('3. AI Fit Diagnostic'!$O$8:$O$57,MATCH($B$4,'3. AI Fit Diagnostic'!$A$8:$A$57,0)),Lists!$B$2:$B$11,0)),"")</f>
        <v/>
      </c>
      <c r="C14" s="4" t="inlineStr">
        <is>
          <t>Design notes</t>
        </is>
      </c>
      <c r="D14" s="65" t="str">
        <f>IFERROR(INDEX(Lists!$I$2:$I$11,MATCH(INDEX('3. AI Fit Diagnostic'!$O$8:$O$57,MATCH($B$4,'3. AI Fit Diagnostic'!$A$8:$A$57,0)),Lists!$B$2:$B$11,0)),"")</f>
        <v/>
      </c>
    </row>
    <row r="15" ht="30" customHeight="1">
      <c r="A15" s="4" t="inlineStr">
        <is>
          <t>What this verdict means</t>
        </is>
      </c>
      <c r="B15" s="65" t="str">
        <f>IFERROR(INDEX(Lists!$AS$2:$AS$6,MATCH(B11,Lists!$AR$2:$AR$6,0)),"")</f>
        <v/>
      </c>
      <c r="C15" s="15" t="n"/>
      <c r="D15" s="15" t="n"/>
    </row>
    <row r="16" ht="22" customHeight="1">
      <c r="A16" s="3" t="inlineStr">
        <is>
          <t>3. RISK &amp; MINIMUM CONTROLS</t>
        </is>
      </c>
    </row>
    <row r="17">
      <c r="A17" s="4" t="inlineStr">
        <is>
          <t>Inherent risk tier</t>
        </is>
      </c>
      <c r="B17" s="54" t="str">
        <f>IFERROR(IF(INDEX('3. AI Fit Diagnostic'!$W$8:$W$57,MATCH($B$4,'3. AI Fit Diagnostic'!$A$8:$A$57,0))="","",INDEX('3. AI Fit Diagnostic'!$W$8:$W$57,MATCH($B$4,'3. AI Fit Diagnostic'!$A$8:$A$57,0))),"")</f>
        <v/>
      </c>
      <c r="C17" s="4" t="inlineStr">
        <is>
          <t>Personal data / affects individuals</t>
        </is>
      </c>
      <c r="D17" s="65" t="str">
        <f>IFERROR(INDEX('3. AI Fit Diagnostic'!$M$8:$M$57,MATCH($B$4,'3. AI Fit Diagnostic'!$A$8:$A$57,0))&amp;" / "&amp;INDEX('3. AI Fit Diagnostic'!$L$8:$L$57,MATCH($B$4,'3. AI Fit Diagnostic'!$A$8:$A$57,0)),"")</f>
        <v> / </v>
      </c>
    </row>
    <row r="18" ht="66" customHeight="1">
      <c r="A18" s="4" t="inlineStr">
        <is>
          <t>Minimum controls before go-live</t>
        </is>
      </c>
      <c r="B18" s="65" t="str">
        <f>IFERROR(INDEX(Lists!$AP$2:$AP$4,MATCH(B17,Lists!$AO$2:$AO$4,0)),"")</f>
        <v/>
      </c>
      <c r="C18" s="15" t="n"/>
      <c r="D18" s="15" t="n"/>
    </row>
    <row r="19" ht="44" customHeight="1">
      <c r="A19" s="4" t="inlineStr">
        <is>
          <t>Regulatory screen</t>
        </is>
      </c>
      <c r="B19" s="65" t="str">
        <f>IF(B17="","",IF(INDEX('3. AI Fit Diagnostic'!$L$8:$L$57,MATCH($B$4,'3. AI Fit Diagnostic'!$A$8:$A$57,0))="Yes","Decisions about individuals: check EU AI Act Annex III high-risk categories (e.g., credit, employment, essential services) and Art. 5 prohibitions; PDPL lawful basis and DPIA; CBB requirements if a licensee.",IF(INDEX('3. AI Fit Diagnostic'!$M$8:$M$57,MATCH($B$4,'3. AI Fit Diagnostic'!$A$8:$A$57,0))="Yes","Personal / confidential data: PDPL lawful basis, minimisation, cross-border transfer and vendor terms (no training on your data); client confidentiality.","No specific regulatory trigger identified - confirm with Compliance.")))</f>
        <v/>
      </c>
      <c r="C19" s="15" t="n"/>
      <c r="D19" s="15" t="n"/>
    </row>
    <row r="20" ht="22" customHeight="1">
      <c r="A20" s="3" t="inlineStr">
        <is>
          <t>4. MEASURING SUCCESS</t>
        </is>
      </c>
    </row>
    <row r="21">
      <c r="A21" s="4" t="inlineStr">
        <is>
          <t>Suggested KPIs</t>
        </is>
      </c>
      <c r="B21" s="65" t="str">
        <f>IFERROR(INDEX(Lists!$H$2:$H$11,MATCH(INDEX('3. AI Fit Diagnostic'!$O$8:$O$57,MATCH($B$4,'3. AI Fit Diagnostic'!$A$8:$A$57,0)),Lists!$B$2:$B$11,0)),"")</f>
        <v/>
      </c>
      <c r="C21" s="15" t="n"/>
      <c r="D21" s="15" t="n"/>
    </row>
    <row r="22">
      <c r="A22" s="4" t="inlineStr">
        <is>
          <t>Indicative hours released / yr</t>
        </is>
      </c>
      <c r="B22" s="46" t="str">
        <f>IFERROR(IF(INDEX('3. AI Fit Diagnostic'!$AB$8:$AB$57,MATCH($B$4,'3. AI Fit Diagnostic'!$A$8:$A$57,0))="","",INDEX('3. AI Fit Diagnostic'!$AB$8:$AB$57,MATCH($B$4,'3. AI Fit Diagnostic'!$A$8:$A$57,0))),"")</f>
        <v/>
      </c>
      <c r="C22" s="4" t="inlineStr">
        <is>
          <t>Target / success criterion</t>
        </is>
      </c>
      <c r="D22" s="7" t="inlineStr"/>
    </row>
    <row r="23" ht="22" customHeight="1">
      <c r="A23" s="3" t="inlineStr">
        <is>
          <t>5. NEXT STEP &amp; OWNERSHIP</t>
        </is>
      </c>
    </row>
    <row r="24" ht="34" customHeight="1">
      <c r="A24" s="4" t="inlineStr">
        <is>
          <t>Recommended next step</t>
        </is>
      </c>
      <c r="B24" s="65" t="str">
        <f>IFERROR(INDEX(Lists!$AT$2:$AT$6,MATCH(B11,Lists!$AR$2:$AR$6,0)),"")</f>
        <v/>
      </c>
      <c r="C24" s="15" t="n"/>
      <c r="D24" s="15" t="n"/>
    </row>
    <row r="25">
      <c r="A25" s="4" t="inlineStr">
        <is>
          <t>Business owner</t>
        </is>
      </c>
      <c r="B25" s="7" t="inlineStr"/>
      <c r="C25" s="4" t="inlineStr">
        <is>
          <t>Executive sponsor</t>
        </is>
      </c>
      <c r="D25" s="7" t="inlineStr"/>
    </row>
    <row r="26">
      <c r="A26" s="4" t="inlineStr">
        <is>
          <t>Budget / effort estimate</t>
        </is>
      </c>
      <c r="B26" s="7" t="inlineStr"/>
      <c r="C26" s="4" t="inlineStr">
        <is>
          <t>Decision date</t>
        </is>
      </c>
      <c r="D26" s="7" t="inlineStr"/>
    </row>
    <row r="27">
      <c r="A27" s="4" t="inlineStr">
        <is>
          <t>Decision</t>
        </is>
      </c>
      <c r="B27" s="7" t="inlineStr"/>
      <c r="C27" s="8" t="n"/>
      <c r="D27" s="8" t="n"/>
    </row>
  </sheetData>
  <mergeCells count="13">
    <mergeCell ref="A1:D1"/>
    <mergeCell ref="A23:D23"/>
    <mergeCell ref="B19:D19"/>
    <mergeCell ref="A6:D6"/>
    <mergeCell ref="A20:D20"/>
    <mergeCell ref="B18:D18"/>
    <mergeCell ref="B27:D27"/>
    <mergeCell ref="B21:D21"/>
    <mergeCell ref="A2:D2"/>
    <mergeCell ref="A16:D16"/>
    <mergeCell ref="B15:D15"/>
    <mergeCell ref="A10:D10"/>
    <mergeCell ref="B24:D24"/>
  </mergeCells>
  <conditionalFormatting sqref="B11">
    <cfRule type="cellIs" priority="1" operator="equal" dxfId="1">
      <formula>"AI fit now"</formula>
    </cfRule>
    <cfRule type="cellIs" priority="2" operator="equal" dxfId="2">
      <formula>"Automate - AI not needed"</formula>
    </cfRule>
    <cfRule type="cellIs" priority="3" operator="equal" dxfId="3">
      <formula>"AI later - close data gap first"</formula>
    </cfRule>
    <cfRule type="cellIs" priority="4" operator="equal" dxfId="4">
      <formula>"Stretch - partner or later stage"</formula>
    </cfRule>
    <cfRule type="cellIs" priority="5" operator="equal" dxfId="5">
      <formula>"Redesign / standardise first"</formula>
    </cfRule>
  </conditionalFormatting>
  <conditionalFormatting sqref="B17">
    <cfRule type="cellIs" priority="6" operator="equal" dxfId="6">
      <formula>"Low"</formula>
    </cfRule>
    <cfRule type="cellIs" priority="7" operator="equal" dxfId="3">
      <formula>"Medium"</formula>
    </cfRule>
    <cfRule type="cellIs" priority="8" operator="equal" dxfId="4">
      <formula>"High"</formula>
    </cfRule>
  </conditionalFormatting>
  <dataValidations count="2">
    <dataValidation sqref="B4" showDropDown="0" showInputMessage="0" showErrorMessage="1" allowBlank="1" type="list">
      <formula1>=Lists!$AX$2:$AX$51</formula1>
    </dataValidation>
    <dataValidation sqref="B27"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62"/>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23" t="inlineStr">
        <is>
          <t>Workflow automation / RPA</t>
        </is>
      </c>
      <c r="C6" s="22" t="inlineStr">
        <is>
          <t>2</t>
        </is>
      </c>
      <c r="D6" s="22" t="inlineStr">
        <is>
          <t>No</t>
        </is>
      </c>
      <c r="E6" s="56" t="inlineStr">
        <is>
          <t>Partial or paper-based</t>
        </is>
      </c>
      <c r="F6" s="24" t="inlineStr">
        <is>
          <t>Power Automate, UiPath, Zapier / Make, ERP workflow.  Rules are stable and documented - AI adds little. Automate first.</t>
        </is>
      </c>
    </row>
    <row r="7" ht="52" customHeight="1">
      <c r="A7" s="5" t="inlineStr">
        <is>
          <t>Check or approve items against fixed criteria (rules, thresholds, checklists)</t>
        </is>
      </c>
      <c r="B7" s="23" t="inlineStr">
        <is>
          <t>Rules engine / workflow automation</t>
        </is>
      </c>
      <c r="C7" s="22" t="inlineStr">
        <is>
          <t>2</t>
        </is>
      </c>
      <c r="D7" s="22" t="inlineStr">
        <is>
          <t>No</t>
        </is>
      </c>
      <c r="E7" s="56" t="inlineStr">
        <is>
          <t>Partial or paper-based</t>
        </is>
      </c>
      <c r="F7" s="24"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23" t="inlineStr">
        <is>
          <t>BI, dashboards &amp; reconciliation automation</t>
        </is>
      </c>
      <c r="C8" s="22" t="inlineStr">
        <is>
          <t>2</t>
        </is>
      </c>
      <c r="D8" s="22" t="inlineStr">
        <is>
          <t>No</t>
        </is>
      </c>
      <c r="E8" s="56" t="inlineStr">
        <is>
          <t>Digital history available</t>
        </is>
      </c>
      <c r="F8" s="24"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23" t="inlineStr">
        <is>
          <t>Intelligent document processing (IDP)</t>
        </is>
      </c>
      <c r="C9" s="22" t="inlineStr">
        <is>
          <t>3</t>
        </is>
      </c>
      <c r="D9" s="22" t="inlineStr">
        <is>
          <t>Light</t>
        </is>
      </c>
      <c r="E9" s="56" t="inlineStr">
        <is>
          <t>Partial or paper-based</t>
        </is>
      </c>
      <c r="F9" s="24"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23" t="inlineStr">
        <is>
          <t>Generative AI assistant (off-the-shelf)</t>
        </is>
      </c>
      <c r="C10" s="22" t="inlineStr">
        <is>
          <t>3</t>
        </is>
      </c>
      <c r="D10" s="22" t="inlineStr">
        <is>
          <t>Yes</t>
        </is>
      </c>
      <c r="E10" s="56" t="inlineStr">
        <is>
          <t>None - not captured</t>
        </is>
      </c>
      <c r="F10" s="24"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23" t="inlineStr">
        <is>
          <t>GenAI knowledge assistant (RAG on own content)</t>
        </is>
      </c>
      <c r="C11" s="22" t="inlineStr">
        <is>
          <t>4</t>
        </is>
      </c>
      <c r="D11" s="22" t="inlineStr">
        <is>
          <t>Yes</t>
        </is>
      </c>
      <c r="E11" s="56" t="inlineStr">
        <is>
          <t>Partial or paper-based</t>
        </is>
      </c>
      <c r="F11" s="24"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23" t="inlineStr">
        <is>
          <t>Conversational AI / virtual agent</t>
        </is>
      </c>
      <c r="C12" s="22" t="inlineStr">
        <is>
          <t>4</t>
        </is>
      </c>
      <c r="D12" s="22" t="inlineStr">
        <is>
          <t>Yes</t>
        </is>
      </c>
      <c r="E12" s="56" t="inlineStr">
        <is>
          <t>Partial or paper-based</t>
        </is>
      </c>
      <c r="F12" s="24"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23" t="inlineStr">
        <is>
          <t>Computer vision / speech AI</t>
        </is>
      </c>
      <c r="C13" s="22" t="inlineStr">
        <is>
          <t>4</t>
        </is>
      </c>
      <c r="D13" s="22" t="inlineStr">
        <is>
          <t>Yes</t>
        </is>
      </c>
      <c r="E13" s="56" t="inlineStr">
        <is>
          <t>Partial or paper-based</t>
        </is>
      </c>
      <c r="F13" s="24"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23" t="inlineStr">
        <is>
          <t>Predictive analytics / machine learning</t>
        </is>
      </c>
      <c r="C14" s="22" t="inlineStr">
        <is>
          <t>5</t>
        </is>
      </c>
      <c r="D14" s="22" t="inlineStr">
        <is>
          <t>Yes</t>
        </is>
      </c>
      <c r="E14" s="56" t="inlineStr">
        <is>
          <t>Digital history available</t>
        </is>
      </c>
      <c r="F14" s="24"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23" t="inlineStr">
        <is>
          <t>Agentic AI (supervised agents)</t>
        </is>
      </c>
      <c r="C15" s="22" t="inlineStr">
        <is>
          <t>5</t>
        </is>
      </c>
      <c r="D15" s="22" t="inlineStr">
        <is>
          <t>Yes</t>
        </is>
      </c>
      <c r="E15" s="56" t="inlineStr">
        <is>
          <t>Digital history available</t>
        </is>
      </c>
      <c r="F15" s="24"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5" t="inlineStr">
        <is>
          <t>Digitise / redesign</t>
        </is>
      </c>
      <c r="C18" s="15" t="n"/>
      <c r="D18" s="15" t="n"/>
      <c r="E18" s="15" t="n"/>
      <c r="F18" s="15" t="n"/>
    </row>
    <row r="19">
      <c r="A19" s="4" t="inlineStr">
        <is>
          <t>Level 2</t>
        </is>
      </c>
      <c r="B19" s="65" t="inlineStr">
        <is>
          <t>Automate (no AI)</t>
        </is>
      </c>
      <c r="C19" s="15" t="n"/>
      <c r="D19" s="15" t="n"/>
      <c r="E19" s="15" t="n"/>
      <c r="F19" s="15" t="n"/>
    </row>
    <row r="20">
      <c r="A20" s="4" t="inlineStr">
        <is>
          <t>Level 3</t>
        </is>
      </c>
      <c r="B20" s="65" t="inlineStr">
        <is>
          <t>Off-the-shelf / embedded AI</t>
        </is>
      </c>
      <c r="C20" s="15" t="n"/>
      <c r="D20" s="15" t="n"/>
      <c r="E20" s="15" t="n"/>
      <c r="F20" s="15" t="n"/>
    </row>
    <row r="21">
      <c r="A21" s="4" t="inlineStr">
        <is>
          <t>Level 4</t>
        </is>
      </c>
      <c r="B21" s="65" t="inlineStr">
        <is>
          <t>Configured AI on own data</t>
        </is>
      </c>
      <c r="C21" s="15" t="n"/>
      <c r="D21" s="15" t="n"/>
      <c r="E21" s="15" t="n"/>
      <c r="F21" s="15" t="n"/>
    </row>
    <row r="22">
      <c r="A22" s="4" t="inlineStr">
        <is>
          <t>Level 5</t>
        </is>
      </c>
      <c r="B22" s="65" t="inlineStr">
        <is>
          <t>Custom AI / agentic AI</t>
        </is>
      </c>
      <c r="C22" s="15" t="n"/>
      <c r="D22" s="15" t="n"/>
      <c r="E22" s="15" t="n"/>
      <c r="F22" s="15" t="n"/>
    </row>
    <row r="24" ht="22" customHeight="1">
      <c r="A24" s="3" t="inlineStr">
        <is>
          <t>AI POSITION ARCHETYPES</t>
        </is>
      </c>
    </row>
    <row r="25" ht="58" customHeight="1">
      <c r="A25" s="67" t="inlineStr">
        <is>
          <t>A. Automation is enough - for now</t>
        </is>
      </c>
      <c r="B25" s="22" t="inlineStr">
        <is>
          <t>Ceiling: level 3</t>
        </is>
      </c>
      <c r="C25" s="24"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67" t="inlineStr">
        <is>
          <t>B. Data foundations first</t>
        </is>
      </c>
      <c r="B26" s="22" t="inlineStr">
        <is>
          <t>Ceiling: level 3</t>
        </is>
      </c>
      <c r="C26" s="24"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67" t="inlineStr">
        <is>
          <t>C. Buy and configure AI</t>
        </is>
      </c>
      <c r="B27" s="22" t="inlineStr">
        <is>
          <t>Ceiling: level 4</t>
        </is>
      </c>
      <c r="C27" s="24"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67" t="inlineStr">
        <is>
          <t>D. Build and scale AI</t>
        </is>
      </c>
      <c r="B28" s="22" t="inlineStr">
        <is>
          <t>Ceiling: level 5</t>
        </is>
      </c>
      <c r="C28" s="24"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4" t="inlineStr">
        <is>
          <t>AI fit now</t>
        </is>
      </c>
      <c r="B31" s="24"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47" t="inlineStr">
        <is>
          <t>Automate - AI not needed</t>
        </is>
      </c>
      <c r="B32" s="24"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48" t="inlineStr">
        <is>
          <t>AI later - close data gap first</t>
        </is>
      </c>
      <c r="B33" s="24"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49" t="inlineStr">
        <is>
          <t>Stretch - partner or later stage</t>
        </is>
      </c>
      <c r="B34" s="24"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0" t="inlineStr">
        <is>
          <t>Redesign / standardise first</t>
        </is>
      </c>
      <c r="B35" s="24"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68" t="inlineStr">
        <is>
          <t>Low</t>
        </is>
      </c>
      <c r="B38" s="24" t="inlineStr">
        <is>
          <t>Approved tool on the AI register; acceptable-use policy; user guidance; spot-check outputs; vendor terms checked (no training on your data).</t>
        </is>
      </c>
      <c r="C38" s="15" t="n"/>
      <c r="D38" s="15" t="n"/>
      <c r="E38" s="15" t="n"/>
      <c r="F38" s="15" t="n"/>
    </row>
    <row r="39" ht="44" customHeight="1">
      <c r="A39" s="48" t="inlineStr">
        <is>
          <t>Medium</t>
        </is>
      </c>
      <c r="B39" s="24"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49" t="inlineStr">
        <is>
          <t>High</t>
        </is>
      </c>
      <c r="B40" s="2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STANDARDS AND FRAMEWORKS BEHIND EACH STEP</t>
        </is>
      </c>
    </row>
    <row r="43">
      <c r="A43" s="9" t="inlineStr">
        <is>
          <t>Standard / framework</t>
        </is>
      </c>
      <c r="B43" s="43" t="n"/>
      <c r="C43" s="9" t="inlineStr">
        <is>
          <t>Step</t>
        </is>
      </c>
      <c r="D43" s="42" t="n"/>
      <c r="E43" s="43" t="n"/>
      <c r="F43" s="9" t="inlineStr">
        <is>
          <t>How it is used</t>
        </is>
      </c>
    </row>
    <row r="44" ht="40" customHeight="1">
      <c r="A44" s="55" t="inlineStr">
        <is>
          <t>OECD Framework for the Classification of AI Systems (2022)</t>
        </is>
      </c>
      <c r="B44" s="15" t="n"/>
      <c r="C44" s="37" t="inlineStr">
        <is>
          <t>1 Position</t>
        </is>
      </c>
      <c r="D44" s="15" t="n"/>
      <c r="E44" s="15" t="n"/>
      <c r="F44" s="24" t="inlineStr">
        <is>
          <t>Economic Context and Data &amp; Input dimensions shape the position screen: scale, sector, data provenance, structure and availability.</t>
        </is>
      </c>
    </row>
    <row r="45" ht="40" customHeight="1">
      <c r="A45" s="55" t="inlineStr">
        <is>
          <t>ISO/IEC 42001:2023 cl. 4.1 - 4.2</t>
        </is>
      </c>
      <c r="B45" s="15" t="n"/>
      <c r="C45" s="37" t="inlineStr">
        <is>
          <t>1 Position</t>
        </is>
      </c>
      <c r="D45" s="15" t="n"/>
      <c r="E45" s="15" t="n"/>
      <c r="F45" s="24" t="inlineStr">
        <is>
          <t>Understanding the organisation, its context and interested parties before deciding where AI is used.</t>
        </is>
      </c>
    </row>
    <row r="46" ht="40" customHeight="1">
      <c r="A46" s="55" t="inlineStr">
        <is>
          <t>NIST AI RMF 1.0 - MAP 1.3, 1.4, 1.6</t>
        </is>
      </c>
      <c r="B46" s="15" t="n"/>
      <c r="C46" s="37" t="inlineStr">
        <is>
          <t>1 Position</t>
        </is>
      </c>
      <c r="D46" s="15" t="n"/>
      <c r="E46" s="15" t="n"/>
      <c r="F46" s="24" t="inlineStr">
        <is>
          <t>Organisational mission, business value and system requirements established before AI is selected.</t>
        </is>
      </c>
    </row>
    <row r="47" ht="40" customHeight="1">
      <c r="A47" s="55" t="inlineStr">
        <is>
          <t>APQC Process Classification Framework (cross-industry)</t>
        </is>
      </c>
      <c r="B47" s="15" t="n"/>
      <c r="C47" s="37" t="inlineStr">
        <is>
          <t>2 Discover</t>
        </is>
      </c>
      <c r="D47" s="15" t="n"/>
      <c r="E47" s="15" t="n"/>
      <c r="F47" s="24" t="inlineStr">
        <is>
          <t>Function / process taxonomy behind the process library and inventory.</t>
        </is>
      </c>
    </row>
    <row r="48" ht="40" customHeight="1">
      <c r="A48" s="55" t="inlineStr">
        <is>
          <t>NIST AI RMF 1.0 - MAP 1.1</t>
        </is>
      </c>
      <c r="B48" s="15" t="n"/>
      <c r="C48" s="37" t="inlineStr">
        <is>
          <t>2 Discover</t>
        </is>
      </c>
      <c r="D48" s="15" t="n"/>
      <c r="E48" s="15" t="n"/>
      <c r="F48" s="24" t="inlineStr">
        <is>
          <t>Intended purpose, context of use and users documented for each candidate process.</t>
        </is>
      </c>
    </row>
    <row r="49" ht="40" customHeight="1">
      <c r="A49" s="55" t="inlineStr">
        <is>
          <t>ISO/IEC 22989:2022 and ISO/IEC 23053:2022</t>
        </is>
      </c>
      <c r="B49" s="15" t="n"/>
      <c r="C49" s="37" t="inlineStr">
        <is>
          <t>3 Diagnose</t>
        </is>
      </c>
      <c r="D49" s="15" t="n"/>
      <c r="E49" s="15" t="n"/>
      <c r="F49" s="24" t="inlineStr">
        <is>
          <t>AI concepts, tasks and ML system components - basis for the task-nature to solution-family mapping.</t>
        </is>
      </c>
    </row>
    <row r="50" ht="40" customHeight="1">
      <c r="A50" s="55" t="inlineStr">
        <is>
          <t>OECD AI classification - AI Model and Task &amp; Output dimensions</t>
        </is>
      </c>
      <c r="B50" s="15" t="n"/>
      <c r="C50" s="37" t="inlineStr">
        <is>
          <t>3 Diagnose</t>
        </is>
      </c>
      <c r="D50" s="15" t="n"/>
      <c r="E50" s="15" t="n"/>
      <c r="F50" s="24" t="inlineStr">
        <is>
          <t>Distinguishes recognition, detection, forecasting, personalisation, goal-driven optimisation and generation tasks.</t>
        </is>
      </c>
    </row>
    <row r="51" ht="40" customHeight="1">
      <c r="A51" s="55" t="inlineStr">
        <is>
          <t>ISO/IEC 5259 series (2024-2025) and ISO/IEC 8183:2023</t>
        </is>
      </c>
      <c r="B51" s="15" t="n"/>
      <c r="C51" s="37" t="inlineStr">
        <is>
          <t>3 Diagnose</t>
        </is>
      </c>
      <c r="D51" s="15" t="n"/>
      <c r="E51" s="15" t="n"/>
      <c r="F51" s="24" t="inlineStr">
        <is>
          <t>Data quality and data life cycle for analytics and ML - basis for the per-process data gate.</t>
        </is>
      </c>
    </row>
    <row r="52" ht="40" customHeight="1">
      <c r="A52" s="55" t="inlineStr">
        <is>
          <t>ISO/IEC 42001:2023 Annex A.7 (Data for AI systems)</t>
        </is>
      </c>
      <c r="B52" s="15" t="n"/>
      <c r="C52" s="37" t="inlineStr">
        <is>
          <t>3 Diagnose</t>
        </is>
      </c>
      <c r="D52" s="15" t="n"/>
      <c r="E52" s="15" t="n"/>
      <c r="F52" s="24" t="inlineStr">
        <is>
          <t>Data acquisition, quality, provenance and preparation expected before AI is deployed.</t>
        </is>
      </c>
    </row>
    <row r="53" ht="40" customHeight="1">
      <c r="A53" s="55" t="inlineStr">
        <is>
          <t>NSW AI Assessment Framework (AIAF)</t>
        </is>
      </c>
      <c r="B53" s="15" t="n"/>
      <c r="C53" s="37" t="inlineStr">
        <is>
          <t>3 Diagnose</t>
        </is>
      </c>
      <c r="D53" s="15" t="n"/>
      <c r="E53" s="15" t="n"/>
      <c r="F53" s="24" t="inlineStr">
        <is>
          <t>Inherent-risk questions (impact on people, autonomy, data sensitivity) behind the risk tier.</t>
        </is>
      </c>
    </row>
    <row r="54" ht="40" customHeight="1">
      <c r="A54" s="55" t="inlineStr">
        <is>
          <t>EU AI Act (Reg. 2024/1689) Art. 5, 6, 50 and Annex III</t>
        </is>
      </c>
      <c r="B54" s="15" t="n"/>
      <c r="C54" s="37" t="inlineStr">
        <is>
          <t>3 Diagnose</t>
        </is>
      </c>
      <c r="D54" s="15" t="n"/>
      <c r="E54" s="15" t="n"/>
      <c r="F54" s="24" t="inlineStr">
        <is>
          <t>Screens out prohibited practices and flags high-risk uses (credit, employment, essential services, biometrics) and transparency duties.</t>
        </is>
      </c>
    </row>
    <row r="55" ht="40" customHeight="1">
      <c r="A55" s="55" t="inlineStr">
        <is>
          <t>Bahrain PDPL (Law No. 30 of 2018)</t>
        </is>
      </c>
      <c r="B55" s="15" t="n"/>
      <c r="C55" s="37" t="inlineStr">
        <is>
          <t>3 Diagnose</t>
        </is>
      </c>
      <c r="D55" s="15" t="n"/>
      <c r="E55" s="15" t="n"/>
      <c r="F55" s="24" t="inlineStr">
        <is>
          <t>Personal and sensitive data flag; lawful basis and DPIA expectations for higher-risk processing.</t>
        </is>
      </c>
    </row>
    <row r="56" ht="40" customHeight="1">
      <c r="A56" s="55" t="inlineStr">
        <is>
          <t>ISACA - Cybersecurity Recommendations for Securing AI Agents (2026); OWASP Top 10 for LLM Applications (2025)</t>
        </is>
      </c>
      <c r="B56" s="15" t="n"/>
      <c r="C56" s="37" t="inlineStr">
        <is>
          <t>3 Diagnose</t>
        </is>
      </c>
      <c r="D56" s="15" t="n"/>
      <c r="E56" s="15" t="n"/>
      <c r="F56" s="24" t="inlineStr">
        <is>
          <t>Autonomy rating and agentic guardrails: least agency, human approval for high-impact actions, excessive-agency risk.</t>
        </is>
      </c>
    </row>
    <row r="57" ht="40" customHeight="1">
      <c r="A57" s="55" t="inlineStr">
        <is>
          <t>NIST AI RMF 1.0 - MAP 3.1, 3.2</t>
        </is>
      </c>
      <c r="B57" s="15" t="n"/>
      <c r="C57" s="37" t="inlineStr">
        <is>
          <t>4 Prioritise</t>
        </is>
      </c>
      <c r="D57" s="15" t="n"/>
      <c r="E57" s="15" t="n"/>
      <c r="F57" s="24" t="inlineStr">
        <is>
          <t>Expected benefits and costs (incl. of errors) weighed per use case.</t>
        </is>
      </c>
    </row>
    <row r="58" ht="40" customHeight="1">
      <c r="A58" s="55" t="inlineStr">
        <is>
          <t>ISO/IEC 42001:2023 cl. 6.2</t>
        </is>
      </c>
      <c r="B58" s="15" t="n"/>
      <c r="C58" s="37" t="inlineStr">
        <is>
          <t>4 Prioritise</t>
        </is>
      </c>
      <c r="D58" s="15" t="n"/>
      <c r="E58" s="15" t="n"/>
      <c r="F58" s="24" t="inlineStr">
        <is>
          <t>AI objectives that are measurable - feed the KPIs on each canvas.</t>
        </is>
      </c>
    </row>
    <row r="59" ht="40" customHeight="1">
      <c r="A59" s="55" t="inlineStr">
        <is>
          <t>ISO/IEC 42005:2025 and ISO/IEC 23894:2023</t>
        </is>
      </c>
      <c r="B59" s="15" t="n"/>
      <c r="C59" s="37" t="inlineStr">
        <is>
          <t>5 Plan</t>
        </is>
      </c>
      <c r="D59" s="15" t="n"/>
      <c r="E59" s="15" t="n"/>
      <c r="F59" s="24" t="inlineStr">
        <is>
          <t>AI system impact assessment and risk management for Medium / High-tier use cases before go-live.</t>
        </is>
      </c>
    </row>
    <row r="60" ht="40" customHeight="1">
      <c r="A60" s="55" t="inlineStr">
        <is>
          <t>ISO/IEC 5338:2023 and ISO/IEC 42001 Annex A.6</t>
        </is>
      </c>
      <c r="B60" s="15" t="n"/>
      <c r="C60" s="37" t="inlineStr">
        <is>
          <t>5 Plan</t>
        </is>
      </c>
      <c r="D60" s="15" t="n"/>
      <c r="E60" s="15" t="n"/>
      <c r="F60" s="24" t="inlineStr">
        <is>
          <t>AI system life cycle from design to retirement for each roadmap item.</t>
        </is>
      </c>
    </row>
    <row r="61" ht="40" customHeight="1">
      <c r="A61" s="55" t="inlineStr">
        <is>
          <t>GT AI Risk Assessment Framework v1.1 and GT AI RCM v2.1</t>
        </is>
      </c>
      <c r="B61" s="15" t="n"/>
      <c r="C61" s="37" t="inlineStr">
        <is>
          <t>5 Plan</t>
        </is>
      </c>
      <c r="D61" s="15" t="n"/>
      <c r="E61" s="15" t="n"/>
      <c r="F61" s="24" t="inlineStr">
        <is>
          <t>Tier-based minimum controls on each use-case canvas; control testing once in production.</t>
        </is>
      </c>
    </row>
    <row r="62" ht="40" customHeight="1">
      <c r="A62" s="55" t="inlineStr">
        <is>
          <t>GT AI Ready7 / GT AI Readiness &amp; Risk Assessment</t>
        </is>
      </c>
      <c r="B62" s="15" t="n"/>
      <c r="C62" s="37" t="inlineStr">
        <is>
          <t>Complementary</t>
        </is>
      </c>
      <c r="D62" s="15" t="n"/>
      <c r="E62" s="15" t="n"/>
      <c r="F62" s="24" t="inlineStr">
        <is>
          <t>Measures governance and capability maturity. Not repeated here - this toolkit asks WHERE AI fits, not HOW READY the organisation is.</t>
        </is>
      </c>
    </row>
  </sheetData>
  <mergeCells count="65">
    <mergeCell ref="C54:E54"/>
    <mergeCell ref="A48:B48"/>
    <mergeCell ref="C50:E50"/>
    <mergeCell ref="C44:E44"/>
    <mergeCell ref="A59:B59"/>
    <mergeCell ref="C55:E55"/>
    <mergeCell ref="A60:B60"/>
    <mergeCell ref="C47:E47"/>
    <mergeCell ref="A49:B49"/>
    <mergeCell ref="A37:F37"/>
    <mergeCell ref="A51:B51"/>
    <mergeCell ref="A45:B45"/>
    <mergeCell ref="B31:F31"/>
    <mergeCell ref="C56:E56"/>
    <mergeCell ref="B22:F22"/>
    <mergeCell ref="C59:E59"/>
    <mergeCell ref="C43:E43"/>
    <mergeCell ref="A61:B61"/>
    <mergeCell ref="B18:F18"/>
    <mergeCell ref="C28:F28"/>
    <mergeCell ref="C46:E46"/>
    <mergeCell ref="C51:E51"/>
    <mergeCell ref="B21:F21"/>
    <mergeCell ref="A2:F2"/>
    <mergeCell ref="C60:E60"/>
    <mergeCell ref="B39:F39"/>
    <mergeCell ref="A42:F42"/>
    <mergeCell ref="A54:B54"/>
    <mergeCell ref="C52:E52"/>
    <mergeCell ref="C61:E61"/>
    <mergeCell ref="A46:B46"/>
    <mergeCell ref="C48:E48"/>
    <mergeCell ref="A17:F17"/>
    <mergeCell ref="A4:F4"/>
    <mergeCell ref="A56:B56"/>
    <mergeCell ref="A55:B55"/>
    <mergeCell ref="A50:B50"/>
    <mergeCell ref="B38:F38"/>
    <mergeCell ref="C57:E57"/>
    <mergeCell ref="B34:F34"/>
    <mergeCell ref="C53:E53"/>
    <mergeCell ref="A57:B57"/>
    <mergeCell ref="C26:F26"/>
    <mergeCell ref="C27:F27"/>
    <mergeCell ref="A47:B47"/>
    <mergeCell ref="B19:F19"/>
    <mergeCell ref="C49:E49"/>
    <mergeCell ref="C25:F25"/>
    <mergeCell ref="A30:F30"/>
    <mergeCell ref="B40:F40"/>
    <mergeCell ref="A53:B53"/>
    <mergeCell ref="C62:E62"/>
    <mergeCell ref="A24:F24"/>
    <mergeCell ref="C58:E58"/>
    <mergeCell ref="A62:B62"/>
    <mergeCell ref="A52:B52"/>
    <mergeCell ref="B20:F20"/>
    <mergeCell ref="A43:B43"/>
    <mergeCell ref="B33:F33"/>
    <mergeCell ref="A1:F1"/>
    <mergeCell ref="C45:E45"/>
    <mergeCell ref="A44:B44"/>
    <mergeCell ref="B32:F32"/>
    <mergeCell ref="A58:B58"/>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X5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service delivery / operations</t>
        </is>
      </c>
      <c r="Q2" t="inlineStr">
        <is>
          <t>Banking &amp; financial services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 &amp; sales</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Marketing &amp; communications</t>
        </is>
      </c>
      <c r="Q4" t="inlineStr">
        <is>
          <t>Government &amp; public sector</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Hospitality &amp; tourism</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Retail &amp; consumer</t>
        </is>
      </c>
      <c r="AX7" t="n">
        <v>6</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Manufacturing &amp; industrial</t>
        </is>
      </c>
      <c r="AX8" t="n">
        <v>7</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security</t>
        </is>
      </c>
      <c r="Q9" t="inlineStr">
        <is>
          <t>Logistics &amp; transport</t>
        </is>
      </c>
      <c r="AX9" t="n">
        <v>8</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Management &amp; reporting</t>
        </is>
      </c>
      <c r="Q10" t="inlineStr">
        <is>
          <t>Telecom &amp; technology</t>
        </is>
      </c>
      <c r="AX10" t="n">
        <v>9</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Knowledge &amp; collaboration</t>
        </is>
      </c>
      <c r="Q11" t="inlineStr">
        <is>
          <t>Real estate &amp; construction</t>
        </is>
      </c>
      <c r="AX11" t="n">
        <v>10</v>
      </c>
    </row>
    <row r="12">
      <c r="Q12" t="inlineStr">
        <is>
          <t>Professional services</t>
        </is>
      </c>
      <c r="AX12" t="n">
        <v>11</v>
      </c>
    </row>
    <row r="13">
      <c r="M13" t="inlineStr">
        <is>
          <t>Yes - documented and consistent</t>
        </is>
      </c>
      <c r="N13" t="n">
        <v>5</v>
      </c>
      <c r="Q13" t="inlineStr">
        <is>
          <t>Education</t>
        </is>
      </c>
      <c r="AX13" t="n">
        <v>12</v>
      </c>
    </row>
    <row r="14">
      <c r="M14" t="inlineStr">
        <is>
          <t>Partly - common steps, some variation</t>
        </is>
      </c>
      <c r="N14" t="n">
        <v>3</v>
      </c>
      <c r="Q14" t="inlineStr">
        <is>
          <t>Oil, gas &amp; energy</t>
        </is>
      </c>
      <c r="AX14" t="n">
        <v>13</v>
      </c>
    </row>
    <row r="15">
      <c r="M15" t="inlineStr">
        <is>
          <t>No - varies by person / team</t>
        </is>
      </c>
      <c r="N15" t="n">
        <v>1</v>
      </c>
      <c r="Q15" t="inlineStr">
        <is>
          <t>Other</t>
        </is>
      </c>
      <c r="AX15" t="n">
        <v>14</v>
      </c>
    </row>
    <row r="16">
      <c r="AX16" t="n">
        <v>15</v>
      </c>
    </row>
    <row r="17">
      <c r="AX17" t="n">
        <v>16</v>
      </c>
    </row>
    <row r="18">
      <c r="M18" t="inlineStr">
        <is>
          <t>Assist - AI suggests, a person does the work</t>
        </is>
      </c>
      <c r="N18" t="n">
        <v>0</v>
      </c>
      <c r="AX18" t="n">
        <v>17</v>
      </c>
    </row>
    <row r="19">
      <c r="M19" t="inlineStr">
        <is>
          <t>Human approves each AI output</t>
        </is>
      </c>
      <c r="N19" t="n">
        <v>1</v>
      </c>
      <c r="AX19" t="n">
        <v>18</v>
      </c>
    </row>
    <row r="20">
      <c r="M20" t="inlineStr">
        <is>
          <t>Fully automated - no human review</t>
        </is>
      </c>
      <c r="N20" t="n">
        <v>2</v>
      </c>
      <c r="AX20" t="n">
        <v>19</v>
      </c>
    </row>
    <row r="21">
      <c r="AX21" t="n">
        <v>20</v>
      </c>
    </row>
    <row r="22">
      <c r="AX22" t="n">
        <v>21</v>
      </c>
    </row>
    <row r="23">
      <c r="M23" t="inlineStr">
        <is>
          <t>Yes</t>
        </is>
      </c>
      <c r="AX23" t="n">
        <v>22</v>
      </c>
    </row>
    <row r="24">
      <c r="M24" t="inlineStr">
        <is>
          <t>No</t>
        </is>
      </c>
      <c r="AX24" t="n">
        <v>23</v>
      </c>
    </row>
    <row r="25">
      <c r="AX25" t="n">
        <v>24</v>
      </c>
    </row>
    <row r="26">
      <c r="AX26" t="n">
        <v>25</v>
      </c>
    </row>
    <row r="27">
      <c r="AX27" t="n">
        <v>26</v>
      </c>
    </row>
    <row r="28">
      <c r="AX28" t="n">
        <v>27</v>
      </c>
    </row>
    <row r="29">
      <c r="AX29" t="n">
        <v>28</v>
      </c>
    </row>
    <row r="30">
      <c r="AX30" t="n">
        <v>29</v>
      </c>
    </row>
    <row r="31">
      <c r="AX31" t="n">
        <v>30</v>
      </c>
    </row>
    <row r="32">
      <c r="AX32" t="n">
        <v>31</v>
      </c>
    </row>
    <row r="33">
      <c r="AX33" t="n">
        <v>32</v>
      </c>
    </row>
    <row r="34">
      <c r="AX34" t="n">
        <v>33</v>
      </c>
    </row>
    <row r="35">
      <c r="AX35" t="n">
        <v>34</v>
      </c>
    </row>
    <row r="36">
      <c r="AX36" t="n">
        <v>35</v>
      </c>
    </row>
    <row r="37">
      <c r="AX37" t="n">
        <v>36</v>
      </c>
    </row>
    <row r="38">
      <c r="AX38" t="n">
        <v>37</v>
      </c>
    </row>
    <row r="39">
      <c r="AX39" t="n">
        <v>38</v>
      </c>
    </row>
    <row r="40">
      <c r="AX40" t="n">
        <v>39</v>
      </c>
    </row>
    <row r="41">
      <c r="AX41" t="n">
        <v>40</v>
      </c>
    </row>
    <row r="42">
      <c r="AX42" t="n">
        <v>41</v>
      </c>
    </row>
    <row r="43">
      <c r="AX43" t="n">
        <v>42</v>
      </c>
    </row>
    <row r="44">
      <c r="AX44" t="n">
        <v>43</v>
      </c>
    </row>
    <row r="45">
      <c r="AX45" t="n">
        <v>44</v>
      </c>
    </row>
    <row r="46">
      <c r="AX46" t="n">
        <v>45</v>
      </c>
    </row>
    <row r="47">
      <c r="AX47" t="n">
        <v>46</v>
      </c>
    </row>
    <row r="48">
      <c r="AX48" t="n">
        <v>47</v>
      </c>
    </row>
    <row r="49">
      <c r="AX49" t="n">
        <v>48</v>
      </c>
    </row>
    <row r="50">
      <c r="AX50" t="n">
        <v>49</v>
      </c>
    </row>
    <row r="51">
      <c r="AX51"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2026-10-03T09:08:21Z</dcterms:created>
  <dcterms:modified xmlns:dcterms="http://purl.org/dc/terms/" xmlns:xsi="http://www.w3.org/2001/XMLSchema-instance" xsi:type="dcterms:W3CDTF">2026-10-03T09:08:21Z</dcterms:modified>
</cp:coreProperties>
</file>